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ras" sheetId="1" r:id="rId5"/>
    <sheet state="visible" name="Pabilos" sheetId="2" r:id="rId6"/>
    <sheet state="visible" name="Esencias" sheetId="3" r:id="rId7"/>
    <sheet state="visible" name="Colores" sheetId="4" r:id="rId8"/>
    <sheet state="visible" name="Materiales" sheetId="5" r:id="rId9"/>
    <sheet state="visible" name="Ventas" sheetId="6" r:id="rId10"/>
    <sheet state="visible" name="Velas" sheetId="7" r:id="rId11"/>
    <sheet state="visible" name="Balance" sheetId="8" r:id="rId12"/>
    <sheet state="visible" name="Precios" sheetId="9" r:id="rId13"/>
    <sheet state="visible" name="Instrucciones" sheetId="10" r:id="rId14"/>
    <sheet state="visible" name="Listas" sheetId="11" r:id="rId15"/>
  </sheets>
  <definedNames/>
  <calcPr/>
</workbook>
</file>

<file path=xl/sharedStrings.xml><?xml version="1.0" encoding="utf-8"?>
<sst xmlns="http://schemas.openxmlformats.org/spreadsheetml/2006/main" count="666" uniqueCount="315">
  <si>
    <t>ID_Cera</t>
  </si>
  <si>
    <t>Nombre de cera</t>
  </si>
  <si>
    <t>Proveedor</t>
  </si>
  <si>
    <t>Presentación / paquete</t>
  </si>
  <si>
    <t>Gramos paquete</t>
  </si>
  <si>
    <t>Precio paquete</t>
  </si>
  <si>
    <t>Costo por gramo</t>
  </si>
  <si>
    <t>SOYA</t>
  </si>
  <si>
    <t>Cera de soya</t>
  </si>
  <si>
    <t>Proveedor Banderas</t>
  </si>
  <si>
    <t>Bolsa 1000g</t>
  </si>
  <si>
    <t>PARAFINA</t>
  </si>
  <si>
    <t>Parafina</t>
  </si>
  <si>
    <t>CERA_COCO</t>
  </si>
  <si>
    <t>Cera de coco</t>
  </si>
  <si>
    <t>Proveedor ejemplo</t>
  </si>
  <si>
    <t>CERA_MOLDE</t>
  </si>
  <si>
    <t>Cera de molde</t>
  </si>
  <si>
    <t>CERA_BPF</t>
  </si>
  <si>
    <t>Bajo punto de fusión masajes</t>
  </si>
  <si>
    <t>ID_Pabilo</t>
  </si>
  <si>
    <t>Calibre / nombre</t>
  </si>
  <si>
    <t>Longitud paquete</t>
  </si>
  <si>
    <t>Unidad longitud</t>
  </si>
  <si>
    <t>Costo por cm</t>
  </si>
  <si>
    <t>Notas</t>
  </si>
  <si>
    <t>PABILO2-4</t>
  </si>
  <si>
    <t>Pabilo calibre 2-4</t>
  </si>
  <si>
    <t>Proveedor La Rueca</t>
  </si>
  <si>
    <t>Rollo 10m</t>
  </si>
  <si>
    <t>m</t>
  </si>
  <si>
    <t>La fórmula convierte metros a centímetros.</t>
  </si>
  <si>
    <t>PABILO4-6</t>
  </si>
  <si>
    <t>Pabilo calibre 4-6</t>
  </si>
  <si>
    <t>PABILO6-8</t>
  </si>
  <si>
    <t>Pabilo calibre 6-8</t>
  </si>
  <si>
    <t>ID_Esencia</t>
  </si>
  <si>
    <t>Nombre esencia</t>
  </si>
  <si>
    <t>ES_MARACUYA</t>
  </si>
  <si>
    <t>Esencia maracuyá</t>
  </si>
  <si>
    <t>Frasco 40g</t>
  </si>
  <si>
    <t>El costo se calcula por gramos.</t>
  </si>
  <si>
    <t>ES_VAINILLA</t>
  </si>
  <si>
    <t>Esencia vainilla</t>
  </si>
  <si>
    <t>Frasco 100g</t>
  </si>
  <si>
    <t>Ejemplo adicional.</t>
  </si>
  <si>
    <t>ES_CHOCOLATE</t>
  </si>
  <si>
    <t>Esencia Chocolate</t>
  </si>
  <si>
    <t>Frasco 20ml</t>
  </si>
  <si>
    <t>NEGOCIO GALERIAS</t>
  </si>
  <si>
    <t>ES_CANELA</t>
  </si>
  <si>
    <t>Esencia Canela</t>
  </si>
  <si>
    <t>inventario inicial</t>
  </si>
  <si>
    <t>Frasco 25 ml</t>
  </si>
  <si>
    <t>FRANGANCIAS DE ANGGIE</t>
  </si>
  <si>
    <t>ES_BEDOYA</t>
  </si>
  <si>
    <t>Escencia de Carlos Bedoya</t>
  </si>
  <si>
    <t>Proveedor de Leidy Ramos</t>
  </si>
  <si>
    <t>Frasco 1 onza</t>
  </si>
  <si>
    <t>PROVEEDOR LEIDY RAMOS</t>
  </si>
  <si>
    <t>ES_CHO</t>
  </si>
  <si>
    <t>fragancia Tarro</t>
  </si>
  <si>
    <t>Azahaar</t>
  </si>
  <si>
    <t>Tarro 1000</t>
  </si>
  <si>
    <t>NEGOCIO NORTE DE BOGOTA</t>
  </si>
  <si>
    <t>ES_FRU</t>
  </si>
  <si>
    <t xml:space="preserve">ES_MAR </t>
  </si>
  <si>
    <t>ID_Color</t>
  </si>
  <si>
    <t>Nombre color</t>
  </si>
  <si>
    <t>Cantidad paquete</t>
  </si>
  <si>
    <t>Unidad base</t>
  </si>
  <si>
    <t>Costo unitario</t>
  </si>
  <si>
    <t>COLOR_AZUL</t>
  </si>
  <si>
    <t>Colorante azul 2 crayola2</t>
  </si>
  <si>
    <t xml:space="preserve">Inventario inicial </t>
  </si>
  <si>
    <t>Frasco 65g</t>
  </si>
  <si>
    <t>g</t>
  </si>
  <si>
    <t>Ejemplo: una dosis de color para una vela.</t>
  </si>
  <si>
    <t>COLOR_VERDE</t>
  </si>
  <si>
    <t>Colorante verde 2 crayolas</t>
  </si>
  <si>
    <t>Si se calcula por gramo, en Velas la cantidad debe escribirse en gramos.</t>
  </si>
  <si>
    <t>COLOR_CAFE</t>
  </si>
  <si>
    <t>Colorante café 2 crayones</t>
  </si>
  <si>
    <t>COLOR_ROJO</t>
  </si>
  <si>
    <t>Colorante Rojo 2 crayones</t>
  </si>
  <si>
    <t>ID_Material</t>
  </si>
  <si>
    <t>Categoría</t>
  </si>
  <si>
    <t>Nombre material</t>
  </si>
  <si>
    <t>PINTURA_VERDE</t>
  </si>
  <si>
    <t>Bisutería</t>
  </si>
  <si>
    <t>Pintura decorativa verde</t>
  </si>
  <si>
    <t>unidad</t>
  </si>
  <si>
    <t>Para decoración</t>
  </si>
  <si>
    <t>STICKER_ARCANA</t>
  </si>
  <si>
    <t>Papelería</t>
  </si>
  <si>
    <t>Sticker ARCANA</t>
  </si>
  <si>
    <t>Para empaque o presentación</t>
  </si>
  <si>
    <t>ENV_YESO</t>
  </si>
  <si>
    <t>Insumo</t>
  </si>
  <si>
    <t>Envase YESO 120 ml</t>
  </si>
  <si>
    <t>Envase principal de la vela</t>
  </si>
  <si>
    <t>REC_YESO</t>
  </si>
  <si>
    <t>TAPA_YESO</t>
  </si>
  <si>
    <t>tapa yeso</t>
  </si>
  <si>
    <t>CAJA_KRAFT</t>
  </si>
  <si>
    <t>Empaque</t>
  </si>
  <si>
    <t>Caja kraft pequeña</t>
  </si>
  <si>
    <t>Puede agregarse en Insumos como CAJA_KRAFT:1</t>
  </si>
  <si>
    <t>PINCHO</t>
  </si>
  <si>
    <t>Pincho para flores</t>
  </si>
  <si>
    <t>El sol</t>
  </si>
  <si>
    <t>Para las margaritas</t>
  </si>
  <si>
    <t>PAPEL_AZUCAR</t>
  </si>
  <si>
    <t>Papel para envolver</t>
  </si>
  <si>
    <t>Papelería x</t>
  </si>
  <si>
    <t>ACEITE</t>
  </si>
  <si>
    <t>Para que brille</t>
  </si>
  <si>
    <t>jhonson</t>
  </si>
  <si>
    <t>Para que brille, par superficies geométricas</t>
  </si>
  <si>
    <t>ENV2_YESO</t>
  </si>
  <si>
    <t>ENVase YESO 90ml</t>
  </si>
  <si>
    <t>Inventario inicial</t>
  </si>
  <si>
    <t xml:space="preserve">Envase de yeso </t>
  </si>
  <si>
    <t>REPOLLO</t>
  </si>
  <si>
    <t>Otro</t>
  </si>
  <si>
    <t>PEONIA S</t>
  </si>
  <si>
    <t>PEONIA M</t>
  </si>
  <si>
    <t>CINTA</t>
  </si>
  <si>
    <t xml:space="preserve">CINTA BLANCA </t>
  </si>
  <si>
    <t>cm</t>
  </si>
  <si>
    <t>FLORES</t>
  </si>
  <si>
    <t xml:space="preserve">RAMO DE FLORES SECAS </t>
  </si>
  <si>
    <t>CINTA1</t>
  </si>
  <si>
    <t>Cinta blanca gruesa</t>
  </si>
  <si>
    <t>FOSTO</t>
  </si>
  <si>
    <t>Fosforo</t>
  </si>
  <si>
    <t>TUL</t>
  </si>
  <si>
    <t>TUL empaque margaritas</t>
  </si>
  <si>
    <t xml:space="preserve">STICKER </t>
  </si>
  <si>
    <t>STICKER</t>
  </si>
  <si>
    <t>RECIPIENTE</t>
  </si>
  <si>
    <t>Envase</t>
  </si>
  <si>
    <t>RECINA TRANSPARENTE</t>
  </si>
  <si>
    <t>ESCARCHA</t>
  </si>
  <si>
    <t>RECIPIENTE_VIDRIO</t>
  </si>
  <si>
    <t>VELA BELLA</t>
  </si>
  <si>
    <t>ROSA M</t>
  </si>
  <si>
    <t xml:space="preserve">VELA  </t>
  </si>
  <si>
    <t>CAJALARGA</t>
  </si>
  <si>
    <t>Caja larga</t>
  </si>
  <si>
    <t>PAPELSEDA</t>
  </si>
  <si>
    <t>papel seda</t>
  </si>
  <si>
    <t>CINTAN</t>
  </si>
  <si>
    <t>CHAPA</t>
  </si>
  <si>
    <t>ENVASE_PEQUEÑO</t>
  </si>
  <si>
    <t xml:space="preserve">Envase pequeño </t>
  </si>
  <si>
    <t xml:space="preserve">Unidad </t>
  </si>
  <si>
    <t>Descripcion</t>
  </si>
  <si>
    <t>Costo</t>
  </si>
  <si>
    <t>Precio sugerido</t>
  </si>
  <si>
    <t>Precio Actual</t>
  </si>
  <si>
    <t>Utilidad</t>
  </si>
  <si>
    <t>Antes</t>
  </si>
  <si>
    <t>Descripción</t>
  </si>
  <si>
    <t>Cera 1</t>
  </si>
  <si>
    <t>% Cera 1</t>
  </si>
  <si>
    <t>Cera 2</t>
  </si>
  <si>
    <t>% Cera 2</t>
  </si>
  <si>
    <t>Peso total cera g</t>
  </si>
  <si>
    <t>Costo cera</t>
  </si>
  <si>
    <t>Costo en energía</t>
  </si>
  <si>
    <t>Pabilo</t>
  </si>
  <si>
    <t>Centímetros pabilo</t>
  </si>
  <si>
    <t>Costo pabilo</t>
  </si>
  <si>
    <t>Esencia</t>
  </si>
  <si>
    <t>Gramos esencia</t>
  </si>
  <si>
    <t>Costo esencia</t>
  </si>
  <si>
    <t>Color</t>
  </si>
  <si>
    <t>Cantidad color</t>
  </si>
  <si>
    <t>Costo color</t>
  </si>
  <si>
    <t>Costo bisutería</t>
  </si>
  <si>
    <t>Costo papelería</t>
  </si>
  <si>
    <t>Insumos</t>
  </si>
  <si>
    <t>Costo insumos</t>
  </si>
  <si>
    <t>Costo total</t>
  </si>
  <si>
    <t>Margen                                      ( temporada baja = 3 )</t>
  </si>
  <si>
    <t>Precio sin mano de obra</t>
  </si>
  <si>
    <t>Mano de obra</t>
  </si>
  <si>
    <t>TOTAL</t>
  </si>
  <si>
    <t>Precio final</t>
  </si>
  <si>
    <t>Utilidad Ideal</t>
  </si>
  <si>
    <t>relacion %</t>
  </si>
  <si>
    <t>Vela Margarita en yeso sin tapa</t>
  </si>
  <si>
    <t>PINTURA_VERDE:1</t>
  </si>
  <si>
    <t>ENV_YESO:1</t>
  </si>
  <si>
    <t>3</t>
  </si>
  <si>
    <t>Vela Margarita en yeso con tapa</t>
  </si>
  <si>
    <t>ENV_YESO:1;TAPA_YESO:1</t>
  </si>
  <si>
    <t>Vela Margarita sola</t>
  </si>
  <si>
    <t>Vela Margarita en papel azucar</t>
  </si>
  <si>
    <t>PINCHO:1;PAPEL_AZUCAR:1</t>
  </si>
  <si>
    <t>Vela Margarita en TUL</t>
  </si>
  <si>
    <t>TUL:1;CINTA:25;FOSFO:1;STICKER :0</t>
  </si>
  <si>
    <t>Velon corto con cara de rosas mediano</t>
  </si>
  <si>
    <t>Vela bubble candle sola</t>
  </si>
  <si>
    <t>ACEITE:1</t>
  </si>
  <si>
    <t>Vela ramo de tulipanes</t>
  </si>
  <si>
    <t>Vela Oso floreado</t>
  </si>
  <si>
    <t>Vela Oso xs</t>
  </si>
  <si>
    <t>Vela Repollo</t>
  </si>
  <si>
    <t>Vela cactus mediana</t>
  </si>
  <si>
    <t>Vela Peonia XS</t>
  </si>
  <si>
    <t>Vela Peonia S</t>
  </si>
  <si>
    <t>Vela Peonia M</t>
  </si>
  <si>
    <t>Vela Leon</t>
  </si>
  <si>
    <t>Vela Frutilla</t>
  </si>
  <si>
    <t>REC_YESO:1</t>
  </si>
  <si>
    <t>Vela Cebolla</t>
  </si>
  <si>
    <t>Vela Manzana geométrica</t>
  </si>
  <si>
    <t>Vela rosa S</t>
  </si>
  <si>
    <t>Vela rosa M</t>
  </si>
  <si>
    <t>Vela rosa L</t>
  </si>
  <si>
    <t>Vela la Virgen Maria con bebé</t>
  </si>
  <si>
    <t>Vela Mano Turca</t>
  </si>
  <si>
    <t>Vela Zuculenta Punta M</t>
  </si>
  <si>
    <t>Vela Zuculenta Punta S</t>
  </si>
  <si>
    <t>Vela zuculenta redonda S</t>
  </si>
  <si>
    <t>Vela zuculenta redonda M</t>
  </si>
  <si>
    <t>Vela Zuculenta Pasto</t>
  </si>
  <si>
    <t>Vela Zuculenta rollo</t>
  </si>
  <si>
    <t>Vela carro</t>
  </si>
  <si>
    <t xml:space="preserve">Vela elefante </t>
  </si>
  <si>
    <t>Buquet Pequeño</t>
  </si>
  <si>
    <t>CINTA:17;FLORES:1</t>
  </si>
  <si>
    <t>REPOLLO:2;PEONIA S:3;PEONIA M:1;ENV2_YESO:1</t>
  </si>
  <si>
    <t>Vela de postre</t>
  </si>
  <si>
    <t>RECIPIENTE:1;ESCARCHA:1</t>
  </si>
  <si>
    <t>Vela tarrito de vidrio pequeño corcho</t>
  </si>
  <si>
    <t>ES_AZAHAR</t>
  </si>
  <si>
    <t>RECIPIENTE_VIDRIO:1</t>
  </si>
  <si>
    <t>Vela larga</t>
  </si>
  <si>
    <t>Kit 4 Rosas M con empaque</t>
  </si>
  <si>
    <t>PAPELSEDA:1</t>
  </si>
  <si>
    <t>ROSA M:4</t>
  </si>
  <si>
    <t>Wax smell 30G</t>
  </si>
  <si>
    <t>TUL:1;CINTAN:30</t>
  </si>
  <si>
    <t>Wax smell 20G</t>
  </si>
  <si>
    <t>PABILO2-5</t>
  </si>
  <si>
    <t>Vela pebetero</t>
  </si>
  <si>
    <t>PABILO2-6</t>
  </si>
  <si>
    <t>Vela bautizo</t>
  </si>
  <si>
    <t>Vela Virgen</t>
  </si>
  <si>
    <t>Vela Perro</t>
  </si>
  <si>
    <t>PABILO2-10</t>
  </si>
  <si>
    <t>PABILO2-11</t>
  </si>
  <si>
    <t>PABILO2-12</t>
  </si>
  <si>
    <t>Unidades totales</t>
  </si>
  <si>
    <t>Producido</t>
  </si>
  <si>
    <t>utilidad</t>
  </si>
  <si>
    <t>Dinero en velas</t>
  </si>
  <si>
    <t>Costos</t>
  </si>
  <si>
    <t>Utilidades</t>
  </si>
  <si>
    <t xml:space="preserve">Dinero Circulante </t>
  </si>
  <si>
    <t>Registro total de inversiones</t>
  </si>
  <si>
    <t>Aportes de Anggie</t>
  </si>
  <si>
    <t>Diferencia</t>
  </si>
  <si>
    <t>Compras de Anggie</t>
  </si>
  <si>
    <t xml:space="preserve">Insumos y fragancias </t>
  </si>
  <si>
    <t>Stand y feria</t>
  </si>
  <si>
    <t>Total Diferencia</t>
  </si>
  <si>
    <t>Dinero circulante +diferencia</t>
  </si>
  <si>
    <t>Dinero Jose</t>
  </si>
  <si>
    <t>Utillidades</t>
  </si>
  <si>
    <t>Sección</t>
  </si>
  <si>
    <t>Instrucción</t>
  </si>
  <si>
    <t>Ejemplo</t>
  </si>
  <si>
    <t>Ceras</t>
  </si>
  <si>
    <t>Registra ceras físicas. El costo por gramo se calcula desde el precio y los gramos del paquete.</t>
  </si>
  <si>
    <t>SOYA, 1000 g, $28.000</t>
  </si>
  <si>
    <t>Pabilos</t>
  </si>
  <si>
    <t>Registra cada pabilo por paquete. Si la longitud está en metros, la hoja convierte a costo por centímetro automáticamente.</t>
  </si>
  <si>
    <t>PABILO2-4, 10 m, $15.000</t>
  </si>
  <si>
    <t>Esencias</t>
  </si>
  <si>
    <t>Registra cada esencia por gramos del paquete. La hoja Velas multiplica gramos usados por costo por gramo.</t>
  </si>
  <si>
    <t>ES_MARACUYA, 100 g, $18.000</t>
  </si>
  <si>
    <t>Colores</t>
  </si>
  <si>
    <t>Registra colores por unidad, gramo o ml. La hoja Velas multiplica la cantidad usada por el costo unitario.</t>
  </si>
  <si>
    <t>COLOR_VERDE, 1 unidad, $300</t>
  </si>
  <si>
    <t>Materiales</t>
  </si>
  <si>
    <t>Usa esta hoja solo para bisutería, papelería, insumos, envases, empaques u otros materiales genéricos.</t>
  </si>
  <si>
    <t>PIEDRA_VERDE, Bisutería, unidad, $500</t>
  </si>
  <si>
    <t>Velas</t>
  </si>
  <si>
    <t>Cada fila representa una vela. Las columnas de cera, pabilo, esencia y color se sincronizan con sus hojas propias.</t>
  </si>
  <si>
    <t>Selecciona SOYA, PABILO2-4, ES_MARACUYA y COLOR_VERDE</t>
  </si>
  <si>
    <t>Arreglos en celda</t>
  </si>
  <si>
    <t>Para Bisutería, Papelería e Insumos escribe ID:cantidad separados por punto y coma.</t>
  </si>
  <si>
    <t>PIEDRA_VERDE:2;CAJA_KRAFT:1</t>
  </si>
  <si>
    <t>Mezclas de cera</t>
  </si>
  <si>
    <t>Si usas dos ceras, la suma de % Cera 1 y % Cera 2 debe ser 100%. Si solo usas una, deja Cera 2 vacía y Cera 1 en 100%.</t>
  </si>
  <si>
    <t>SOYA 70% + PARAFINA 30%</t>
  </si>
  <si>
    <t>Corrección aplicada</t>
  </si>
  <si>
    <t>Las listas y fórmulas de ceras ahora buscan hasta la fila 500. Si agregas una cera nueva en Ceras, ya puede seleccionarse y calcularse en Velas.</t>
  </si>
  <si>
    <t>CERA_MOLDE o nuevas filas</t>
  </si>
  <si>
    <t>Margen</t>
  </si>
  <si>
    <t>El precio sugerido se calcula como costo total dividido entre 1 menos margen.</t>
  </si>
  <si>
    <t>Costo $8.070 / (1 - 50%) = $16.140</t>
  </si>
  <si>
    <t>Unidades base</t>
  </si>
  <si>
    <t>Categorías materiales genéricos</t>
  </si>
  <si>
    <t>Unidades longitud pabilo</t>
  </si>
  <si>
    <t>Nota</t>
  </si>
  <si>
    <t>Esta hoja alimenta validaciones y no calcula velas.</t>
  </si>
  <si>
    <t>La unidad m ya funciona para Pabilos.</t>
  </si>
  <si>
    <t>Los ID principales vienen de Ceras, Pabilos, Esencias, Colores y Materiales.</t>
  </si>
  <si>
    <t>ml</t>
  </si>
  <si>
    <t>Disponible para una mejora futura.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</si>
</sst>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$ #,##0"/>
    <numFmt numFmtId="165" formatCode="&quot;$&quot;#,##0.00"/>
    <numFmt numFmtId="166" formatCode="dd/mm/yyyy"/>
    <numFmt numFmtId="167" formatCode="[$ $]#,##0"/>
    <numFmt numFmtId="168" formatCode="0.0"/>
  </numFmts>
  <fonts count="7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  <font>
      <color theme="1"/>
      <name val="Carlito"/>
      <scheme val="minor"/>
    </font>
    <font>
      <sz val="11.0"/>
      <color rgb="FF000000"/>
      <name val="Carlito"/>
    </font>
    <font>
      <color theme="1"/>
      <name val="Carlito"/>
    </font>
    <font>
      <i/>
      <sz val="11.0"/>
      <color theme="1"/>
      <name val="Carlito"/>
    </font>
  </fonts>
  <fills count="8">
    <fill>
      <patternFill patternType="none"/>
    </fill>
    <fill>
      <patternFill patternType="lightGray"/>
    </fill>
    <fill>
      <patternFill patternType="solid">
        <fgColor rgb="FFFFF7D6"/>
        <bgColor rgb="FFFFF7D6"/>
      </patternFill>
    </fill>
    <fill>
      <patternFill patternType="solid">
        <fgColor rgb="FFE7F3E8"/>
        <bgColor rgb="FFE7F3E8"/>
      </patternFill>
    </fill>
    <fill>
      <patternFill patternType="solid">
        <fgColor rgb="FF2F6B55"/>
        <bgColor rgb="FF2F6B55"/>
      </patternFill>
    </fill>
    <fill>
      <patternFill patternType="solid">
        <fgColor rgb="FFA64D79"/>
        <bgColor rgb="FFA64D79"/>
      </patternFill>
    </fill>
    <fill>
      <patternFill patternType="solid">
        <fgColor rgb="FFA2C4C9"/>
        <bgColor rgb="FFA2C4C9"/>
      </patternFill>
    </fill>
    <fill>
      <patternFill patternType="solid">
        <fgColor rgb="FFC27BA0"/>
        <bgColor rgb="FFC27BA0"/>
      </patternFill>
    </fill>
  </fills>
  <borders count="1">
    <border/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3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2" numFmtId="3" xfId="0" applyAlignment="1" applyFont="1" applyNumberFormat="1">
      <alignment shrinkToFit="0" wrapText="1"/>
    </xf>
    <xf borderId="0" fillId="0" fontId="2" numFmtId="164" xfId="0" applyAlignment="1" applyFont="1" applyNumberFormat="1">
      <alignment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3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3" xfId="0" applyFont="1" applyNumberFormat="1"/>
    <xf borderId="0" fillId="0" fontId="2" numFmtId="164" xfId="0" applyFont="1" applyNumberFormat="1"/>
    <xf borderId="0" fillId="0" fontId="4" numFmtId="164" xfId="0" applyAlignment="1" applyFont="1" applyNumberFormat="1">
      <alignment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4" fontId="1" numFmtId="0" xfId="0" applyAlignment="1" applyFill="1" applyFont="1">
      <alignment horizontal="center" shrinkToFit="0" vertical="center" wrapText="1"/>
    </xf>
    <xf borderId="0" fillId="0" fontId="2" numFmtId="4" xfId="0" applyAlignment="1" applyFont="1" applyNumberFormat="1">
      <alignment shrinkToFit="0" wrapText="1"/>
    </xf>
    <xf borderId="0" fillId="0" fontId="2" numFmtId="4" xfId="0" applyFont="1" applyNumberFormat="1"/>
    <xf borderId="0" fillId="0" fontId="5" numFmtId="0" xfId="0" applyFont="1"/>
    <xf borderId="0" fillId="0" fontId="2" numFmtId="0" xfId="0" applyAlignment="1" applyFont="1">
      <alignment readingOrder="0" shrinkToFit="0" wrapText="1"/>
    </xf>
    <xf borderId="0" fillId="0" fontId="2" numFmtId="4" xfId="0" applyAlignment="1" applyFont="1" applyNumberFormat="1">
      <alignment readingOrder="0" shrinkToFit="0" wrapText="1"/>
    </xf>
    <xf borderId="0" fillId="0" fontId="2" numFmtId="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2" numFmtId="165" xfId="0" applyAlignment="1" applyFont="1" applyNumberFormat="1">
      <alignment readingOrder="0" shrinkToFit="0" wrapText="1"/>
    </xf>
    <xf borderId="0" fillId="0" fontId="2" numFmtId="165" xfId="0" applyAlignment="1" applyFont="1" applyNumberFormat="1">
      <alignment shrinkToFit="0" wrapText="1"/>
    </xf>
    <xf borderId="0" fillId="0" fontId="2" numFmtId="165" xfId="0" applyAlignment="1" applyFont="1" applyNumberFormat="1">
      <alignment readingOrder="0"/>
    </xf>
    <xf borderId="0" fillId="0" fontId="3" numFmtId="164" xfId="0" applyFont="1" applyNumberFormat="1"/>
    <xf borderId="0" fillId="0" fontId="2" numFmtId="165" xfId="0" applyFont="1" applyNumberFormat="1"/>
    <xf borderId="0" fillId="0" fontId="3" numFmtId="0" xfId="0" applyFont="1"/>
    <xf borderId="0" fillId="0" fontId="3" numFmtId="166" xfId="0" applyAlignment="1" applyFont="1" applyNumberFormat="1">
      <alignment readingOrder="0"/>
    </xf>
    <xf borderId="0" fillId="0" fontId="3" numFmtId="4" xfId="0" applyFont="1" applyNumberFormat="1"/>
    <xf borderId="0" fillId="0" fontId="3" numFmtId="167" xfId="0" applyFont="1" applyNumberFormat="1"/>
    <xf borderId="0" fillId="4" fontId="1" numFmtId="0" xfId="0" applyAlignment="1" applyFont="1">
      <alignment horizontal="center" readingOrder="0" shrinkToFit="0" vertical="center" wrapText="1"/>
    </xf>
    <xf borderId="0" fillId="5" fontId="1" numFmtId="0" xfId="0" applyAlignment="1" applyFill="1" applyFont="1">
      <alignment horizontal="center" readingOrder="0" shrinkToFit="0" vertical="center" wrapText="1"/>
    </xf>
    <xf borderId="0" fillId="4" fontId="1" numFmtId="49" xfId="0" applyAlignment="1" applyFont="1" applyNumberFormat="1">
      <alignment horizontal="center" readingOrder="0" shrinkToFit="0" vertical="center" wrapText="1"/>
    </xf>
    <xf borderId="0" fillId="4" fontId="1" numFmtId="167" xfId="0" applyAlignment="1" applyFont="1" applyNumberFormat="1">
      <alignment horizontal="center" readingOrder="0" shrinkToFit="0" vertical="center" wrapText="1"/>
    </xf>
    <xf borderId="0" fillId="4" fontId="1" numFmtId="167" xfId="0" applyAlignment="1" applyFont="1" applyNumberFormat="1">
      <alignment horizontal="center" readingOrder="0" shrinkToFit="0" vertical="center" wrapText="1"/>
    </xf>
    <xf borderId="0" fillId="4" fontId="1" numFmtId="4" xfId="0" applyAlignment="1" applyFont="1" applyNumberFormat="1">
      <alignment horizontal="center" readingOrder="0" shrinkToFit="0" vertical="center" wrapText="1"/>
    </xf>
    <xf borderId="0" fillId="4" fontId="1" numFmtId="168" xfId="0" applyAlignment="1" applyFont="1" applyNumberFormat="1">
      <alignment horizontal="center" readingOrder="0" shrinkToFit="0" vertical="center" wrapText="1"/>
    </xf>
    <xf borderId="0" fillId="0" fontId="2" numFmtId="9" xfId="0" applyAlignment="1" applyFont="1" applyNumberFormat="1">
      <alignment shrinkToFit="0" wrapText="1"/>
    </xf>
    <xf borderId="0" fillId="5" fontId="2" numFmtId="164" xfId="0" applyAlignment="1" applyFont="1" applyNumberFormat="1">
      <alignment shrinkToFit="0" wrapText="1"/>
    </xf>
    <xf borderId="0" fillId="0" fontId="2" numFmtId="49" xfId="0" applyAlignment="1" applyFont="1" applyNumberFormat="1">
      <alignment readingOrder="0" shrinkToFit="0" wrapText="1"/>
    </xf>
    <xf borderId="0" fillId="0" fontId="2" numFmtId="167" xfId="0" applyAlignment="1" applyFont="1" applyNumberFormat="1">
      <alignment readingOrder="0" shrinkToFit="0" wrapText="1"/>
    </xf>
    <xf borderId="0" fillId="0" fontId="2" numFmtId="167" xfId="0" applyAlignment="1" applyFont="1" applyNumberFormat="1">
      <alignment readingOrder="0" shrinkToFit="0" wrapText="1"/>
    </xf>
    <xf borderId="0" fillId="6" fontId="6" numFmtId="167" xfId="0" applyAlignment="1" applyFill="1" applyFont="1" applyNumberFormat="1">
      <alignment readingOrder="0" shrinkToFit="0" wrapText="1"/>
    </xf>
    <xf borderId="0" fillId="7" fontId="2" numFmtId="164" xfId="0" applyAlignment="1" applyFill="1" applyFont="1" applyNumberFormat="1">
      <alignment shrinkToFit="0" wrapText="1"/>
    </xf>
    <xf borderId="0" fillId="0" fontId="2" numFmtId="10" xfId="0" applyAlignment="1" applyFont="1" applyNumberFormat="1">
      <alignment shrinkToFit="0" wrapText="1"/>
    </xf>
    <xf borderId="0" fillId="0" fontId="2" numFmtId="9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9" xfId="0" applyAlignment="1" applyFont="1" applyNumberFormat="1">
      <alignment horizontal="right" shrinkToFit="0" vertical="bottom" wrapText="1"/>
    </xf>
    <xf borderId="0" fillId="0" fontId="2" numFmtId="9" xfId="0" applyAlignment="1" applyFont="1" applyNumberFormat="1">
      <alignment vertical="bottom"/>
    </xf>
    <xf borderId="0" fillId="0" fontId="2" numFmtId="4" xfId="0" applyAlignment="1" applyFont="1" applyNumberFormat="1">
      <alignment horizontal="right" readingOrder="0" shrinkToFit="0" vertical="bottom" wrapText="1"/>
    </xf>
    <xf borderId="0" fillId="0" fontId="2" numFmtId="164" xfId="0" applyAlignment="1" applyFont="1" applyNumberFormat="1">
      <alignment horizontal="right" shrinkToFit="0" vertical="bottom" wrapText="1"/>
    </xf>
    <xf borderId="0" fillId="0" fontId="2" numFmtId="4" xfId="0" applyAlignment="1" applyFont="1" applyNumberFormat="1">
      <alignment horizontal="right" shrinkToFit="0" vertical="bottom" wrapText="1"/>
    </xf>
    <xf borderId="0" fillId="0" fontId="2" numFmtId="0" xfId="0" applyAlignment="1" applyFont="1">
      <alignment vertical="bottom"/>
    </xf>
    <xf borderId="0" fillId="5" fontId="2" numFmtId="164" xfId="0" applyAlignment="1" applyFont="1" applyNumberFormat="1">
      <alignment horizontal="right" shrinkToFit="0" vertical="bottom" wrapText="1"/>
    </xf>
    <xf borderId="0" fillId="0" fontId="2" numFmtId="49" xfId="0" applyAlignment="1" applyFont="1" applyNumberFormat="1">
      <alignment shrinkToFit="0" vertical="bottom" wrapText="1"/>
    </xf>
    <xf borderId="0" fillId="0" fontId="2" numFmtId="167" xfId="0" applyAlignment="1" applyFont="1" applyNumberFormat="1">
      <alignment horizontal="right" shrinkToFit="0" vertical="bottom" wrapText="1"/>
    </xf>
    <xf borderId="0" fillId="0" fontId="2" numFmtId="167" xfId="0" applyAlignment="1" applyFont="1" applyNumberFormat="1">
      <alignment horizontal="right" shrinkToFit="0" vertical="bottom" wrapText="1"/>
    </xf>
    <xf borderId="0" fillId="6" fontId="6" numFmtId="167" xfId="0" applyAlignment="1" applyFont="1" applyNumberFormat="1">
      <alignment horizontal="right" readingOrder="0" shrinkToFit="0" vertical="bottom" wrapText="1"/>
    </xf>
    <xf borderId="0" fillId="7" fontId="2" numFmtId="164" xfId="0" applyAlignment="1" applyFont="1" applyNumberFormat="1">
      <alignment horizontal="right" shrinkToFit="0" vertical="bottom" wrapText="1"/>
    </xf>
    <xf borderId="0" fillId="0" fontId="2" numFmtId="10" xfId="0" applyAlignment="1" applyFont="1" applyNumberFormat="1">
      <alignment horizontal="right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shrinkToFit="0" wrapText="1"/>
    </xf>
    <xf borderId="0" fillId="0" fontId="2" numFmtId="167" xfId="0" applyAlignment="1" applyFont="1" applyNumberFormat="1">
      <alignment shrinkToFit="0" wrapText="1"/>
    </xf>
    <xf borderId="0" fillId="6" fontId="2" numFmtId="167" xfId="0" applyAlignment="1" applyFont="1" applyNumberFormat="1">
      <alignment shrinkToFit="0" wrapText="1"/>
    </xf>
    <xf borderId="0" fillId="0" fontId="2" numFmtId="167" xfId="0" applyAlignment="1" applyFont="1" applyNumberFormat="1">
      <alignment shrinkToFit="0" wrapText="1"/>
    </xf>
    <xf borderId="0" fillId="0" fontId="3" numFmtId="49" xfId="0" applyFont="1" applyNumberFormat="1"/>
    <xf borderId="0" fillId="0" fontId="3" numFmtId="167" xfId="0" applyFont="1" applyNumberFormat="1"/>
    <xf borderId="0" fillId="6" fontId="3" numFmtId="167" xfId="0" applyFont="1" applyNumberFormat="1"/>
    <xf borderId="0" fillId="7" fontId="3" numFmtId="0" xfId="0" applyFont="1"/>
    <xf borderId="0" fillId="5" fontId="3" numFmtId="0" xfId="0" applyFont="1"/>
    <xf borderId="0" fillId="0" fontId="3" numFmtId="168" xfId="0" applyFont="1" applyNumberFormat="1"/>
    <xf borderId="0" fillId="0" fontId="3" numFmtId="167" xfId="0" applyAlignment="1" applyFont="1" applyNumberFormat="1">
      <alignment readingOrder="0"/>
    </xf>
    <xf borderId="0" fillId="0" fontId="3" numFmtId="10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F8D7DA"/>
          <bgColor rgb="FFF8D7D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4" width="24.0"/>
    <col customWidth="1" min="5" max="5" width="15.63"/>
    <col customWidth="1" min="6" max="6" width="14.5"/>
    <col customWidth="1" min="7" max="7" width="15.63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7</v>
      </c>
      <c r="B2" s="3" t="s">
        <v>8</v>
      </c>
      <c r="C2" s="3" t="s">
        <v>9</v>
      </c>
      <c r="D2" s="3" t="s">
        <v>10</v>
      </c>
      <c r="E2" s="4">
        <v>1000.0</v>
      </c>
      <c r="F2" s="5">
        <v>28000.0</v>
      </c>
      <c r="G2" s="5">
        <f t="shared" ref="G2:G500" si="1">IFERROR(F2/E2,0)</f>
        <v>28</v>
      </c>
    </row>
    <row r="3">
      <c r="A3" s="3" t="s">
        <v>11</v>
      </c>
      <c r="B3" s="3" t="s">
        <v>12</v>
      </c>
      <c r="C3" s="3" t="s">
        <v>9</v>
      </c>
      <c r="D3" s="3" t="s">
        <v>10</v>
      </c>
      <c r="E3" s="4">
        <v>1000.0</v>
      </c>
      <c r="F3" s="6">
        <v>13500.0</v>
      </c>
      <c r="G3" s="5">
        <f t="shared" si="1"/>
        <v>13.5</v>
      </c>
    </row>
    <row r="4">
      <c r="A4" s="3" t="s">
        <v>13</v>
      </c>
      <c r="B4" s="3" t="s">
        <v>14</v>
      </c>
      <c r="C4" s="3" t="s">
        <v>15</v>
      </c>
      <c r="D4" s="3" t="s">
        <v>10</v>
      </c>
      <c r="E4" s="4">
        <v>1000.0</v>
      </c>
      <c r="F4" s="5">
        <v>35000.0</v>
      </c>
      <c r="G4" s="5">
        <f t="shared" si="1"/>
        <v>35</v>
      </c>
    </row>
    <row r="5">
      <c r="A5" s="3" t="s">
        <v>16</v>
      </c>
      <c r="B5" s="3" t="s">
        <v>17</v>
      </c>
      <c r="C5" s="3" t="s">
        <v>15</v>
      </c>
      <c r="D5" s="3" t="s">
        <v>10</v>
      </c>
      <c r="E5" s="4">
        <v>1000.0</v>
      </c>
      <c r="F5" s="6">
        <v>18000.0</v>
      </c>
      <c r="G5" s="5">
        <f t="shared" si="1"/>
        <v>18</v>
      </c>
    </row>
    <row r="6">
      <c r="A6" s="7" t="s">
        <v>18</v>
      </c>
      <c r="B6" s="7" t="s">
        <v>19</v>
      </c>
      <c r="C6" s="7">
        <v>360.0</v>
      </c>
      <c r="D6" s="3" t="s">
        <v>10</v>
      </c>
      <c r="E6" s="8">
        <v>1000.0</v>
      </c>
      <c r="F6" s="6">
        <v>28000.0</v>
      </c>
      <c r="G6" s="5">
        <f t="shared" si="1"/>
        <v>28</v>
      </c>
    </row>
    <row r="7">
      <c r="E7" s="9"/>
      <c r="F7" s="10"/>
      <c r="G7" s="10">
        <f t="shared" si="1"/>
        <v>0</v>
      </c>
    </row>
    <row r="8">
      <c r="E8" s="9"/>
      <c r="F8" s="10"/>
      <c r="G8" s="10">
        <f t="shared" si="1"/>
        <v>0</v>
      </c>
    </row>
    <row r="9">
      <c r="E9" s="9"/>
      <c r="F9" s="10"/>
      <c r="G9" s="10">
        <f t="shared" si="1"/>
        <v>0</v>
      </c>
    </row>
    <row r="10">
      <c r="E10" s="9"/>
      <c r="F10" s="10"/>
      <c r="G10" s="10">
        <f t="shared" si="1"/>
        <v>0</v>
      </c>
    </row>
    <row r="11">
      <c r="E11" s="9"/>
      <c r="F11" s="10"/>
      <c r="G11" s="10">
        <f t="shared" si="1"/>
        <v>0</v>
      </c>
    </row>
    <row r="12">
      <c r="E12" s="9"/>
      <c r="F12" s="10"/>
      <c r="G12" s="10">
        <f t="shared" si="1"/>
        <v>0</v>
      </c>
    </row>
    <row r="13">
      <c r="E13" s="9"/>
      <c r="F13" s="10"/>
      <c r="G13" s="10">
        <f t="shared" si="1"/>
        <v>0</v>
      </c>
    </row>
    <row r="14">
      <c r="E14" s="9"/>
      <c r="F14" s="10"/>
      <c r="G14" s="10">
        <f t="shared" si="1"/>
        <v>0</v>
      </c>
    </row>
    <row r="15">
      <c r="E15" s="9"/>
      <c r="F15" s="10"/>
      <c r="G15" s="10">
        <f t="shared" si="1"/>
        <v>0</v>
      </c>
    </row>
    <row r="16">
      <c r="E16" s="9"/>
      <c r="F16" s="10"/>
      <c r="G16" s="10">
        <f t="shared" si="1"/>
        <v>0</v>
      </c>
    </row>
    <row r="17">
      <c r="E17" s="9"/>
      <c r="F17" s="10"/>
      <c r="G17" s="10">
        <f t="shared" si="1"/>
        <v>0</v>
      </c>
    </row>
    <row r="18">
      <c r="E18" s="9"/>
      <c r="F18" s="10"/>
      <c r="G18" s="10">
        <f t="shared" si="1"/>
        <v>0</v>
      </c>
    </row>
    <row r="19">
      <c r="E19" s="9"/>
      <c r="F19" s="10"/>
      <c r="G19" s="10">
        <f t="shared" si="1"/>
        <v>0</v>
      </c>
    </row>
    <row r="20">
      <c r="E20" s="9"/>
      <c r="F20" s="10"/>
      <c r="G20" s="10">
        <f t="shared" si="1"/>
        <v>0</v>
      </c>
    </row>
    <row r="21" ht="15.75" customHeight="1">
      <c r="E21" s="9"/>
      <c r="F21" s="10"/>
      <c r="G21" s="10">
        <f t="shared" si="1"/>
        <v>0</v>
      </c>
    </row>
    <row r="22" ht="15.75" customHeight="1">
      <c r="E22" s="9"/>
      <c r="F22" s="10"/>
      <c r="G22" s="10">
        <f t="shared" si="1"/>
        <v>0</v>
      </c>
    </row>
    <row r="23" ht="15.75" customHeight="1">
      <c r="E23" s="9"/>
      <c r="F23" s="10"/>
      <c r="G23" s="10">
        <f t="shared" si="1"/>
        <v>0</v>
      </c>
    </row>
    <row r="24" ht="15.75" customHeight="1">
      <c r="E24" s="9"/>
      <c r="F24" s="10"/>
      <c r="G24" s="10">
        <f t="shared" si="1"/>
        <v>0</v>
      </c>
    </row>
    <row r="25" ht="15.75" customHeight="1">
      <c r="E25" s="9"/>
      <c r="F25" s="10"/>
      <c r="G25" s="10">
        <f t="shared" si="1"/>
        <v>0</v>
      </c>
    </row>
    <row r="26" ht="15.75" customHeight="1">
      <c r="E26" s="9"/>
      <c r="F26" s="10"/>
      <c r="G26" s="10">
        <f t="shared" si="1"/>
        <v>0</v>
      </c>
    </row>
    <row r="27" ht="15.75" customHeight="1">
      <c r="E27" s="9"/>
      <c r="F27" s="10"/>
      <c r="G27" s="10">
        <f t="shared" si="1"/>
        <v>0</v>
      </c>
    </row>
    <row r="28" ht="15.75" customHeight="1">
      <c r="E28" s="9"/>
      <c r="F28" s="10"/>
      <c r="G28" s="10">
        <f t="shared" si="1"/>
        <v>0</v>
      </c>
    </row>
    <row r="29" ht="15.75" customHeight="1">
      <c r="E29" s="9"/>
      <c r="F29" s="10"/>
      <c r="G29" s="10">
        <f t="shared" si="1"/>
        <v>0</v>
      </c>
    </row>
    <row r="30" ht="15.75" customHeight="1">
      <c r="E30" s="9"/>
      <c r="F30" s="10"/>
      <c r="G30" s="10">
        <f t="shared" si="1"/>
        <v>0</v>
      </c>
    </row>
    <row r="31" ht="15.75" customHeight="1">
      <c r="E31" s="9"/>
      <c r="F31" s="10"/>
      <c r="G31" s="10">
        <f t="shared" si="1"/>
        <v>0</v>
      </c>
    </row>
    <row r="32" ht="15.75" customHeight="1">
      <c r="E32" s="9"/>
      <c r="F32" s="10"/>
      <c r="G32" s="10">
        <f t="shared" si="1"/>
        <v>0</v>
      </c>
    </row>
    <row r="33" ht="15.75" customHeight="1">
      <c r="E33" s="9"/>
      <c r="F33" s="10"/>
      <c r="G33" s="10">
        <f t="shared" si="1"/>
        <v>0</v>
      </c>
    </row>
    <row r="34" ht="15.75" customHeight="1">
      <c r="E34" s="9"/>
      <c r="F34" s="10"/>
      <c r="G34" s="10">
        <f t="shared" si="1"/>
        <v>0</v>
      </c>
    </row>
    <row r="35" ht="15.75" customHeight="1">
      <c r="E35" s="9"/>
      <c r="F35" s="10"/>
      <c r="G35" s="10">
        <f t="shared" si="1"/>
        <v>0</v>
      </c>
    </row>
    <row r="36" ht="15.75" customHeight="1">
      <c r="E36" s="9"/>
      <c r="F36" s="10"/>
      <c r="G36" s="10">
        <f t="shared" si="1"/>
        <v>0</v>
      </c>
    </row>
    <row r="37" ht="15.75" customHeight="1">
      <c r="E37" s="9"/>
      <c r="F37" s="10"/>
      <c r="G37" s="10">
        <f t="shared" si="1"/>
        <v>0</v>
      </c>
    </row>
    <row r="38" ht="15.75" customHeight="1">
      <c r="E38" s="9"/>
      <c r="F38" s="10"/>
      <c r="G38" s="10">
        <f t="shared" si="1"/>
        <v>0</v>
      </c>
    </row>
    <row r="39" ht="15.75" customHeight="1">
      <c r="E39" s="9"/>
      <c r="F39" s="10"/>
      <c r="G39" s="10">
        <f t="shared" si="1"/>
        <v>0</v>
      </c>
    </row>
    <row r="40" ht="15.75" customHeight="1">
      <c r="E40" s="9"/>
      <c r="F40" s="10"/>
      <c r="G40" s="10">
        <f t="shared" si="1"/>
        <v>0</v>
      </c>
    </row>
    <row r="41" ht="15.75" customHeight="1">
      <c r="E41" s="9"/>
      <c r="F41" s="10"/>
      <c r="G41" s="10">
        <f t="shared" si="1"/>
        <v>0</v>
      </c>
    </row>
    <row r="42" ht="15.75" customHeight="1">
      <c r="E42" s="9"/>
      <c r="F42" s="10"/>
      <c r="G42" s="10">
        <f t="shared" si="1"/>
        <v>0</v>
      </c>
    </row>
    <row r="43" ht="15.75" customHeight="1">
      <c r="E43" s="9"/>
      <c r="F43" s="10"/>
      <c r="G43" s="10">
        <f t="shared" si="1"/>
        <v>0</v>
      </c>
    </row>
    <row r="44" ht="15.75" customHeight="1">
      <c r="E44" s="9"/>
      <c r="F44" s="10"/>
      <c r="G44" s="10">
        <f t="shared" si="1"/>
        <v>0</v>
      </c>
    </row>
    <row r="45" ht="15.75" customHeight="1">
      <c r="E45" s="9"/>
      <c r="F45" s="10"/>
      <c r="G45" s="10">
        <f t="shared" si="1"/>
        <v>0</v>
      </c>
    </row>
    <row r="46" ht="15.75" customHeight="1">
      <c r="E46" s="9"/>
      <c r="F46" s="10"/>
      <c r="G46" s="10">
        <f t="shared" si="1"/>
        <v>0</v>
      </c>
    </row>
    <row r="47" ht="15.75" customHeight="1">
      <c r="E47" s="9"/>
      <c r="F47" s="10"/>
      <c r="G47" s="10">
        <f t="shared" si="1"/>
        <v>0</v>
      </c>
    </row>
    <row r="48" ht="15.75" customHeight="1">
      <c r="E48" s="9"/>
      <c r="F48" s="10"/>
      <c r="G48" s="10">
        <f t="shared" si="1"/>
        <v>0</v>
      </c>
    </row>
    <row r="49" ht="15.75" customHeight="1">
      <c r="E49" s="9"/>
      <c r="F49" s="10"/>
      <c r="G49" s="10">
        <f t="shared" si="1"/>
        <v>0</v>
      </c>
    </row>
    <row r="50" ht="15.75" customHeight="1">
      <c r="E50" s="9"/>
      <c r="F50" s="10"/>
      <c r="G50" s="10">
        <f t="shared" si="1"/>
        <v>0</v>
      </c>
    </row>
    <row r="51" ht="15.75" customHeight="1">
      <c r="E51" s="9"/>
      <c r="F51" s="10"/>
      <c r="G51" s="10">
        <f t="shared" si="1"/>
        <v>0</v>
      </c>
    </row>
    <row r="52" ht="15.75" customHeight="1">
      <c r="E52" s="9"/>
      <c r="F52" s="10"/>
      <c r="G52" s="10">
        <f t="shared" si="1"/>
        <v>0</v>
      </c>
    </row>
    <row r="53" ht="15.75" customHeight="1">
      <c r="E53" s="9"/>
      <c r="F53" s="10"/>
      <c r="G53" s="10">
        <f t="shared" si="1"/>
        <v>0</v>
      </c>
    </row>
    <row r="54" ht="15.75" customHeight="1">
      <c r="E54" s="9"/>
      <c r="F54" s="10"/>
      <c r="G54" s="10">
        <f t="shared" si="1"/>
        <v>0</v>
      </c>
    </row>
    <row r="55" ht="15.75" customHeight="1">
      <c r="E55" s="9"/>
      <c r="F55" s="10"/>
      <c r="G55" s="10">
        <f t="shared" si="1"/>
        <v>0</v>
      </c>
    </row>
    <row r="56" ht="15.75" customHeight="1">
      <c r="E56" s="9"/>
      <c r="F56" s="10"/>
      <c r="G56" s="10">
        <f t="shared" si="1"/>
        <v>0</v>
      </c>
    </row>
    <row r="57" ht="15.75" customHeight="1">
      <c r="E57" s="9"/>
      <c r="F57" s="10"/>
      <c r="G57" s="10">
        <f t="shared" si="1"/>
        <v>0</v>
      </c>
    </row>
    <row r="58" ht="15.75" customHeight="1">
      <c r="E58" s="9"/>
      <c r="F58" s="10"/>
      <c r="G58" s="10">
        <f t="shared" si="1"/>
        <v>0</v>
      </c>
    </row>
    <row r="59" ht="15.75" customHeight="1">
      <c r="E59" s="9"/>
      <c r="F59" s="10"/>
      <c r="G59" s="10">
        <f t="shared" si="1"/>
        <v>0</v>
      </c>
    </row>
    <row r="60" ht="15.75" customHeight="1">
      <c r="E60" s="9"/>
      <c r="F60" s="10"/>
      <c r="G60" s="10">
        <f t="shared" si="1"/>
        <v>0</v>
      </c>
    </row>
    <row r="61" ht="15.75" customHeight="1">
      <c r="E61" s="9"/>
      <c r="F61" s="10"/>
      <c r="G61" s="10">
        <f t="shared" si="1"/>
        <v>0</v>
      </c>
    </row>
    <row r="62" ht="15.75" customHeight="1">
      <c r="E62" s="9"/>
      <c r="F62" s="10"/>
      <c r="G62" s="10">
        <f t="shared" si="1"/>
        <v>0</v>
      </c>
    </row>
    <row r="63" ht="15.75" customHeight="1">
      <c r="E63" s="9"/>
      <c r="F63" s="10"/>
      <c r="G63" s="10">
        <f t="shared" si="1"/>
        <v>0</v>
      </c>
    </row>
    <row r="64" ht="15.75" customHeight="1">
      <c r="E64" s="9"/>
      <c r="F64" s="10"/>
      <c r="G64" s="10">
        <f t="shared" si="1"/>
        <v>0</v>
      </c>
    </row>
    <row r="65" ht="15.75" customHeight="1">
      <c r="E65" s="9"/>
      <c r="F65" s="10"/>
      <c r="G65" s="10">
        <f t="shared" si="1"/>
        <v>0</v>
      </c>
    </row>
    <row r="66" ht="15.75" customHeight="1">
      <c r="E66" s="9"/>
      <c r="F66" s="10"/>
      <c r="G66" s="10">
        <f t="shared" si="1"/>
        <v>0</v>
      </c>
    </row>
    <row r="67" ht="15.75" customHeight="1">
      <c r="E67" s="9"/>
      <c r="F67" s="10"/>
      <c r="G67" s="10">
        <f t="shared" si="1"/>
        <v>0</v>
      </c>
    </row>
    <row r="68" ht="15.75" customHeight="1">
      <c r="E68" s="9"/>
      <c r="F68" s="10"/>
      <c r="G68" s="10">
        <f t="shared" si="1"/>
        <v>0</v>
      </c>
    </row>
    <row r="69" ht="15.75" customHeight="1">
      <c r="E69" s="9"/>
      <c r="F69" s="10"/>
      <c r="G69" s="10">
        <f t="shared" si="1"/>
        <v>0</v>
      </c>
    </row>
    <row r="70" ht="15.75" customHeight="1">
      <c r="E70" s="9"/>
      <c r="F70" s="10"/>
      <c r="G70" s="10">
        <f t="shared" si="1"/>
        <v>0</v>
      </c>
    </row>
    <row r="71" ht="15.75" customHeight="1">
      <c r="E71" s="9"/>
      <c r="F71" s="10"/>
      <c r="G71" s="10">
        <f t="shared" si="1"/>
        <v>0</v>
      </c>
    </row>
    <row r="72" ht="15.75" customHeight="1">
      <c r="E72" s="9"/>
      <c r="F72" s="10"/>
      <c r="G72" s="10">
        <f t="shared" si="1"/>
        <v>0</v>
      </c>
    </row>
    <row r="73" ht="15.75" customHeight="1">
      <c r="E73" s="9"/>
      <c r="F73" s="10"/>
      <c r="G73" s="10">
        <f t="shared" si="1"/>
        <v>0</v>
      </c>
    </row>
    <row r="74" ht="15.75" customHeight="1">
      <c r="E74" s="9"/>
      <c r="F74" s="10"/>
      <c r="G74" s="10">
        <f t="shared" si="1"/>
        <v>0</v>
      </c>
    </row>
    <row r="75" ht="15.75" customHeight="1">
      <c r="E75" s="9"/>
      <c r="F75" s="10"/>
      <c r="G75" s="10">
        <f t="shared" si="1"/>
        <v>0</v>
      </c>
    </row>
    <row r="76" ht="15.75" customHeight="1">
      <c r="E76" s="9"/>
      <c r="F76" s="10"/>
      <c r="G76" s="10">
        <f t="shared" si="1"/>
        <v>0</v>
      </c>
    </row>
    <row r="77" ht="15.75" customHeight="1">
      <c r="E77" s="9"/>
      <c r="F77" s="10"/>
      <c r="G77" s="10">
        <f t="shared" si="1"/>
        <v>0</v>
      </c>
    </row>
    <row r="78" ht="15.75" customHeight="1">
      <c r="E78" s="9"/>
      <c r="F78" s="10"/>
      <c r="G78" s="10">
        <f t="shared" si="1"/>
        <v>0</v>
      </c>
    </row>
    <row r="79" ht="15.75" customHeight="1">
      <c r="E79" s="9"/>
      <c r="F79" s="10"/>
      <c r="G79" s="10">
        <f t="shared" si="1"/>
        <v>0</v>
      </c>
    </row>
    <row r="80" ht="15.75" customHeight="1">
      <c r="E80" s="9"/>
      <c r="F80" s="10"/>
      <c r="G80" s="10">
        <f t="shared" si="1"/>
        <v>0</v>
      </c>
    </row>
    <row r="81" ht="15.75" customHeight="1">
      <c r="E81" s="9"/>
      <c r="F81" s="10"/>
      <c r="G81" s="10">
        <f t="shared" si="1"/>
        <v>0</v>
      </c>
    </row>
    <row r="82" ht="15.75" customHeight="1">
      <c r="E82" s="9"/>
      <c r="F82" s="10"/>
      <c r="G82" s="10">
        <f t="shared" si="1"/>
        <v>0</v>
      </c>
    </row>
    <row r="83" ht="15.75" customHeight="1">
      <c r="E83" s="9"/>
      <c r="F83" s="10"/>
      <c r="G83" s="10">
        <f t="shared" si="1"/>
        <v>0</v>
      </c>
    </row>
    <row r="84" ht="15.75" customHeight="1">
      <c r="E84" s="9"/>
      <c r="F84" s="10"/>
      <c r="G84" s="10">
        <f t="shared" si="1"/>
        <v>0</v>
      </c>
    </row>
    <row r="85" ht="15.75" customHeight="1">
      <c r="E85" s="9"/>
      <c r="F85" s="10"/>
      <c r="G85" s="10">
        <f t="shared" si="1"/>
        <v>0</v>
      </c>
    </row>
    <row r="86" ht="15.75" customHeight="1">
      <c r="E86" s="9"/>
      <c r="F86" s="10"/>
      <c r="G86" s="10">
        <f t="shared" si="1"/>
        <v>0</v>
      </c>
    </row>
    <row r="87" ht="15.75" customHeight="1">
      <c r="E87" s="9"/>
      <c r="F87" s="10"/>
      <c r="G87" s="10">
        <f t="shared" si="1"/>
        <v>0</v>
      </c>
    </row>
    <row r="88" ht="15.75" customHeight="1">
      <c r="E88" s="9"/>
      <c r="F88" s="10"/>
      <c r="G88" s="10">
        <f t="shared" si="1"/>
        <v>0</v>
      </c>
    </row>
    <row r="89" ht="15.75" customHeight="1">
      <c r="E89" s="9"/>
      <c r="F89" s="10"/>
      <c r="G89" s="10">
        <f t="shared" si="1"/>
        <v>0</v>
      </c>
    </row>
    <row r="90" ht="15.75" customHeight="1">
      <c r="E90" s="9"/>
      <c r="F90" s="10"/>
      <c r="G90" s="10">
        <f t="shared" si="1"/>
        <v>0</v>
      </c>
    </row>
    <row r="91" ht="15.75" customHeight="1">
      <c r="E91" s="9"/>
      <c r="F91" s="10"/>
      <c r="G91" s="10">
        <f t="shared" si="1"/>
        <v>0</v>
      </c>
    </row>
    <row r="92" ht="15.75" customHeight="1">
      <c r="E92" s="9"/>
      <c r="F92" s="10"/>
      <c r="G92" s="10">
        <f t="shared" si="1"/>
        <v>0</v>
      </c>
    </row>
    <row r="93" ht="15.75" customHeight="1">
      <c r="E93" s="9"/>
      <c r="F93" s="10"/>
      <c r="G93" s="10">
        <f t="shared" si="1"/>
        <v>0</v>
      </c>
    </row>
    <row r="94" ht="15.75" customHeight="1">
      <c r="E94" s="9"/>
      <c r="F94" s="10"/>
      <c r="G94" s="10">
        <f t="shared" si="1"/>
        <v>0</v>
      </c>
    </row>
    <row r="95" ht="15.75" customHeight="1">
      <c r="E95" s="9"/>
      <c r="F95" s="10"/>
      <c r="G95" s="10">
        <f t="shared" si="1"/>
        <v>0</v>
      </c>
    </row>
    <row r="96" ht="15.75" customHeight="1">
      <c r="E96" s="9"/>
      <c r="F96" s="10"/>
      <c r="G96" s="10">
        <f t="shared" si="1"/>
        <v>0</v>
      </c>
    </row>
    <row r="97" ht="15.75" customHeight="1">
      <c r="E97" s="9"/>
      <c r="F97" s="10"/>
      <c r="G97" s="10">
        <f t="shared" si="1"/>
        <v>0</v>
      </c>
    </row>
    <row r="98" ht="15.75" customHeight="1">
      <c r="E98" s="9"/>
      <c r="F98" s="10"/>
      <c r="G98" s="10">
        <f t="shared" si="1"/>
        <v>0</v>
      </c>
    </row>
    <row r="99" ht="15.75" customHeight="1">
      <c r="E99" s="9"/>
      <c r="F99" s="10"/>
      <c r="G99" s="10">
        <f t="shared" si="1"/>
        <v>0</v>
      </c>
    </row>
    <row r="100" ht="15.75" customHeight="1">
      <c r="E100" s="9"/>
      <c r="F100" s="10"/>
      <c r="G100" s="10">
        <f t="shared" si="1"/>
        <v>0</v>
      </c>
    </row>
    <row r="101" ht="15.75" customHeight="1">
      <c r="E101" s="9"/>
      <c r="F101" s="10"/>
      <c r="G101" s="10">
        <f t="shared" si="1"/>
        <v>0</v>
      </c>
    </row>
    <row r="102" ht="15.75" customHeight="1">
      <c r="E102" s="9"/>
      <c r="F102" s="10"/>
      <c r="G102" s="10">
        <f t="shared" si="1"/>
        <v>0</v>
      </c>
    </row>
    <row r="103" ht="15.75" customHeight="1">
      <c r="E103" s="9"/>
      <c r="F103" s="10"/>
      <c r="G103" s="10">
        <f t="shared" si="1"/>
        <v>0</v>
      </c>
    </row>
    <row r="104" ht="15.75" customHeight="1">
      <c r="E104" s="9"/>
      <c r="F104" s="10"/>
      <c r="G104" s="10">
        <f t="shared" si="1"/>
        <v>0</v>
      </c>
    </row>
    <row r="105" ht="15.75" customHeight="1">
      <c r="E105" s="9"/>
      <c r="F105" s="10"/>
      <c r="G105" s="10">
        <f t="shared" si="1"/>
        <v>0</v>
      </c>
    </row>
    <row r="106" ht="15.75" customHeight="1">
      <c r="E106" s="9"/>
      <c r="F106" s="10"/>
      <c r="G106" s="10">
        <f t="shared" si="1"/>
        <v>0</v>
      </c>
    </row>
    <row r="107" ht="15.75" customHeight="1">
      <c r="E107" s="9"/>
      <c r="F107" s="10"/>
      <c r="G107" s="10">
        <f t="shared" si="1"/>
        <v>0</v>
      </c>
    </row>
    <row r="108" ht="15.75" customHeight="1">
      <c r="E108" s="9"/>
      <c r="F108" s="10"/>
      <c r="G108" s="10">
        <f t="shared" si="1"/>
        <v>0</v>
      </c>
    </row>
    <row r="109" ht="15.75" customHeight="1">
      <c r="E109" s="9"/>
      <c r="F109" s="10"/>
      <c r="G109" s="10">
        <f t="shared" si="1"/>
        <v>0</v>
      </c>
    </row>
    <row r="110" ht="15.75" customHeight="1">
      <c r="E110" s="9"/>
      <c r="F110" s="10"/>
      <c r="G110" s="10">
        <f t="shared" si="1"/>
        <v>0</v>
      </c>
    </row>
    <row r="111" ht="15.75" customHeight="1">
      <c r="E111" s="9"/>
      <c r="F111" s="10"/>
      <c r="G111" s="10">
        <f t="shared" si="1"/>
        <v>0</v>
      </c>
    </row>
    <row r="112" ht="15.75" customHeight="1">
      <c r="E112" s="9"/>
      <c r="F112" s="10"/>
      <c r="G112" s="10">
        <f t="shared" si="1"/>
        <v>0</v>
      </c>
    </row>
    <row r="113" ht="15.75" customHeight="1">
      <c r="E113" s="9"/>
      <c r="F113" s="10"/>
      <c r="G113" s="10">
        <f t="shared" si="1"/>
        <v>0</v>
      </c>
    </row>
    <row r="114" ht="15.75" customHeight="1">
      <c r="E114" s="9"/>
      <c r="F114" s="10"/>
      <c r="G114" s="10">
        <f t="shared" si="1"/>
        <v>0</v>
      </c>
    </row>
    <row r="115" ht="15.75" customHeight="1">
      <c r="E115" s="9"/>
      <c r="F115" s="10"/>
      <c r="G115" s="10">
        <f t="shared" si="1"/>
        <v>0</v>
      </c>
    </row>
    <row r="116" ht="15.75" customHeight="1">
      <c r="E116" s="9"/>
      <c r="F116" s="10"/>
      <c r="G116" s="10">
        <f t="shared" si="1"/>
        <v>0</v>
      </c>
    </row>
    <row r="117" ht="15.75" customHeight="1">
      <c r="E117" s="9"/>
      <c r="F117" s="10"/>
      <c r="G117" s="10">
        <f t="shared" si="1"/>
        <v>0</v>
      </c>
    </row>
    <row r="118" ht="15.75" customHeight="1">
      <c r="E118" s="9"/>
      <c r="F118" s="10"/>
      <c r="G118" s="10">
        <f t="shared" si="1"/>
        <v>0</v>
      </c>
    </row>
    <row r="119" ht="15.75" customHeight="1">
      <c r="E119" s="9"/>
      <c r="F119" s="10"/>
      <c r="G119" s="10">
        <f t="shared" si="1"/>
        <v>0</v>
      </c>
    </row>
    <row r="120" ht="15.75" customHeight="1">
      <c r="E120" s="9"/>
      <c r="F120" s="10"/>
      <c r="G120" s="10">
        <f t="shared" si="1"/>
        <v>0</v>
      </c>
    </row>
    <row r="121" ht="15.75" customHeight="1">
      <c r="E121" s="9"/>
      <c r="F121" s="10"/>
      <c r="G121" s="10">
        <f t="shared" si="1"/>
        <v>0</v>
      </c>
    </row>
    <row r="122" ht="15.75" customHeight="1">
      <c r="E122" s="9"/>
      <c r="F122" s="10"/>
      <c r="G122" s="10">
        <f t="shared" si="1"/>
        <v>0</v>
      </c>
    </row>
    <row r="123" ht="15.75" customHeight="1">
      <c r="E123" s="9"/>
      <c r="F123" s="10"/>
      <c r="G123" s="10">
        <f t="shared" si="1"/>
        <v>0</v>
      </c>
    </row>
    <row r="124" ht="15.75" customHeight="1">
      <c r="E124" s="9"/>
      <c r="F124" s="10"/>
      <c r="G124" s="10">
        <f t="shared" si="1"/>
        <v>0</v>
      </c>
    </row>
    <row r="125" ht="15.75" customHeight="1">
      <c r="E125" s="9"/>
      <c r="F125" s="10"/>
      <c r="G125" s="10">
        <f t="shared" si="1"/>
        <v>0</v>
      </c>
    </row>
    <row r="126" ht="15.75" customHeight="1">
      <c r="E126" s="9"/>
      <c r="F126" s="10"/>
      <c r="G126" s="10">
        <f t="shared" si="1"/>
        <v>0</v>
      </c>
    </row>
    <row r="127" ht="15.75" customHeight="1">
      <c r="E127" s="9"/>
      <c r="F127" s="10"/>
      <c r="G127" s="10">
        <f t="shared" si="1"/>
        <v>0</v>
      </c>
    </row>
    <row r="128" ht="15.75" customHeight="1">
      <c r="E128" s="9"/>
      <c r="F128" s="10"/>
      <c r="G128" s="10">
        <f t="shared" si="1"/>
        <v>0</v>
      </c>
    </row>
    <row r="129" ht="15.75" customHeight="1">
      <c r="E129" s="9"/>
      <c r="F129" s="10"/>
      <c r="G129" s="10">
        <f t="shared" si="1"/>
        <v>0</v>
      </c>
    </row>
    <row r="130" ht="15.75" customHeight="1">
      <c r="E130" s="9"/>
      <c r="F130" s="10"/>
      <c r="G130" s="10">
        <f t="shared" si="1"/>
        <v>0</v>
      </c>
    </row>
    <row r="131" ht="15.75" customHeight="1">
      <c r="E131" s="9"/>
      <c r="F131" s="10"/>
      <c r="G131" s="10">
        <f t="shared" si="1"/>
        <v>0</v>
      </c>
    </row>
    <row r="132" ht="15.75" customHeight="1">
      <c r="E132" s="9"/>
      <c r="F132" s="10"/>
      <c r="G132" s="10">
        <f t="shared" si="1"/>
        <v>0</v>
      </c>
    </row>
    <row r="133" ht="15.75" customHeight="1">
      <c r="E133" s="9"/>
      <c r="F133" s="10"/>
      <c r="G133" s="10">
        <f t="shared" si="1"/>
        <v>0</v>
      </c>
    </row>
    <row r="134" ht="15.75" customHeight="1">
      <c r="E134" s="9"/>
      <c r="F134" s="10"/>
      <c r="G134" s="10">
        <f t="shared" si="1"/>
        <v>0</v>
      </c>
    </row>
    <row r="135" ht="15.75" customHeight="1">
      <c r="E135" s="9"/>
      <c r="F135" s="10"/>
      <c r="G135" s="10">
        <f t="shared" si="1"/>
        <v>0</v>
      </c>
    </row>
    <row r="136" ht="15.75" customHeight="1">
      <c r="E136" s="9"/>
      <c r="F136" s="10"/>
      <c r="G136" s="10">
        <f t="shared" si="1"/>
        <v>0</v>
      </c>
    </row>
    <row r="137" ht="15.75" customHeight="1">
      <c r="E137" s="9"/>
      <c r="F137" s="10"/>
      <c r="G137" s="10">
        <f t="shared" si="1"/>
        <v>0</v>
      </c>
    </row>
    <row r="138" ht="15.75" customHeight="1">
      <c r="E138" s="9"/>
      <c r="F138" s="10"/>
      <c r="G138" s="10">
        <f t="shared" si="1"/>
        <v>0</v>
      </c>
    </row>
    <row r="139" ht="15.75" customHeight="1">
      <c r="E139" s="9"/>
      <c r="F139" s="10"/>
      <c r="G139" s="10">
        <f t="shared" si="1"/>
        <v>0</v>
      </c>
    </row>
    <row r="140" ht="15.75" customHeight="1">
      <c r="E140" s="9"/>
      <c r="F140" s="10"/>
      <c r="G140" s="10">
        <f t="shared" si="1"/>
        <v>0</v>
      </c>
    </row>
    <row r="141" ht="15.75" customHeight="1">
      <c r="E141" s="9"/>
      <c r="F141" s="10"/>
      <c r="G141" s="10">
        <f t="shared" si="1"/>
        <v>0</v>
      </c>
    </row>
    <row r="142" ht="15.75" customHeight="1">
      <c r="E142" s="9"/>
      <c r="F142" s="10"/>
      <c r="G142" s="10">
        <f t="shared" si="1"/>
        <v>0</v>
      </c>
    </row>
    <row r="143" ht="15.75" customHeight="1">
      <c r="E143" s="9"/>
      <c r="F143" s="10"/>
      <c r="G143" s="10">
        <f t="shared" si="1"/>
        <v>0</v>
      </c>
    </row>
    <row r="144" ht="15.75" customHeight="1">
      <c r="E144" s="9"/>
      <c r="F144" s="10"/>
      <c r="G144" s="10">
        <f t="shared" si="1"/>
        <v>0</v>
      </c>
    </row>
    <row r="145" ht="15.75" customHeight="1">
      <c r="E145" s="9"/>
      <c r="F145" s="10"/>
      <c r="G145" s="10">
        <f t="shared" si="1"/>
        <v>0</v>
      </c>
    </row>
    <row r="146" ht="15.75" customHeight="1">
      <c r="E146" s="9"/>
      <c r="F146" s="10"/>
      <c r="G146" s="10">
        <f t="shared" si="1"/>
        <v>0</v>
      </c>
    </row>
    <row r="147" ht="15.75" customHeight="1">
      <c r="E147" s="9"/>
      <c r="F147" s="10"/>
      <c r="G147" s="10">
        <f t="shared" si="1"/>
        <v>0</v>
      </c>
    </row>
    <row r="148" ht="15.75" customHeight="1">
      <c r="E148" s="9"/>
      <c r="F148" s="10"/>
      <c r="G148" s="10">
        <f t="shared" si="1"/>
        <v>0</v>
      </c>
    </row>
    <row r="149" ht="15.75" customHeight="1">
      <c r="E149" s="9"/>
      <c r="F149" s="10"/>
      <c r="G149" s="10">
        <f t="shared" si="1"/>
        <v>0</v>
      </c>
    </row>
    <row r="150" ht="15.75" customHeight="1">
      <c r="E150" s="9"/>
      <c r="F150" s="10"/>
      <c r="G150" s="10">
        <f t="shared" si="1"/>
        <v>0</v>
      </c>
    </row>
    <row r="151" ht="15.75" customHeight="1">
      <c r="E151" s="9"/>
      <c r="F151" s="10"/>
      <c r="G151" s="10">
        <f t="shared" si="1"/>
        <v>0</v>
      </c>
    </row>
    <row r="152" ht="15.75" customHeight="1">
      <c r="E152" s="9"/>
      <c r="F152" s="10"/>
      <c r="G152" s="10">
        <f t="shared" si="1"/>
        <v>0</v>
      </c>
    </row>
    <row r="153" ht="15.75" customHeight="1">
      <c r="E153" s="9"/>
      <c r="F153" s="10"/>
      <c r="G153" s="10">
        <f t="shared" si="1"/>
        <v>0</v>
      </c>
    </row>
    <row r="154" ht="15.75" customHeight="1">
      <c r="E154" s="9"/>
      <c r="F154" s="10"/>
      <c r="G154" s="10">
        <f t="shared" si="1"/>
        <v>0</v>
      </c>
    </row>
    <row r="155" ht="15.75" customHeight="1">
      <c r="E155" s="9"/>
      <c r="F155" s="10"/>
      <c r="G155" s="10">
        <f t="shared" si="1"/>
        <v>0</v>
      </c>
    </row>
    <row r="156" ht="15.75" customHeight="1">
      <c r="E156" s="9"/>
      <c r="F156" s="10"/>
      <c r="G156" s="10">
        <f t="shared" si="1"/>
        <v>0</v>
      </c>
    </row>
    <row r="157" ht="15.75" customHeight="1">
      <c r="E157" s="9"/>
      <c r="F157" s="10"/>
      <c r="G157" s="10">
        <f t="shared" si="1"/>
        <v>0</v>
      </c>
    </row>
    <row r="158" ht="15.75" customHeight="1">
      <c r="E158" s="9"/>
      <c r="F158" s="10"/>
      <c r="G158" s="10">
        <f t="shared" si="1"/>
        <v>0</v>
      </c>
    </row>
    <row r="159" ht="15.75" customHeight="1">
      <c r="E159" s="9"/>
      <c r="F159" s="10"/>
      <c r="G159" s="10">
        <f t="shared" si="1"/>
        <v>0</v>
      </c>
    </row>
    <row r="160" ht="15.75" customHeight="1">
      <c r="E160" s="9"/>
      <c r="F160" s="10"/>
      <c r="G160" s="10">
        <f t="shared" si="1"/>
        <v>0</v>
      </c>
    </row>
    <row r="161" ht="15.75" customHeight="1">
      <c r="E161" s="9"/>
      <c r="F161" s="10"/>
      <c r="G161" s="10">
        <f t="shared" si="1"/>
        <v>0</v>
      </c>
    </row>
    <row r="162" ht="15.75" customHeight="1">
      <c r="E162" s="9"/>
      <c r="F162" s="10"/>
      <c r="G162" s="10">
        <f t="shared" si="1"/>
        <v>0</v>
      </c>
    </row>
    <row r="163" ht="15.75" customHeight="1">
      <c r="E163" s="9"/>
      <c r="F163" s="10"/>
      <c r="G163" s="10">
        <f t="shared" si="1"/>
        <v>0</v>
      </c>
    </row>
    <row r="164" ht="15.75" customHeight="1">
      <c r="E164" s="9"/>
      <c r="F164" s="10"/>
      <c r="G164" s="10">
        <f t="shared" si="1"/>
        <v>0</v>
      </c>
    </row>
    <row r="165" ht="15.75" customHeight="1">
      <c r="E165" s="9"/>
      <c r="F165" s="10"/>
      <c r="G165" s="10">
        <f t="shared" si="1"/>
        <v>0</v>
      </c>
    </row>
    <row r="166" ht="15.75" customHeight="1">
      <c r="E166" s="9"/>
      <c r="F166" s="10"/>
      <c r="G166" s="10">
        <f t="shared" si="1"/>
        <v>0</v>
      </c>
    </row>
    <row r="167" ht="15.75" customHeight="1">
      <c r="E167" s="9"/>
      <c r="F167" s="10"/>
      <c r="G167" s="10">
        <f t="shared" si="1"/>
        <v>0</v>
      </c>
    </row>
    <row r="168" ht="15.75" customHeight="1">
      <c r="E168" s="9"/>
      <c r="F168" s="10"/>
      <c r="G168" s="10">
        <f t="shared" si="1"/>
        <v>0</v>
      </c>
    </row>
    <row r="169" ht="15.75" customHeight="1">
      <c r="E169" s="9"/>
      <c r="F169" s="10"/>
      <c r="G169" s="10">
        <f t="shared" si="1"/>
        <v>0</v>
      </c>
    </row>
    <row r="170" ht="15.75" customHeight="1">
      <c r="E170" s="9"/>
      <c r="F170" s="10"/>
      <c r="G170" s="10">
        <f t="shared" si="1"/>
        <v>0</v>
      </c>
    </row>
    <row r="171" ht="15.75" customHeight="1">
      <c r="E171" s="9"/>
      <c r="F171" s="10"/>
      <c r="G171" s="10">
        <f t="shared" si="1"/>
        <v>0</v>
      </c>
    </row>
    <row r="172" ht="15.75" customHeight="1">
      <c r="E172" s="9"/>
      <c r="F172" s="10"/>
      <c r="G172" s="10">
        <f t="shared" si="1"/>
        <v>0</v>
      </c>
    </row>
    <row r="173" ht="15.75" customHeight="1">
      <c r="E173" s="9"/>
      <c r="F173" s="10"/>
      <c r="G173" s="10">
        <f t="shared" si="1"/>
        <v>0</v>
      </c>
    </row>
    <row r="174" ht="15.75" customHeight="1">
      <c r="E174" s="9"/>
      <c r="F174" s="10"/>
      <c r="G174" s="10">
        <f t="shared" si="1"/>
        <v>0</v>
      </c>
    </row>
    <row r="175" ht="15.75" customHeight="1">
      <c r="E175" s="9"/>
      <c r="F175" s="10"/>
      <c r="G175" s="10">
        <f t="shared" si="1"/>
        <v>0</v>
      </c>
    </row>
    <row r="176" ht="15.75" customHeight="1">
      <c r="E176" s="9"/>
      <c r="F176" s="10"/>
      <c r="G176" s="10">
        <f t="shared" si="1"/>
        <v>0</v>
      </c>
    </row>
    <row r="177" ht="15.75" customHeight="1">
      <c r="E177" s="9"/>
      <c r="F177" s="10"/>
      <c r="G177" s="10">
        <f t="shared" si="1"/>
        <v>0</v>
      </c>
    </row>
    <row r="178" ht="15.75" customHeight="1">
      <c r="E178" s="9"/>
      <c r="F178" s="10"/>
      <c r="G178" s="10">
        <f t="shared" si="1"/>
        <v>0</v>
      </c>
    </row>
    <row r="179" ht="15.75" customHeight="1">
      <c r="E179" s="9"/>
      <c r="F179" s="10"/>
      <c r="G179" s="10">
        <f t="shared" si="1"/>
        <v>0</v>
      </c>
    </row>
    <row r="180" ht="15.75" customHeight="1">
      <c r="E180" s="9"/>
      <c r="F180" s="10"/>
      <c r="G180" s="10">
        <f t="shared" si="1"/>
        <v>0</v>
      </c>
    </row>
    <row r="181" ht="15.75" customHeight="1">
      <c r="E181" s="9"/>
      <c r="F181" s="10"/>
      <c r="G181" s="10">
        <f t="shared" si="1"/>
        <v>0</v>
      </c>
    </row>
    <row r="182" ht="15.75" customHeight="1">
      <c r="E182" s="9"/>
      <c r="F182" s="10"/>
      <c r="G182" s="10">
        <f t="shared" si="1"/>
        <v>0</v>
      </c>
    </row>
    <row r="183" ht="15.75" customHeight="1">
      <c r="E183" s="9"/>
      <c r="F183" s="10"/>
      <c r="G183" s="10">
        <f t="shared" si="1"/>
        <v>0</v>
      </c>
    </row>
    <row r="184" ht="15.75" customHeight="1">
      <c r="E184" s="9"/>
      <c r="F184" s="10"/>
      <c r="G184" s="10">
        <f t="shared" si="1"/>
        <v>0</v>
      </c>
    </row>
    <row r="185" ht="15.75" customHeight="1">
      <c r="E185" s="9"/>
      <c r="F185" s="10"/>
      <c r="G185" s="10">
        <f t="shared" si="1"/>
        <v>0</v>
      </c>
    </row>
    <row r="186" ht="15.75" customHeight="1">
      <c r="E186" s="9"/>
      <c r="F186" s="10"/>
      <c r="G186" s="10">
        <f t="shared" si="1"/>
        <v>0</v>
      </c>
    </row>
    <row r="187" ht="15.75" customHeight="1">
      <c r="E187" s="9"/>
      <c r="F187" s="10"/>
      <c r="G187" s="10">
        <f t="shared" si="1"/>
        <v>0</v>
      </c>
    </row>
    <row r="188" ht="15.75" customHeight="1">
      <c r="E188" s="9"/>
      <c r="F188" s="10"/>
      <c r="G188" s="10">
        <f t="shared" si="1"/>
        <v>0</v>
      </c>
    </row>
    <row r="189" ht="15.75" customHeight="1">
      <c r="E189" s="9"/>
      <c r="F189" s="10"/>
      <c r="G189" s="10">
        <f t="shared" si="1"/>
        <v>0</v>
      </c>
    </row>
    <row r="190" ht="15.75" customHeight="1">
      <c r="E190" s="9"/>
      <c r="F190" s="10"/>
      <c r="G190" s="10">
        <f t="shared" si="1"/>
        <v>0</v>
      </c>
    </row>
    <row r="191" ht="15.75" customHeight="1">
      <c r="E191" s="9"/>
      <c r="F191" s="10"/>
      <c r="G191" s="10">
        <f t="shared" si="1"/>
        <v>0</v>
      </c>
    </row>
    <row r="192" ht="15.75" customHeight="1">
      <c r="E192" s="9"/>
      <c r="F192" s="10"/>
      <c r="G192" s="10">
        <f t="shared" si="1"/>
        <v>0</v>
      </c>
    </row>
    <row r="193" ht="15.75" customHeight="1">
      <c r="E193" s="9"/>
      <c r="F193" s="10"/>
      <c r="G193" s="10">
        <f t="shared" si="1"/>
        <v>0</v>
      </c>
    </row>
    <row r="194" ht="15.75" customHeight="1">
      <c r="E194" s="9"/>
      <c r="F194" s="10"/>
      <c r="G194" s="10">
        <f t="shared" si="1"/>
        <v>0</v>
      </c>
    </row>
    <row r="195" ht="15.75" customHeight="1">
      <c r="E195" s="9"/>
      <c r="F195" s="10"/>
      <c r="G195" s="10">
        <f t="shared" si="1"/>
        <v>0</v>
      </c>
    </row>
    <row r="196" ht="15.75" customHeight="1">
      <c r="E196" s="9"/>
      <c r="F196" s="10"/>
      <c r="G196" s="10">
        <f t="shared" si="1"/>
        <v>0</v>
      </c>
    </row>
    <row r="197" ht="15.75" customHeight="1">
      <c r="E197" s="9"/>
      <c r="F197" s="10"/>
      <c r="G197" s="10">
        <f t="shared" si="1"/>
        <v>0</v>
      </c>
    </row>
    <row r="198" ht="15.75" customHeight="1">
      <c r="E198" s="9"/>
      <c r="F198" s="10"/>
      <c r="G198" s="10">
        <f t="shared" si="1"/>
        <v>0</v>
      </c>
    </row>
    <row r="199" ht="15.75" customHeight="1">
      <c r="E199" s="9"/>
      <c r="F199" s="10"/>
      <c r="G199" s="10">
        <f t="shared" si="1"/>
        <v>0</v>
      </c>
    </row>
    <row r="200" ht="15.75" customHeight="1">
      <c r="E200" s="9"/>
      <c r="F200" s="10"/>
      <c r="G200" s="10">
        <f t="shared" si="1"/>
        <v>0</v>
      </c>
    </row>
    <row r="201" ht="15.75" customHeight="1">
      <c r="E201" s="9"/>
      <c r="F201" s="10"/>
      <c r="G201" s="10">
        <f t="shared" si="1"/>
        <v>0</v>
      </c>
    </row>
    <row r="202" ht="15.75" customHeight="1">
      <c r="E202" s="9"/>
      <c r="F202" s="10"/>
      <c r="G202" s="10">
        <f t="shared" si="1"/>
        <v>0</v>
      </c>
    </row>
    <row r="203" ht="15.75" customHeight="1">
      <c r="E203" s="9"/>
      <c r="F203" s="10"/>
      <c r="G203" s="10">
        <f t="shared" si="1"/>
        <v>0</v>
      </c>
    </row>
    <row r="204" ht="15.75" customHeight="1">
      <c r="E204" s="9"/>
      <c r="F204" s="10"/>
      <c r="G204" s="10">
        <f t="shared" si="1"/>
        <v>0</v>
      </c>
    </row>
    <row r="205" ht="15.75" customHeight="1">
      <c r="E205" s="9"/>
      <c r="F205" s="10"/>
      <c r="G205" s="10">
        <f t="shared" si="1"/>
        <v>0</v>
      </c>
    </row>
    <row r="206" ht="15.75" customHeight="1">
      <c r="E206" s="9"/>
      <c r="F206" s="10"/>
      <c r="G206" s="10">
        <f t="shared" si="1"/>
        <v>0</v>
      </c>
    </row>
    <row r="207" ht="15.75" customHeight="1">
      <c r="E207" s="9"/>
      <c r="F207" s="10"/>
      <c r="G207" s="10">
        <f t="shared" si="1"/>
        <v>0</v>
      </c>
    </row>
    <row r="208" ht="15.75" customHeight="1">
      <c r="E208" s="9"/>
      <c r="F208" s="10"/>
      <c r="G208" s="10">
        <f t="shared" si="1"/>
        <v>0</v>
      </c>
    </row>
    <row r="209" ht="15.75" customHeight="1">
      <c r="E209" s="9"/>
      <c r="F209" s="10"/>
      <c r="G209" s="10">
        <f t="shared" si="1"/>
        <v>0</v>
      </c>
    </row>
    <row r="210" ht="15.75" customHeight="1">
      <c r="E210" s="9"/>
      <c r="F210" s="10"/>
      <c r="G210" s="10">
        <f t="shared" si="1"/>
        <v>0</v>
      </c>
    </row>
    <row r="211" ht="15.75" customHeight="1">
      <c r="E211" s="9"/>
      <c r="F211" s="10"/>
      <c r="G211" s="10">
        <f t="shared" si="1"/>
        <v>0</v>
      </c>
    </row>
    <row r="212" ht="15.75" customHeight="1">
      <c r="E212" s="9"/>
      <c r="F212" s="10"/>
      <c r="G212" s="10">
        <f t="shared" si="1"/>
        <v>0</v>
      </c>
    </row>
    <row r="213" ht="15.75" customHeight="1">
      <c r="E213" s="9"/>
      <c r="F213" s="10"/>
      <c r="G213" s="10">
        <f t="shared" si="1"/>
        <v>0</v>
      </c>
    </row>
    <row r="214" ht="15.75" customHeight="1">
      <c r="E214" s="9"/>
      <c r="F214" s="10"/>
      <c r="G214" s="10">
        <f t="shared" si="1"/>
        <v>0</v>
      </c>
    </row>
    <row r="215" ht="15.75" customHeight="1">
      <c r="E215" s="9"/>
      <c r="F215" s="10"/>
      <c r="G215" s="10">
        <f t="shared" si="1"/>
        <v>0</v>
      </c>
    </row>
    <row r="216" ht="15.75" customHeight="1">
      <c r="E216" s="9"/>
      <c r="F216" s="10"/>
      <c r="G216" s="10">
        <f t="shared" si="1"/>
        <v>0</v>
      </c>
    </row>
    <row r="217" ht="15.75" customHeight="1">
      <c r="E217" s="9"/>
      <c r="F217" s="10"/>
      <c r="G217" s="10">
        <f t="shared" si="1"/>
        <v>0</v>
      </c>
    </row>
    <row r="218" ht="15.75" customHeight="1">
      <c r="E218" s="9"/>
      <c r="F218" s="10"/>
      <c r="G218" s="10">
        <f t="shared" si="1"/>
        <v>0</v>
      </c>
    </row>
    <row r="219" ht="15.75" customHeight="1">
      <c r="E219" s="9"/>
      <c r="F219" s="10"/>
      <c r="G219" s="10">
        <f t="shared" si="1"/>
        <v>0</v>
      </c>
    </row>
    <row r="220" ht="15.75" customHeight="1">
      <c r="E220" s="9"/>
      <c r="F220" s="10"/>
      <c r="G220" s="10">
        <f t="shared" si="1"/>
        <v>0</v>
      </c>
    </row>
    <row r="221" ht="15.75" customHeight="1">
      <c r="F221" s="11"/>
      <c r="G221" s="11">
        <f t="shared" si="1"/>
        <v>0</v>
      </c>
    </row>
    <row r="222" ht="15.75" customHeight="1">
      <c r="F222" s="11"/>
      <c r="G222" s="11">
        <f t="shared" si="1"/>
        <v>0</v>
      </c>
    </row>
    <row r="223" ht="15.75" customHeight="1">
      <c r="F223" s="11"/>
      <c r="G223" s="11">
        <f t="shared" si="1"/>
        <v>0</v>
      </c>
    </row>
    <row r="224" ht="15.75" customHeight="1">
      <c r="F224" s="11"/>
      <c r="G224" s="11">
        <f t="shared" si="1"/>
        <v>0</v>
      </c>
    </row>
    <row r="225" ht="15.75" customHeight="1">
      <c r="F225" s="11"/>
      <c r="G225" s="11">
        <f t="shared" si="1"/>
        <v>0</v>
      </c>
    </row>
    <row r="226" ht="15.75" customHeight="1">
      <c r="F226" s="11"/>
      <c r="G226" s="11">
        <f t="shared" si="1"/>
        <v>0</v>
      </c>
    </row>
    <row r="227" ht="15.75" customHeight="1">
      <c r="F227" s="11"/>
      <c r="G227" s="11">
        <f t="shared" si="1"/>
        <v>0</v>
      </c>
    </row>
    <row r="228" ht="15.75" customHeight="1">
      <c r="F228" s="11"/>
      <c r="G228" s="11">
        <f t="shared" si="1"/>
        <v>0</v>
      </c>
    </row>
    <row r="229" ht="15.75" customHeight="1">
      <c r="F229" s="11"/>
      <c r="G229" s="11">
        <f t="shared" si="1"/>
        <v>0</v>
      </c>
    </row>
    <row r="230" ht="15.75" customHeight="1">
      <c r="F230" s="11"/>
      <c r="G230" s="11">
        <f t="shared" si="1"/>
        <v>0</v>
      </c>
    </row>
    <row r="231" ht="15.75" customHeight="1">
      <c r="F231" s="11"/>
      <c r="G231" s="11">
        <f t="shared" si="1"/>
        <v>0</v>
      </c>
    </row>
    <row r="232" ht="15.75" customHeight="1">
      <c r="F232" s="11"/>
      <c r="G232" s="11">
        <f t="shared" si="1"/>
        <v>0</v>
      </c>
    </row>
    <row r="233" ht="15.75" customHeight="1">
      <c r="F233" s="11"/>
      <c r="G233" s="11">
        <f t="shared" si="1"/>
        <v>0</v>
      </c>
    </row>
    <row r="234" ht="15.75" customHeight="1">
      <c r="F234" s="11"/>
      <c r="G234" s="11">
        <f t="shared" si="1"/>
        <v>0</v>
      </c>
    </row>
    <row r="235" ht="15.75" customHeight="1">
      <c r="F235" s="11"/>
      <c r="G235" s="11">
        <f t="shared" si="1"/>
        <v>0</v>
      </c>
    </row>
    <row r="236" ht="15.75" customHeight="1">
      <c r="F236" s="11"/>
      <c r="G236" s="11">
        <f t="shared" si="1"/>
        <v>0</v>
      </c>
    </row>
    <row r="237" ht="15.75" customHeight="1">
      <c r="F237" s="11"/>
      <c r="G237" s="11">
        <f t="shared" si="1"/>
        <v>0</v>
      </c>
    </row>
    <row r="238" ht="15.75" customHeight="1">
      <c r="F238" s="11"/>
      <c r="G238" s="11">
        <f t="shared" si="1"/>
        <v>0</v>
      </c>
    </row>
    <row r="239" ht="15.75" customHeight="1">
      <c r="F239" s="11"/>
      <c r="G239" s="11">
        <f t="shared" si="1"/>
        <v>0</v>
      </c>
    </row>
    <row r="240" ht="15.75" customHeight="1">
      <c r="F240" s="11"/>
      <c r="G240" s="11">
        <f t="shared" si="1"/>
        <v>0</v>
      </c>
    </row>
    <row r="241" ht="15.75" customHeight="1">
      <c r="F241" s="11"/>
      <c r="G241" s="11">
        <f t="shared" si="1"/>
        <v>0</v>
      </c>
    </row>
    <row r="242" ht="15.75" customHeight="1">
      <c r="F242" s="11"/>
      <c r="G242" s="11">
        <f t="shared" si="1"/>
        <v>0</v>
      </c>
    </row>
    <row r="243" ht="15.75" customHeight="1">
      <c r="F243" s="11"/>
      <c r="G243" s="11">
        <f t="shared" si="1"/>
        <v>0</v>
      </c>
    </row>
    <row r="244" ht="15.75" customHeight="1">
      <c r="F244" s="11"/>
      <c r="G244" s="11">
        <f t="shared" si="1"/>
        <v>0</v>
      </c>
    </row>
    <row r="245" ht="15.75" customHeight="1">
      <c r="F245" s="11"/>
      <c r="G245" s="11">
        <f t="shared" si="1"/>
        <v>0</v>
      </c>
    </row>
    <row r="246" ht="15.75" customHeight="1">
      <c r="F246" s="11"/>
      <c r="G246" s="11">
        <f t="shared" si="1"/>
        <v>0</v>
      </c>
    </row>
    <row r="247" ht="15.75" customHeight="1">
      <c r="F247" s="11"/>
      <c r="G247" s="11">
        <f t="shared" si="1"/>
        <v>0</v>
      </c>
    </row>
    <row r="248" ht="15.75" customHeight="1">
      <c r="F248" s="11"/>
      <c r="G248" s="11">
        <f t="shared" si="1"/>
        <v>0</v>
      </c>
    </row>
    <row r="249" ht="15.75" customHeight="1">
      <c r="F249" s="11"/>
      <c r="G249" s="11">
        <f t="shared" si="1"/>
        <v>0</v>
      </c>
    </row>
    <row r="250" ht="15.75" customHeight="1">
      <c r="F250" s="11"/>
      <c r="G250" s="11">
        <f t="shared" si="1"/>
        <v>0</v>
      </c>
    </row>
    <row r="251" ht="15.75" customHeight="1">
      <c r="F251" s="11"/>
      <c r="G251" s="11">
        <f t="shared" si="1"/>
        <v>0</v>
      </c>
    </row>
    <row r="252" ht="15.75" customHeight="1">
      <c r="F252" s="11"/>
      <c r="G252" s="11">
        <f t="shared" si="1"/>
        <v>0</v>
      </c>
    </row>
    <row r="253" ht="15.75" customHeight="1">
      <c r="F253" s="11"/>
      <c r="G253" s="11">
        <f t="shared" si="1"/>
        <v>0</v>
      </c>
    </row>
    <row r="254" ht="15.75" customHeight="1">
      <c r="F254" s="11"/>
      <c r="G254" s="11">
        <f t="shared" si="1"/>
        <v>0</v>
      </c>
    </row>
    <row r="255" ht="15.75" customHeight="1">
      <c r="F255" s="11"/>
      <c r="G255" s="11">
        <f t="shared" si="1"/>
        <v>0</v>
      </c>
    </row>
    <row r="256" ht="15.75" customHeight="1">
      <c r="F256" s="11"/>
      <c r="G256" s="11">
        <f t="shared" si="1"/>
        <v>0</v>
      </c>
    </row>
    <row r="257" ht="15.75" customHeight="1">
      <c r="F257" s="11"/>
      <c r="G257" s="11">
        <f t="shared" si="1"/>
        <v>0</v>
      </c>
    </row>
    <row r="258" ht="15.75" customHeight="1">
      <c r="F258" s="11"/>
      <c r="G258" s="11">
        <f t="shared" si="1"/>
        <v>0</v>
      </c>
    </row>
    <row r="259" ht="15.75" customHeight="1">
      <c r="F259" s="11"/>
      <c r="G259" s="11">
        <f t="shared" si="1"/>
        <v>0</v>
      </c>
    </row>
    <row r="260" ht="15.75" customHeight="1">
      <c r="F260" s="11"/>
      <c r="G260" s="11">
        <f t="shared" si="1"/>
        <v>0</v>
      </c>
    </row>
    <row r="261" ht="15.75" customHeight="1">
      <c r="F261" s="11"/>
      <c r="G261" s="11">
        <f t="shared" si="1"/>
        <v>0</v>
      </c>
    </row>
    <row r="262" ht="15.75" customHeight="1">
      <c r="F262" s="11"/>
      <c r="G262" s="11">
        <f t="shared" si="1"/>
        <v>0</v>
      </c>
    </row>
    <row r="263" ht="15.75" customHeight="1">
      <c r="F263" s="11"/>
      <c r="G263" s="11">
        <f t="shared" si="1"/>
        <v>0</v>
      </c>
    </row>
    <row r="264" ht="15.75" customHeight="1">
      <c r="F264" s="11"/>
      <c r="G264" s="11">
        <f t="shared" si="1"/>
        <v>0</v>
      </c>
    </row>
    <row r="265" ht="15.75" customHeight="1">
      <c r="F265" s="11"/>
      <c r="G265" s="11">
        <f t="shared" si="1"/>
        <v>0</v>
      </c>
    </row>
    <row r="266" ht="15.75" customHeight="1">
      <c r="F266" s="11"/>
      <c r="G266" s="11">
        <f t="shared" si="1"/>
        <v>0</v>
      </c>
    </row>
    <row r="267" ht="15.75" customHeight="1">
      <c r="F267" s="11"/>
      <c r="G267" s="11">
        <f t="shared" si="1"/>
        <v>0</v>
      </c>
    </row>
    <row r="268" ht="15.75" customHeight="1">
      <c r="F268" s="11"/>
      <c r="G268" s="11">
        <f t="shared" si="1"/>
        <v>0</v>
      </c>
    </row>
    <row r="269" ht="15.75" customHeight="1">
      <c r="F269" s="11"/>
      <c r="G269" s="11">
        <f t="shared" si="1"/>
        <v>0</v>
      </c>
    </row>
    <row r="270" ht="15.75" customHeight="1">
      <c r="F270" s="11"/>
      <c r="G270" s="11">
        <f t="shared" si="1"/>
        <v>0</v>
      </c>
    </row>
    <row r="271" ht="15.75" customHeight="1">
      <c r="F271" s="11"/>
      <c r="G271" s="11">
        <f t="shared" si="1"/>
        <v>0</v>
      </c>
    </row>
    <row r="272" ht="15.75" customHeight="1">
      <c r="F272" s="11"/>
      <c r="G272" s="11">
        <f t="shared" si="1"/>
        <v>0</v>
      </c>
    </row>
    <row r="273" ht="15.75" customHeight="1">
      <c r="F273" s="11"/>
      <c r="G273" s="11">
        <f t="shared" si="1"/>
        <v>0</v>
      </c>
    </row>
    <row r="274" ht="15.75" customHeight="1">
      <c r="F274" s="11"/>
      <c r="G274" s="11">
        <f t="shared" si="1"/>
        <v>0</v>
      </c>
    </row>
    <row r="275" ht="15.75" customHeight="1">
      <c r="F275" s="11"/>
      <c r="G275" s="11">
        <f t="shared" si="1"/>
        <v>0</v>
      </c>
    </row>
    <row r="276" ht="15.75" customHeight="1">
      <c r="F276" s="11"/>
      <c r="G276" s="11">
        <f t="shared" si="1"/>
        <v>0</v>
      </c>
    </row>
    <row r="277" ht="15.75" customHeight="1">
      <c r="F277" s="11"/>
      <c r="G277" s="11">
        <f t="shared" si="1"/>
        <v>0</v>
      </c>
    </row>
    <row r="278" ht="15.75" customHeight="1">
      <c r="F278" s="11"/>
      <c r="G278" s="11">
        <f t="shared" si="1"/>
        <v>0</v>
      </c>
    </row>
    <row r="279" ht="15.75" customHeight="1">
      <c r="F279" s="11"/>
      <c r="G279" s="11">
        <f t="shared" si="1"/>
        <v>0</v>
      </c>
    </row>
    <row r="280" ht="15.75" customHeight="1">
      <c r="F280" s="11"/>
      <c r="G280" s="11">
        <f t="shared" si="1"/>
        <v>0</v>
      </c>
    </row>
    <row r="281" ht="15.75" customHeight="1">
      <c r="F281" s="11"/>
      <c r="G281" s="11">
        <f t="shared" si="1"/>
        <v>0</v>
      </c>
    </row>
    <row r="282" ht="15.75" customHeight="1">
      <c r="F282" s="11"/>
      <c r="G282" s="11">
        <f t="shared" si="1"/>
        <v>0</v>
      </c>
    </row>
    <row r="283" ht="15.75" customHeight="1">
      <c r="F283" s="11"/>
      <c r="G283" s="11">
        <f t="shared" si="1"/>
        <v>0</v>
      </c>
    </row>
    <row r="284" ht="15.75" customHeight="1">
      <c r="F284" s="11"/>
      <c r="G284" s="11">
        <f t="shared" si="1"/>
        <v>0</v>
      </c>
    </row>
    <row r="285" ht="15.75" customHeight="1">
      <c r="F285" s="11"/>
      <c r="G285" s="11">
        <f t="shared" si="1"/>
        <v>0</v>
      </c>
    </row>
    <row r="286" ht="15.75" customHeight="1">
      <c r="F286" s="11"/>
      <c r="G286" s="11">
        <f t="shared" si="1"/>
        <v>0</v>
      </c>
    </row>
    <row r="287" ht="15.75" customHeight="1">
      <c r="F287" s="11"/>
      <c r="G287" s="11">
        <f t="shared" si="1"/>
        <v>0</v>
      </c>
    </row>
    <row r="288" ht="15.75" customHeight="1">
      <c r="F288" s="11"/>
      <c r="G288" s="11">
        <f t="shared" si="1"/>
        <v>0</v>
      </c>
    </row>
    <row r="289" ht="15.75" customHeight="1">
      <c r="F289" s="11"/>
      <c r="G289" s="11">
        <f t="shared" si="1"/>
        <v>0</v>
      </c>
    </row>
    <row r="290" ht="15.75" customHeight="1">
      <c r="F290" s="11"/>
      <c r="G290" s="11">
        <f t="shared" si="1"/>
        <v>0</v>
      </c>
    </row>
    <row r="291" ht="15.75" customHeight="1">
      <c r="F291" s="11"/>
      <c r="G291" s="11">
        <f t="shared" si="1"/>
        <v>0</v>
      </c>
    </row>
    <row r="292" ht="15.75" customHeight="1">
      <c r="F292" s="11"/>
      <c r="G292" s="11">
        <f t="shared" si="1"/>
        <v>0</v>
      </c>
    </row>
    <row r="293" ht="15.75" customHeight="1">
      <c r="F293" s="11"/>
      <c r="G293" s="11">
        <f t="shared" si="1"/>
        <v>0</v>
      </c>
    </row>
    <row r="294" ht="15.75" customHeight="1">
      <c r="F294" s="11"/>
      <c r="G294" s="11">
        <f t="shared" si="1"/>
        <v>0</v>
      </c>
    </row>
    <row r="295" ht="15.75" customHeight="1">
      <c r="F295" s="11"/>
      <c r="G295" s="11">
        <f t="shared" si="1"/>
        <v>0</v>
      </c>
    </row>
    <row r="296" ht="15.75" customHeight="1">
      <c r="F296" s="11"/>
      <c r="G296" s="11">
        <f t="shared" si="1"/>
        <v>0</v>
      </c>
    </row>
    <row r="297" ht="15.75" customHeight="1">
      <c r="F297" s="11"/>
      <c r="G297" s="11">
        <f t="shared" si="1"/>
        <v>0</v>
      </c>
    </row>
    <row r="298" ht="15.75" customHeight="1">
      <c r="F298" s="11"/>
      <c r="G298" s="11">
        <f t="shared" si="1"/>
        <v>0</v>
      </c>
    </row>
    <row r="299" ht="15.75" customHeight="1">
      <c r="F299" s="11"/>
      <c r="G299" s="11">
        <f t="shared" si="1"/>
        <v>0</v>
      </c>
    </row>
    <row r="300" ht="15.75" customHeight="1">
      <c r="F300" s="11"/>
      <c r="G300" s="11">
        <f t="shared" si="1"/>
        <v>0</v>
      </c>
    </row>
    <row r="301" ht="15.75" customHeight="1">
      <c r="F301" s="11"/>
      <c r="G301" s="11">
        <f t="shared" si="1"/>
        <v>0</v>
      </c>
    </row>
    <row r="302" ht="15.75" customHeight="1">
      <c r="F302" s="11"/>
      <c r="G302" s="11">
        <f t="shared" si="1"/>
        <v>0</v>
      </c>
    </row>
    <row r="303" ht="15.75" customHeight="1">
      <c r="F303" s="11"/>
      <c r="G303" s="11">
        <f t="shared" si="1"/>
        <v>0</v>
      </c>
    </row>
    <row r="304" ht="15.75" customHeight="1">
      <c r="F304" s="11"/>
      <c r="G304" s="11">
        <f t="shared" si="1"/>
        <v>0</v>
      </c>
    </row>
    <row r="305" ht="15.75" customHeight="1">
      <c r="F305" s="11"/>
      <c r="G305" s="11">
        <f t="shared" si="1"/>
        <v>0</v>
      </c>
    </row>
    <row r="306" ht="15.75" customHeight="1">
      <c r="F306" s="11"/>
      <c r="G306" s="11">
        <f t="shared" si="1"/>
        <v>0</v>
      </c>
    </row>
    <row r="307" ht="15.75" customHeight="1">
      <c r="F307" s="11"/>
      <c r="G307" s="11">
        <f t="shared" si="1"/>
        <v>0</v>
      </c>
    </row>
    <row r="308" ht="15.75" customHeight="1">
      <c r="F308" s="11"/>
      <c r="G308" s="11">
        <f t="shared" si="1"/>
        <v>0</v>
      </c>
    </row>
    <row r="309" ht="15.75" customHeight="1">
      <c r="F309" s="11"/>
      <c r="G309" s="11">
        <f t="shared" si="1"/>
        <v>0</v>
      </c>
    </row>
    <row r="310" ht="15.75" customHeight="1">
      <c r="F310" s="11"/>
      <c r="G310" s="11">
        <f t="shared" si="1"/>
        <v>0</v>
      </c>
    </row>
    <row r="311" ht="15.75" customHeight="1">
      <c r="F311" s="11"/>
      <c r="G311" s="11">
        <f t="shared" si="1"/>
        <v>0</v>
      </c>
    </row>
    <row r="312" ht="15.75" customHeight="1">
      <c r="F312" s="11"/>
      <c r="G312" s="11">
        <f t="shared" si="1"/>
        <v>0</v>
      </c>
    </row>
    <row r="313" ht="15.75" customHeight="1">
      <c r="F313" s="11"/>
      <c r="G313" s="11">
        <f t="shared" si="1"/>
        <v>0</v>
      </c>
    </row>
    <row r="314" ht="15.75" customHeight="1">
      <c r="F314" s="11"/>
      <c r="G314" s="11">
        <f t="shared" si="1"/>
        <v>0</v>
      </c>
    </row>
    <row r="315" ht="15.75" customHeight="1">
      <c r="F315" s="11"/>
      <c r="G315" s="11">
        <f t="shared" si="1"/>
        <v>0</v>
      </c>
    </row>
    <row r="316" ht="15.75" customHeight="1">
      <c r="F316" s="11"/>
      <c r="G316" s="11">
        <f t="shared" si="1"/>
        <v>0</v>
      </c>
    </row>
    <row r="317" ht="15.75" customHeight="1">
      <c r="F317" s="11"/>
      <c r="G317" s="11">
        <f t="shared" si="1"/>
        <v>0</v>
      </c>
    </row>
    <row r="318" ht="15.75" customHeight="1">
      <c r="F318" s="11"/>
      <c r="G318" s="11">
        <f t="shared" si="1"/>
        <v>0</v>
      </c>
    </row>
    <row r="319" ht="15.75" customHeight="1">
      <c r="F319" s="11"/>
      <c r="G319" s="11">
        <f t="shared" si="1"/>
        <v>0</v>
      </c>
    </row>
    <row r="320" ht="15.75" customHeight="1">
      <c r="F320" s="11"/>
      <c r="G320" s="11">
        <f t="shared" si="1"/>
        <v>0</v>
      </c>
    </row>
    <row r="321" ht="15.75" customHeight="1">
      <c r="F321" s="11"/>
      <c r="G321" s="11">
        <f t="shared" si="1"/>
        <v>0</v>
      </c>
    </row>
    <row r="322" ht="15.75" customHeight="1">
      <c r="F322" s="11"/>
      <c r="G322" s="11">
        <f t="shared" si="1"/>
        <v>0</v>
      </c>
    </row>
    <row r="323" ht="15.75" customHeight="1">
      <c r="F323" s="11"/>
      <c r="G323" s="11">
        <f t="shared" si="1"/>
        <v>0</v>
      </c>
    </row>
    <row r="324" ht="15.75" customHeight="1">
      <c r="F324" s="11"/>
      <c r="G324" s="11">
        <f t="shared" si="1"/>
        <v>0</v>
      </c>
    </row>
    <row r="325" ht="15.75" customHeight="1">
      <c r="F325" s="11"/>
      <c r="G325" s="11">
        <f t="shared" si="1"/>
        <v>0</v>
      </c>
    </row>
    <row r="326" ht="15.75" customHeight="1">
      <c r="F326" s="11"/>
      <c r="G326" s="11">
        <f t="shared" si="1"/>
        <v>0</v>
      </c>
    </row>
    <row r="327" ht="15.75" customHeight="1">
      <c r="F327" s="11"/>
      <c r="G327" s="11">
        <f t="shared" si="1"/>
        <v>0</v>
      </c>
    </row>
    <row r="328" ht="15.75" customHeight="1">
      <c r="F328" s="11"/>
      <c r="G328" s="11">
        <f t="shared" si="1"/>
        <v>0</v>
      </c>
    </row>
    <row r="329" ht="15.75" customHeight="1">
      <c r="F329" s="11"/>
      <c r="G329" s="11">
        <f t="shared" si="1"/>
        <v>0</v>
      </c>
    </row>
    <row r="330" ht="15.75" customHeight="1">
      <c r="F330" s="11"/>
      <c r="G330" s="11">
        <f t="shared" si="1"/>
        <v>0</v>
      </c>
    </row>
    <row r="331" ht="15.75" customHeight="1">
      <c r="F331" s="11"/>
      <c r="G331" s="11">
        <f t="shared" si="1"/>
        <v>0</v>
      </c>
    </row>
    <row r="332" ht="15.75" customHeight="1">
      <c r="F332" s="11"/>
      <c r="G332" s="11">
        <f t="shared" si="1"/>
        <v>0</v>
      </c>
    </row>
    <row r="333" ht="15.75" customHeight="1">
      <c r="F333" s="11"/>
      <c r="G333" s="11">
        <f t="shared" si="1"/>
        <v>0</v>
      </c>
    </row>
    <row r="334" ht="15.75" customHeight="1">
      <c r="F334" s="11"/>
      <c r="G334" s="11">
        <f t="shared" si="1"/>
        <v>0</v>
      </c>
    </row>
    <row r="335" ht="15.75" customHeight="1">
      <c r="F335" s="11"/>
      <c r="G335" s="11">
        <f t="shared" si="1"/>
        <v>0</v>
      </c>
    </row>
    <row r="336" ht="15.75" customHeight="1">
      <c r="F336" s="11"/>
      <c r="G336" s="11">
        <f t="shared" si="1"/>
        <v>0</v>
      </c>
    </row>
    <row r="337" ht="15.75" customHeight="1">
      <c r="F337" s="11"/>
      <c r="G337" s="11">
        <f t="shared" si="1"/>
        <v>0</v>
      </c>
    </row>
    <row r="338" ht="15.75" customHeight="1">
      <c r="F338" s="11"/>
      <c r="G338" s="11">
        <f t="shared" si="1"/>
        <v>0</v>
      </c>
    </row>
    <row r="339" ht="15.75" customHeight="1">
      <c r="F339" s="11"/>
      <c r="G339" s="11">
        <f t="shared" si="1"/>
        <v>0</v>
      </c>
    </row>
    <row r="340" ht="15.75" customHeight="1">
      <c r="F340" s="11"/>
      <c r="G340" s="11">
        <f t="shared" si="1"/>
        <v>0</v>
      </c>
    </row>
    <row r="341" ht="15.75" customHeight="1">
      <c r="F341" s="11"/>
      <c r="G341" s="11">
        <f t="shared" si="1"/>
        <v>0</v>
      </c>
    </row>
    <row r="342" ht="15.75" customHeight="1">
      <c r="F342" s="11"/>
      <c r="G342" s="11">
        <f t="shared" si="1"/>
        <v>0</v>
      </c>
    </row>
    <row r="343" ht="15.75" customHeight="1">
      <c r="F343" s="11"/>
      <c r="G343" s="11">
        <f t="shared" si="1"/>
        <v>0</v>
      </c>
    </row>
    <row r="344" ht="15.75" customHeight="1">
      <c r="F344" s="11"/>
      <c r="G344" s="11">
        <f t="shared" si="1"/>
        <v>0</v>
      </c>
    </row>
    <row r="345" ht="15.75" customHeight="1">
      <c r="F345" s="11"/>
      <c r="G345" s="11">
        <f t="shared" si="1"/>
        <v>0</v>
      </c>
    </row>
    <row r="346" ht="15.75" customHeight="1">
      <c r="F346" s="11"/>
      <c r="G346" s="11">
        <f t="shared" si="1"/>
        <v>0</v>
      </c>
    </row>
    <row r="347" ht="15.75" customHeight="1">
      <c r="F347" s="11"/>
      <c r="G347" s="11">
        <f t="shared" si="1"/>
        <v>0</v>
      </c>
    </row>
    <row r="348" ht="15.75" customHeight="1">
      <c r="F348" s="11"/>
      <c r="G348" s="11">
        <f t="shared" si="1"/>
        <v>0</v>
      </c>
    </row>
    <row r="349" ht="15.75" customHeight="1">
      <c r="F349" s="11"/>
      <c r="G349" s="11">
        <f t="shared" si="1"/>
        <v>0</v>
      </c>
    </row>
    <row r="350" ht="15.75" customHeight="1">
      <c r="F350" s="11"/>
      <c r="G350" s="11">
        <f t="shared" si="1"/>
        <v>0</v>
      </c>
    </row>
    <row r="351" ht="15.75" customHeight="1">
      <c r="F351" s="11"/>
      <c r="G351" s="11">
        <f t="shared" si="1"/>
        <v>0</v>
      </c>
    </row>
    <row r="352" ht="15.75" customHeight="1">
      <c r="F352" s="11"/>
      <c r="G352" s="11">
        <f t="shared" si="1"/>
        <v>0</v>
      </c>
    </row>
    <row r="353" ht="15.75" customHeight="1">
      <c r="F353" s="11"/>
      <c r="G353" s="11">
        <f t="shared" si="1"/>
        <v>0</v>
      </c>
    </row>
    <row r="354" ht="15.75" customHeight="1">
      <c r="F354" s="11"/>
      <c r="G354" s="11">
        <f t="shared" si="1"/>
        <v>0</v>
      </c>
    </row>
    <row r="355" ht="15.75" customHeight="1">
      <c r="F355" s="11"/>
      <c r="G355" s="11">
        <f t="shared" si="1"/>
        <v>0</v>
      </c>
    </row>
    <row r="356" ht="15.75" customHeight="1">
      <c r="F356" s="11"/>
      <c r="G356" s="11">
        <f t="shared" si="1"/>
        <v>0</v>
      </c>
    </row>
    <row r="357" ht="15.75" customHeight="1">
      <c r="F357" s="11"/>
      <c r="G357" s="11">
        <f t="shared" si="1"/>
        <v>0</v>
      </c>
    </row>
    <row r="358" ht="15.75" customHeight="1">
      <c r="F358" s="11"/>
      <c r="G358" s="11">
        <f t="shared" si="1"/>
        <v>0</v>
      </c>
    </row>
    <row r="359" ht="15.75" customHeight="1">
      <c r="F359" s="11"/>
      <c r="G359" s="11">
        <f t="shared" si="1"/>
        <v>0</v>
      </c>
    </row>
    <row r="360" ht="15.75" customHeight="1">
      <c r="F360" s="11"/>
      <c r="G360" s="11">
        <f t="shared" si="1"/>
        <v>0</v>
      </c>
    </row>
    <row r="361" ht="15.75" customHeight="1">
      <c r="F361" s="11"/>
      <c r="G361" s="11">
        <f t="shared" si="1"/>
        <v>0</v>
      </c>
    </row>
    <row r="362" ht="15.75" customHeight="1">
      <c r="F362" s="11"/>
      <c r="G362" s="11">
        <f t="shared" si="1"/>
        <v>0</v>
      </c>
    </row>
    <row r="363" ht="15.75" customHeight="1">
      <c r="F363" s="11"/>
      <c r="G363" s="11">
        <f t="shared" si="1"/>
        <v>0</v>
      </c>
    </row>
    <row r="364" ht="15.75" customHeight="1">
      <c r="F364" s="11"/>
      <c r="G364" s="11">
        <f t="shared" si="1"/>
        <v>0</v>
      </c>
    </row>
    <row r="365" ht="15.75" customHeight="1">
      <c r="F365" s="11"/>
      <c r="G365" s="11">
        <f t="shared" si="1"/>
        <v>0</v>
      </c>
    </row>
    <row r="366" ht="15.75" customHeight="1">
      <c r="F366" s="11"/>
      <c r="G366" s="11">
        <f t="shared" si="1"/>
        <v>0</v>
      </c>
    </row>
    <row r="367" ht="15.75" customHeight="1">
      <c r="F367" s="11"/>
      <c r="G367" s="11">
        <f t="shared" si="1"/>
        <v>0</v>
      </c>
    </row>
    <row r="368" ht="15.75" customHeight="1">
      <c r="F368" s="11"/>
      <c r="G368" s="11">
        <f t="shared" si="1"/>
        <v>0</v>
      </c>
    </row>
    <row r="369" ht="15.75" customHeight="1">
      <c r="F369" s="11"/>
      <c r="G369" s="11">
        <f t="shared" si="1"/>
        <v>0</v>
      </c>
    </row>
    <row r="370" ht="15.75" customHeight="1">
      <c r="F370" s="11"/>
      <c r="G370" s="11">
        <f t="shared" si="1"/>
        <v>0</v>
      </c>
    </row>
    <row r="371" ht="15.75" customHeight="1">
      <c r="F371" s="11"/>
      <c r="G371" s="11">
        <f t="shared" si="1"/>
        <v>0</v>
      </c>
    </row>
    <row r="372" ht="15.75" customHeight="1">
      <c r="F372" s="11"/>
      <c r="G372" s="11">
        <f t="shared" si="1"/>
        <v>0</v>
      </c>
    </row>
    <row r="373" ht="15.75" customHeight="1">
      <c r="F373" s="11"/>
      <c r="G373" s="11">
        <f t="shared" si="1"/>
        <v>0</v>
      </c>
    </row>
    <row r="374" ht="15.75" customHeight="1">
      <c r="F374" s="11"/>
      <c r="G374" s="11">
        <f t="shared" si="1"/>
        <v>0</v>
      </c>
    </row>
    <row r="375" ht="15.75" customHeight="1">
      <c r="F375" s="11"/>
      <c r="G375" s="11">
        <f t="shared" si="1"/>
        <v>0</v>
      </c>
    </row>
    <row r="376" ht="15.75" customHeight="1">
      <c r="F376" s="11"/>
      <c r="G376" s="11">
        <f t="shared" si="1"/>
        <v>0</v>
      </c>
    </row>
    <row r="377" ht="15.75" customHeight="1">
      <c r="F377" s="11"/>
      <c r="G377" s="11">
        <f t="shared" si="1"/>
        <v>0</v>
      </c>
    </row>
    <row r="378" ht="15.75" customHeight="1">
      <c r="F378" s="11"/>
      <c r="G378" s="11">
        <f t="shared" si="1"/>
        <v>0</v>
      </c>
    </row>
    <row r="379" ht="15.75" customHeight="1">
      <c r="F379" s="11"/>
      <c r="G379" s="11">
        <f t="shared" si="1"/>
        <v>0</v>
      </c>
    </row>
    <row r="380" ht="15.75" customHeight="1">
      <c r="F380" s="11"/>
      <c r="G380" s="11">
        <f t="shared" si="1"/>
        <v>0</v>
      </c>
    </row>
    <row r="381" ht="15.75" customHeight="1">
      <c r="F381" s="11"/>
      <c r="G381" s="11">
        <f t="shared" si="1"/>
        <v>0</v>
      </c>
    </row>
    <row r="382" ht="15.75" customHeight="1">
      <c r="F382" s="11"/>
      <c r="G382" s="11">
        <f t="shared" si="1"/>
        <v>0</v>
      </c>
    </row>
    <row r="383" ht="15.75" customHeight="1">
      <c r="F383" s="11"/>
      <c r="G383" s="11">
        <f t="shared" si="1"/>
        <v>0</v>
      </c>
    </row>
    <row r="384" ht="15.75" customHeight="1">
      <c r="F384" s="11"/>
      <c r="G384" s="11">
        <f t="shared" si="1"/>
        <v>0</v>
      </c>
    </row>
    <row r="385" ht="15.75" customHeight="1">
      <c r="F385" s="11"/>
      <c r="G385" s="11">
        <f t="shared" si="1"/>
        <v>0</v>
      </c>
    </row>
    <row r="386" ht="15.75" customHeight="1">
      <c r="F386" s="11"/>
      <c r="G386" s="11">
        <f t="shared" si="1"/>
        <v>0</v>
      </c>
    </row>
    <row r="387" ht="15.75" customHeight="1">
      <c r="F387" s="11"/>
      <c r="G387" s="11">
        <f t="shared" si="1"/>
        <v>0</v>
      </c>
    </row>
    <row r="388" ht="15.75" customHeight="1">
      <c r="F388" s="11"/>
      <c r="G388" s="11">
        <f t="shared" si="1"/>
        <v>0</v>
      </c>
    </row>
    <row r="389" ht="15.75" customHeight="1">
      <c r="F389" s="11"/>
      <c r="G389" s="11">
        <f t="shared" si="1"/>
        <v>0</v>
      </c>
    </row>
    <row r="390" ht="15.75" customHeight="1">
      <c r="F390" s="11"/>
      <c r="G390" s="11">
        <f t="shared" si="1"/>
        <v>0</v>
      </c>
    </row>
    <row r="391" ht="15.75" customHeight="1">
      <c r="F391" s="11"/>
      <c r="G391" s="11">
        <f t="shared" si="1"/>
        <v>0</v>
      </c>
    </row>
    <row r="392" ht="15.75" customHeight="1">
      <c r="F392" s="11"/>
      <c r="G392" s="11">
        <f t="shared" si="1"/>
        <v>0</v>
      </c>
    </row>
    <row r="393" ht="15.75" customHeight="1">
      <c r="F393" s="11"/>
      <c r="G393" s="11">
        <f t="shared" si="1"/>
        <v>0</v>
      </c>
    </row>
    <row r="394" ht="15.75" customHeight="1">
      <c r="F394" s="11"/>
      <c r="G394" s="11">
        <f t="shared" si="1"/>
        <v>0</v>
      </c>
    </row>
    <row r="395" ht="15.75" customHeight="1">
      <c r="F395" s="11"/>
      <c r="G395" s="11">
        <f t="shared" si="1"/>
        <v>0</v>
      </c>
    </row>
    <row r="396" ht="15.75" customHeight="1">
      <c r="F396" s="11"/>
      <c r="G396" s="11">
        <f t="shared" si="1"/>
        <v>0</v>
      </c>
    </row>
    <row r="397" ht="15.75" customHeight="1">
      <c r="F397" s="11"/>
      <c r="G397" s="11">
        <f t="shared" si="1"/>
        <v>0</v>
      </c>
    </row>
    <row r="398" ht="15.75" customHeight="1">
      <c r="F398" s="11"/>
      <c r="G398" s="11">
        <f t="shared" si="1"/>
        <v>0</v>
      </c>
    </row>
    <row r="399" ht="15.75" customHeight="1">
      <c r="F399" s="11"/>
      <c r="G399" s="11">
        <f t="shared" si="1"/>
        <v>0</v>
      </c>
    </row>
    <row r="400" ht="15.75" customHeight="1">
      <c r="F400" s="11"/>
      <c r="G400" s="11">
        <f t="shared" si="1"/>
        <v>0</v>
      </c>
    </row>
    <row r="401" ht="15.75" customHeight="1">
      <c r="F401" s="11"/>
      <c r="G401" s="11">
        <f t="shared" si="1"/>
        <v>0</v>
      </c>
    </row>
    <row r="402" ht="15.75" customHeight="1">
      <c r="F402" s="11"/>
      <c r="G402" s="11">
        <f t="shared" si="1"/>
        <v>0</v>
      </c>
    </row>
    <row r="403" ht="15.75" customHeight="1">
      <c r="F403" s="11"/>
      <c r="G403" s="11">
        <f t="shared" si="1"/>
        <v>0</v>
      </c>
    </row>
    <row r="404" ht="15.75" customHeight="1">
      <c r="F404" s="11"/>
      <c r="G404" s="11">
        <f t="shared" si="1"/>
        <v>0</v>
      </c>
    </row>
    <row r="405" ht="15.75" customHeight="1">
      <c r="F405" s="11"/>
      <c r="G405" s="11">
        <f t="shared" si="1"/>
        <v>0</v>
      </c>
    </row>
    <row r="406" ht="15.75" customHeight="1">
      <c r="F406" s="11"/>
      <c r="G406" s="11">
        <f t="shared" si="1"/>
        <v>0</v>
      </c>
    </row>
    <row r="407" ht="15.75" customHeight="1">
      <c r="F407" s="11"/>
      <c r="G407" s="11">
        <f t="shared" si="1"/>
        <v>0</v>
      </c>
    </row>
    <row r="408" ht="15.75" customHeight="1">
      <c r="F408" s="11"/>
      <c r="G408" s="11">
        <f t="shared" si="1"/>
        <v>0</v>
      </c>
    </row>
    <row r="409" ht="15.75" customHeight="1">
      <c r="F409" s="11"/>
      <c r="G409" s="11">
        <f t="shared" si="1"/>
        <v>0</v>
      </c>
    </row>
    <row r="410" ht="15.75" customHeight="1">
      <c r="F410" s="11"/>
      <c r="G410" s="11">
        <f t="shared" si="1"/>
        <v>0</v>
      </c>
    </row>
    <row r="411" ht="15.75" customHeight="1">
      <c r="F411" s="11"/>
      <c r="G411" s="11">
        <f t="shared" si="1"/>
        <v>0</v>
      </c>
    </row>
    <row r="412" ht="15.75" customHeight="1">
      <c r="F412" s="11"/>
      <c r="G412" s="11">
        <f t="shared" si="1"/>
        <v>0</v>
      </c>
    </row>
    <row r="413" ht="15.75" customHeight="1">
      <c r="F413" s="11"/>
      <c r="G413" s="11">
        <f t="shared" si="1"/>
        <v>0</v>
      </c>
    </row>
    <row r="414" ht="15.75" customHeight="1">
      <c r="F414" s="11"/>
      <c r="G414" s="11">
        <f t="shared" si="1"/>
        <v>0</v>
      </c>
    </row>
    <row r="415" ht="15.75" customHeight="1">
      <c r="F415" s="11"/>
      <c r="G415" s="11">
        <f t="shared" si="1"/>
        <v>0</v>
      </c>
    </row>
    <row r="416" ht="15.75" customHeight="1">
      <c r="F416" s="11"/>
      <c r="G416" s="11">
        <f t="shared" si="1"/>
        <v>0</v>
      </c>
    </row>
    <row r="417" ht="15.75" customHeight="1">
      <c r="F417" s="11"/>
      <c r="G417" s="11">
        <f t="shared" si="1"/>
        <v>0</v>
      </c>
    </row>
    <row r="418" ht="15.75" customHeight="1">
      <c r="F418" s="11"/>
      <c r="G418" s="11">
        <f t="shared" si="1"/>
        <v>0</v>
      </c>
    </row>
    <row r="419" ht="15.75" customHeight="1">
      <c r="F419" s="11"/>
      <c r="G419" s="11">
        <f t="shared" si="1"/>
        <v>0</v>
      </c>
    </row>
    <row r="420" ht="15.75" customHeight="1">
      <c r="F420" s="11"/>
      <c r="G420" s="11">
        <f t="shared" si="1"/>
        <v>0</v>
      </c>
    </row>
    <row r="421" ht="15.75" customHeight="1">
      <c r="F421" s="11"/>
      <c r="G421" s="11">
        <f t="shared" si="1"/>
        <v>0</v>
      </c>
    </row>
    <row r="422" ht="15.75" customHeight="1">
      <c r="F422" s="11"/>
      <c r="G422" s="11">
        <f t="shared" si="1"/>
        <v>0</v>
      </c>
    </row>
    <row r="423" ht="15.75" customHeight="1">
      <c r="F423" s="11"/>
      <c r="G423" s="11">
        <f t="shared" si="1"/>
        <v>0</v>
      </c>
    </row>
    <row r="424" ht="15.75" customHeight="1">
      <c r="F424" s="11"/>
      <c r="G424" s="11">
        <f t="shared" si="1"/>
        <v>0</v>
      </c>
    </row>
    <row r="425" ht="15.75" customHeight="1">
      <c r="F425" s="11"/>
      <c r="G425" s="11">
        <f t="shared" si="1"/>
        <v>0</v>
      </c>
    </row>
    <row r="426" ht="15.75" customHeight="1">
      <c r="F426" s="11"/>
      <c r="G426" s="11">
        <f t="shared" si="1"/>
        <v>0</v>
      </c>
    </row>
    <row r="427" ht="15.75" customHeight="1">
      <c r="F427" s="11"/>
      <c r="G427" s="11">
        <f t="shared" si="1"/>
        <v>0</v>
      </c>
    </row>
    <row r="428" ht="15.75" customHeight="1">
      <c r="F428" s="11"/>
      <c r="G428" s="11">
        <f t="shared" si="1"/>
        <v>0</v>
      </c>
    </row>
    <row r="429" ht="15.75" customHeight="1">
      <c r="F429" s="11"/>
      <c r="G429" s="11">
        <f t="shared" si="1"/>
        <v>0</v>
      </c>
    </row>
    <row r="430" ht="15.75" customHeight="1">
      <c r="F430" s="11"/>
      <c r="G430" s="11">
        <f t="shared" si="1"/>
        <v>0</v>
      </c>
    </row>
    <row r="431" ht="15.75" customHeight="1">
      <c r="F431" s="11"/>
      <c r="G431" s="11">
        <f t="shared" si="1"/>
        <v>0</v>
      </c>
    </row>
    <row r="432" ht="15.75" customHeight="1">
      <c r="F432" s="11"/>
      <c r="G432" s="11">
        <f t="shared" si="1"/>
        <v>0</v>
      </c>
    </row>
    <row r="433" ht="15.75" customHeight="1">
      <c r="F433" s="11"/>
      <c r="G433" s="11">
        <f t="shared" si="1"/>
        <v>0</v>
      </c>
    </row>
    <row r="434" ht="15.75" customHeight="1">
      <c r="F434" s="11"/>
      <c r="G434" s="11">
        <f t="shared" si="1"/>
        <v>0</v>
      </c>
    </row>
    <row r="435" ht="15.75" customHeight="1">
      <c r="F435" s="11"/>
      <c r="G435" s="11">
        <f t="shared" si="1"/>
        <v>0</v>
      </c>
    </row>
    <row r="436" ht="15.75" customHeight="1">
      <c r="F436" s="11"/>
      <c r="G436" s="11">
        <f t="shared" si="1"/>
        <v>0</v>
      </c>
    </row>
    <row r="437" ht="15.75" customHeight="1">
      <c r="F437" s="11"/>
      <c r="G437" s="11">
        <f t="shared" si="1"/>
        <v>0</v>
      </c>
    </row>
    <row r="438" ht="15.75" customHeight="1">
      <c r="F438" s="11"/>
      <c r="G438" s="11">
        <f t="shared" si="1"/>
        <v>0</v>
      </c>
    </row>
    <row r="439" ht="15.75" customHeight="1">
      <c r="F439" s="11"/>
      <c r="G439" s="11">
        <f t="shared" si="1"/>
        <v>0</v>
      </c>
    </row>
    <row r="440" ht="15.75" customHeight="1">
      <c r="F440" s="11"/>
      <c r="G440" s="11">
        <f t="shared" si="1"/>
        <v>0</v>
      </c>
    </row>
    <row r="441" ht="15.75" customHeight="1">
      <c r="F441" s="11"/>
      <c r="G441" s="11">
        <f t="shared" si="1"/>
        <v>0</v>
      </c>
    </row>
    <row r="442" ht="15.75" customHeight="1">
      <c r="F442" s="11"/>
      <c r="G442" s="11">
        <f t="shared" si="1"/>
        <v>0</v>
      </c>
    </row>
    <row r="443" ht="15.75" customHeight="1">
      <c r="F443" s="11"/>
      <c r="G443" s="11">
        <f t="shared" si="1"/>
        <v>0</v>
      </c>
    </row>
    <row r="444" ht="15.75" customHeight="1">
      <c r="F444" s="11"/>
      <c r="G444" s="11">
        <f t="shared" si="1"/>
        <v>0</v>
      </c>
    </row>
    <row r="445" ht="15.75" customHeight="1">
      <c r="F445" s="11"/>
      <c r="G445" s="11">
        <f t="shared" si="1"/>
        <v>0</v>
      </c>
    </row>
    <row r="446" ht="15.75" customHeight="1">
      <c r="F446" s="11"/>
      <c r="G446" s="11">
        <f t="shared" si="1"/>
        <v>0</v>
      </c>
    </row>
    <row r="447" ht="15.75" customHeight="1">
      <c r="F447" s="11"/>
      <c r="G447" s="11">
        <f t="shared" si="1"/>
        <v>0</v>
      </c>
    </row>
    <row r="448" ht="15.75" customHeight="1">
      <c r="F448" s="11"/>
      <c r="G448" s="11">
        <f t="shared" si="1"/>
        <v>0</v>
      </c>
    </row>
    <row r="449" ht="15.75" customHeight="1">
      <c r="F449" s="11"/>
      <c r="G449" s="11">
        <f t="shared" si="1"/>
        <v>0</v>
      </c>
    </row>
    <row r="450" ht="15.75" customHeight="1">
      <c r="F450" s="11"/>
      <c r="G450" s="11">
        <f t="shared" si="1"/>
        <v>0</v>
      </c>
    </row>
    <row r="451" ht="15.75" customHeight="1">
      <c r="F451" s="11"/>
      <c r="G451" s="11">
        <f t="shared" si="1"/>
        <v>0</v>
      </c>
    </row>
    <row r="452" ht="15.75" customHeight="1">
      <c r="F452" s="11"/>
      <c r="G452" s="11">
        <f t="shared" si="1"/>
        <v>0</v>
      </c>
    </row>
    <row r="453" ht="15.75" customHeight="1">
      <c r="F453" s="11"/>
      <c r="G453" s="11">
        <f t="shared" si="1"/>
        <v>0</v>
      </c>
    </row>
    <row r="454" ht="15.75" customHeight="1">
      <c r="F454" s="11"/>
      <c r="G454" s="11">
        <f t="shared" si="1"/>
        <v>0</v>
      </c>
    </row>
    <row r="455" ht="15.75" customHeight="1">
      <c r="F455" s="11"/>
      <c r="G455" s="11">
        <f t="shared" si="1"/>
        <v>0</v>
      </c>
    </row>
    <row r="456" ht="15.75" customHeight="1">
      <c r="F456" s="11"/>
      <c r="G456" s="11">
        <f t="shared" si="1"/>
        <v>0</v>
      </c>
    </row>
    <row r="457" ht="15.75" customHeight="1">
      <c r="F457" s="11"/>
      <c r="G457" s="11">
        <f t="shared" si="1"/>
        <v>0</v>
      </c>
    </row>
    <row r="458" ht="15.75" customHeight="1">
      <c r="F458" s="11"/>
      <c r="G458" s="11">
        <f t="shared" si="1"/>
        <v>0</v>
      </c>
    </row>
    <row r="459" ht="15.75" customHeight="1">
      <c r="F459" s="11"/>
      <c r="G459" s="11">
        <f t="shared" si="1"/>
        <v>0</v>
      </c>
    </row>
    <row r="460" ht="15.75" customHeight="1">
      <c r="F460" s="11"/>
      <c r="G460" s="11">
        <f t="shared" si="1"/>
        <v>0</v>
      </c>
    </row>
    <row r="461" ht="15.75" customHeight="1">
      <c r="F461" s="11"/>
      <c r="G461" s="11">
        <f t="shared" si="1"/>
        <v>0</v>
      </c>
    </row>
    <row r="462" ht="15.75" customHeight="1">
      <c r="F462" s="11"/>
      <c r="G462" s="11">
        <f t="shared" si="1"/>
        <v>0</v>
      </c>
    </row>
    <row r="463" ht="15.75" customHeight="1">
      <c r="F463" s="11"/>
      <c r="G463" s="11">
        <f t="shared" si="1"/>
        <v>0</v>
      </c>
    </row>
    <row r="464" ht="15.75" customHeight="1">
      <c r="F464" s="11"/>
      <c r="G464" s="11">
        <f t="shared" si="1"/>
        <v>0</v>
      </c>
    </row>
    <row r="465" ht="15.75" customHeight="1">
      <c r="F465" s="11"/>
      <c r="G465" s="11">
        <f t="shared" si="1"/>
        <v>0</v>
      </c>
    </row>
    <row r="466" ht="15.75" customHeight="1">
      <c r="F466" s="11"/>
      <c r="G466" s="11">
        <f t="shared" si="1"/>
        <v>0</v>
      </c>
    </row>
    <row r="467" ht="15.75" customHeight="1">
      <c r="F467" s="11"/>
      <c r="G467" s="11">
        <f t="shared" si="1"/>
        <v>0</v>
      </c>
    </row>
    <row r="468" ht="15.75" customHeight="1">
      <c r="F468" s="11"/>
      <c r="G468" s="11">
        <f t="shared" si="1"/>
        <v>0</v>
      </c>
    </row>
    <row r="469" ht="15.75" customHeight="1">
      <c r="F469" s="11"/>
      <c r="G469" s="11">
        <f t="shared" si="1"/>
        <v>0</v>
      </c>
    </row>
    <row r="470" ht="15.75" customHeight="1">
      <c r="F470" s="11"/>
      <c r="G470" s="11">
        <f t="shared" si="1"/>
        <v>0</v>
      </c>
    </row>
    <row r="471" ht="15.75" customHeight="1">
      <c r="F471" s="11"/>
      <c r="G471" s="11">
        <f t="shared" si="1"/>
        <v>0</v>
      </c>
    </row>
    <row r="472" ht="15.75" customHeight="1">
      <c r="F472" s="11"/>
      <c r="G472" s="11">
        <f t="shared" si="1"/>
        <v>0</v>
      </c>
    </row>
    <row r="473" ht="15.75" customHeight="1">
      <c r="F473" s="11"/>
      <c r="G473" s="11">
        <f t="shared" si="1"/>
        <v>0</v>
      </c>
    </row>
    <row r="474" ht="15.75" customHeight="1">
      <c r="F474" s="11"/>
      <c r="G474" s="11">
        <f t="shared" si="1"/>
        <v>0</v>
      </c>
    </row>
    <row r="475" ht="15.75" customHeight="1">
      <c r="F475" s="11"/>
      <c r="G475" s="11">
        <f t="shared" si="1"/>
        <v>0</v>
      </c>
    </row>
    <row r="476" ht="15.75" customHeight="1">
      <c r="F476" s="11"/>
      <c r="G476" s="11">
        <f t="shared" si="1"/>
        <v>0</v>
      </c>
    </row>
    <row r="477" ht="15.75" customHeight="1">
      <c r="F477" s="11"/>
      <c r="G477" s="11">
        <f t="shared" si="1"/>
        <v>0</v>
      </c>
    </row>
    <row r="478" ht="15.75" customHeight="1">
      <c r="F478" s="11"/>
      <c r="G478" s="11">
        <f t="shared" si="1"/>
        <v>0</v>
      </c>
    </row>
    <row r="479" ht="15.75" customHeight="1">
      <c r="F479" s="11"/>
      <c r="G479" s="11">
        <f t="shared" si="1"/>
        <v>0</v>
      </c>
    </row>
    <row r="480" ht="15.75" customHeight="1">
      <c r="F480" s="11"/>
      <c r="G480" s="11">
        <f t="shared" si="1"/>
        <v>0</v>
      </c>
    </row>
    <row r="481" ht="15.75" customHeight="1">
      <c r="F481" s="11"/>
      <c r="G481" s="11">
        <f t="shared" si="1"/>
        <v>0</v>
      </c>
    </row>
    <row r="482" ht="15.75" customHeight="1">
      <c r="F482" s="11"/>
      <c r="G482" s="11">
        <f t="shared" si="1"/>
        <v>0</v>
      </c>
    </row>
    <row r="483" ht="15.75" customHeight="1">
      <c r="F483" s="11"/>
      <c r="G483" s="11">
        <f t="shared" si="1"/>
        <v>0</v>
      </c>
    </row>
    <row r="484" ht="15.75" customHeight="1">
      <c r="F484" s="11"/>
      <c r="G484" s="11">
        <f t="shared" si="1"/>
        <v>0</v>
      </c>
    </row>
    <row r="485" ht="15.75" customHeight="1">
      <c r="F485" s="11"/>
      <c r="G485" s="11">
        <f t="shared" si="1"/>
        <v>0</v>
      </c>
    </row>
    <row r="486" ht="15.75" customHeight="1">
      <c r="F486" s="11"/>
      <c r="G486" s="11">
        <f t="shared" si="1"/>
        <v>0</v>
      </c>
    </row>
    <row r="487" ht="15.75" customHeight="1">
      <c r="F487" s="11"/>
      <c r="G487" s="11">
        <f t="shared" si="1"/>
        <v>0</v>
      </c>
    </row>
    <row r="488" ht="15.75" customHeight="1">
      <c r="F488" s="11"/>
      <c r="G488" s="11">
        <f t="shared" si="1"/>
        <v>0</v>
      </c>
    </row>
    <row r="489" ht="15.75" customHeight="1">
      <c r="F489" s="11"/>
      <c r="G489" s="11">
        <f t="shared" si="1"/>
        <v>0</v>
      </c>
    </row>
    <row r="490" ht="15.75" customHeight="1">
      <c r="F490" s="11"/>
      <c r="G490" s="11">
        <f t="shared" si="1"/>
        <v>0</v>
      </c>
    </row>
    <row r="491" ht="15.75" customHeight="1">
      <c r="F491" s="11"/>
      <c r="G491" s="11">
        <f t="shared" si="1"/>
        <v>0</v>
      </c>
    </row>
    <row r="492" ht="15.75" customHeight="1">
      <c r="F492" s="11"/>
      <c r="G492" s="11">
        <f t="shared" si="1"/>
        <v>0</v>
      </c>
    </row>
    <row r="493" ht="15.75" customHeight="1">
      <c r="F493" s="11"/>
      <c r="G493" s="11">
        <f t="shared" si="1"/>
        <v>0</v>
      </c>
    </row>
    <row r="494" ht="15.75" customHeight="1">
      <c r="F494" s="11"/>
      <c r="G494" s="11">
        <f t="shared" si="1"/>
        <v>0</v>
      </c>
    </row>
    <row r="495" ht="15.75" customHeight="1">
      <c r="F495" s="11"/>
      <c r="G495" s="11">
        <f t="shared" si="1"/>
        <v>0</v>
      </c>
    </row>
    <row r="496" ht="15.75" customHeight="1">
      <c r="F496" s="11"/>
      <c r="G496" s="11">
        <f t="shared" si="1"/>
        <v>0</v>
      </c>
    </row>
    <row r="497" ht="15.75" customHeight="1">
      <c r="F497" s="11"/>
      <c r="G497" s="11">
        <f t="shared" si="1"/>
        <v>0</v>
      </c>
    </row>
    <row r="498" ht="15.75" customHeight="1">
      <c r="F498" s="11"/>
      <c r="G498" s="11">
        <f t="shared" si="1"/>
        <v>0</v>
      </c>
    </row>
    <row r="499" ht="15.75" customHeight="1">
      <c r="F499" s="11"/>
      <c r="G499" s="11">
        <f t="shared" si="1"/>
        <v>0</v>
      </c>
    </row>
    <row r="500" ht="15.75" customHeight="1">
      <c r="F500" s="11"/>
      <c r="G500" s="11">
        <f t="shared" si="1"/>
        <v>0</v>
      </c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4" width="24.0"/>
    <col customWidth="1" min="5" max="5" width="16.38"/>
    <col customWidth="1" min="6" max="6" width="15.25"/>
    <col customWidth="1" min="7" max="7" width="14.5"/>
    <col customWidth="1" min="8" max="8" width="13.0"/>
    <col customWidth="1" min="9" max="9" width="32.0"/>
  </cols>
  <sheetData>
    <row r="1" ht="30.0" customHeight="1">
      <c r="A1" s="12" t="s">
        <v>20</v>
      </c>
      <c r="B1" s="12" t="s">
        <v>21</v>
      </c>
      <c r="C1" s="12" t="s">
        <v>2</v>
      </c>
      <c r="D1" s="12" t="s">
        <v>3</v>
      </c>
      <c r="E1" s="12" t="s">
        <v>22</v>
      </c>
      <c r="F1" s="12" t="s">
        <v>23</v>
      </c>
      <c r="G1" s="13" t="s">
        <v>5</v>
      </c>
      <c r="H1" s="2" t="s">
        <v>24</v>
      </c>
      <c r="I1" s="13" t="s">
        <v>25</v>
      </c>
    </row>
    <row r="2">
      <c r="A2" s="3" t="s">
        <v>26</v>
      </c>
      <c r="B2" s="3" t="s">
        <v>27</v>
      </c>
      <c r="C2" s="3" t="s">
        <v>28</v>
      </c>
      <c r="D2" s="3" t="s">
        <v>29</v>
      </c>
      <c r="E2" s="14">
        <v>10.0</v>
      </c>
      <c r="F2" s="3" t="s">
        <v>30</v>
      </c>
      <c r="G2" s="5">
        <v>15000.0</v>
      </c>
      <c r="H2" s="5">
        <f t="shared" ref="H2:H500" si="1">IFERROR(IF(F2="m",G2/(E2*100),IF(F2="cm",G2/E2,0)),0)</f>
        <v>15</v>
      </c>
      <c r="I2" s="3" t="s">
        <v>31</v>
      </c>
    </row>
    <row r="3">
      <c r="A3" s="3" t="s">
        <v>32</v>
      </c>
      <c r="B3" s="3" t="s">
        <v>33</v>
      </c>
      <c r="C3" s="3" t="s">
        <v>28</v>
      </c>
      <c r="D3" s="3" t="s">
        <v>29</v>
      </c>
      <c r="E3" s="14">
        <v>10.0</v>
      </c>
      <c r="F3" s="3" t="s">
        <v>30</v>
      </c>
      <c r="G3" s="5">
        <v>18000.0</v>
      </c>
      <c r="H3" s="5">
        <f t="shared" si="1"/>
        <v>18</v>
      </c>
      <c r="I3" s="3" t="s">
        <v>31</v>
      </c>
    </row>
    <row r="4">
      <c r="A4" s="3" t="s">
        <v>34</v>
      </c>
      <c r="B4" s="3" t="s">
        <v>35</v>
      </c>
      <c r="C4" s="3" t="s">
        <v>28</v>
      </c>
      <c r="D4" s="3" t="s">
        <v>29</v>
      </c>
      <c r="E4" s="14">
        <v>10.0</v>
      </c>
      <c r="F4" s="3" t="s">
        <v>30</v>
      </c>
      <c r="G4" s="5">
        <v>20000.0</v>
      </c>
      <c r="H4" s="5">
        <f t="shared" si="1"/>
        <v>20</v>
      </c>
      <c r="I4" s="3" t="s">
        <v>31</v>
      </c>
    </row>
    <row r="5">
      <c r="A5" s="3"/>
      <c r="B5" s="3"/>
      <c r="C5" s="3"/>
      <c r="D5" s="3"/>
      <c r="E5" s="14"/>
      <c r="F5" s="3"/>
      <c r="G5" s="5"/>
      <c r="H5" s="5">
        <f t="shared" si="1"/>
        <v>0</v>
      </c>
      <c r="I5" s="3"/>
    </row>
    <row r="6">
      <c r="E6" s="15"/>
      <c r="F6" s="16"/>
      <c r="G6" s="10"/>
      <c r="H6" s="10">
        <f t="shared" si="1"/>
        <v>0</v>
      </c>
    </row>
    <row r="7">
      <c r="E7" s="15"/>
      <c r="F7" s="16"/>
      <c r="G7" s="10"/>
      <c r="H7" s="10">
        <f t="shared" si="1"/>
        <v>0</v>
      </c>
    </row>
    <row r="8">
      <c r="E8" s="15"/>
      <c r="F8" s="16"/>
      <c r="G8" s="10"/>
      <c r="H8" s="10">
        <f t="shared" si="1"/>
        <v>0</v>
      </c>
    </row>
    <row r="9">
      <c r="E9" s="15"/>
      <c r="F9" s="16"/>
      <c r="G9" s="10"/>
      <c r="H9" s="10">
        <f t="shared" si="1"/>
        <v>0</v>
      </c>
    </row>
    <row r="10">
      <c r="E10" s="15"/>
      <c r="F10" s="16"/>
      <c r="G10" s="10"/>
      <c r="H10" s="10">
        <f t="shared" si="1"/>
        <v>0</v>
      </c>
    </row>
    <row r="11">
      <c r="E11" s="15"/>
      <c r="F11" s="16"/>
      <c r="G11" s="10"/>
      <c r="H11" s="10">
        <f t="shared" si="1"/>
        <v>0</v>
      </c>
    </row>
    <row r="12">
      <c r="E12" s="15"/>
      <c r="F12" s="16"/>
      <c r="G12" s="10"/>
      <c r="H12" s="10">
        <f t="shared" si="1"/>
        <v>0</v>
      </c>
    </row>
    <row r="13">
      <c r="E13" s="15"/>
      <c r="F13" s="16"/>
      <c r="G13" s="10"/>
      <c r="H13" s="10">
        <f t="shared" si="1"/>
        <v>0</v>
      </c>
    </row>
    <row r="14">
      <c r="E14" s="15"/>
      <c r="F14" s="16"/>
      <c r="G14" s="10"/>
      <c r="H14" s="10">
        <f t="shared" si="1"/>
        <v>0</v>
      </c>
    </row>
    <row r="15">
      <c r="E15" s="15"/>
      <c r="F15" s="16"/>
      <c r="G15" s="10"/>
      <c r="H15" s="10">
        <f t="shared" si="1"/>
        <v>0</v>
      </c>
    </row>
    <row r="16">
      <c r="E16" s="15"/>
      <c r="F16" s="16"/>
      <c r="G16" s="10"/>
      <c r="H16" s="10">
        <f t="shared" si="1"/>
        <v>0</v>
      </c>
    </row>
    <row r="17">
      <c r="E17" s="15"/>
      <c r="F17" s="16"/>
      <c r="G17" s="10"/>
      <c r="H17" s="10">
        <f t="shared" si="1"/>
        <v>0</v>
      </c>
    </row>
    <row r="18">
      <c r="E18" s="15"/>
      <c r="F18" s="16"/>
      <c r="G18" s="10"/>
      <c r="H18" s="10">
        <f t="shared" si="1"/>
        <v>0</v>
      </c>
    </row>
    <row r="19">
      <c r="E19" s="15"/>
      <c r="F19" s="16"/>
      <c r="G19" s="10"/>
      <c r="H19" s="10">
        <f t="shared" si="1"/>
        <v>0</v>
      </c>
    </row>
    <row r="20">
      <c r="E20" s="15"/>
      <c r="F20" s="16"/>
      <c r="G20" s="10"/>
      <c r="H20" s="10">
        <f t="shared" si="1"/>
        <v>0</v>
      </c>
    </row>
    <row r="21" ht="15.75" customHeight="1">
      <c r="E21" s="15"/>
      <c r="F21" s="16"/>
      <c r="G21" s="10"/>
      <c r="H21" s="10">
        <f t="shared" si="1"/>
        <v>0</v>
      </c>
    </row>
    <row r="22" ht="15.75" customHeight="1">
      <c r="E22" s="15"/>
      <c r="F22" s="16"/>
      <c r="G22" s="10"/>
      <c r="H22" s="10">
        <f t="shared" si="1"/>
        <v>0</v>
      </c>
    </row>
    <row r="23" ht="15.75" customHeight="1">
      <c r="E23" s="15"/>
      <c r="F23" s="16"/>
      <c r="G23" s="10"/>
      <c r="H23" s="10">
        <f t="shared" si="1"/>
        <v>0</v>
      </c>
    </row>
    <row r="24" ht="15.75" customHeight="1">
      <c r="E24" s="15"/>
      <c r="F24" s="16"/>
      <c r="G24" s="10"/>
      <c r="H24" s="10">
        <f t="shared" si="1"/>
        <v>0</v>
      </c>
    </row>
    <row r="25" ht="15.75" customHeight="1">
      <c r="E25" s="15"/>
      <c r="F25" s="16"/>
      <c r="G25" s="10"/>
      <c r="H25" s="10">
        <f t="shared" si="1"/>
        <v>0</v>
      </c>
    </row>
    <row r="26" ht="15.75" customHeight="1">
      <c r="E26" s="15"/>
      <c r="F26" s="16"/>
      <c r="G26" s="10"/>
      <c r="H26" s="10">
        <f t="shared" si="1"/>
        <v>0</v>
      </c>
    </row>
    <row r="27" ht="15.75" customHeight="1">
      <c r="E27" s="15"/>
      <c r="F27" s="16"/>
      <c r="G27" s="10"/>
      <c r="H27" s="10">
        <f t="shared" si="1"/>
        <v>0</v>
      </c>
    </row>
    <row r="28" ht="15.75" customHeight="1">
      <c r="E28" s="15"/>
      <c r="F28" s="16"/>
      <c r="G28" s="10"/>
      <c r="H28" s="10">
        <f t="shared" si="1"/>
        <v>0</v>
      </c>
    </row>
    <row r="29" ht="15.75" customHeight="1">
      <c r="E29" s="15"/>
      <c r="F29" s="16"/>
      <c r="G29" s="10"/>
      <c r="H29" s="10">
        <f t="shared" si="1"/>
        <v>0</v>
      </c>
    </row>
    <row r="30" ht="15.75" customHeight="1">
      <c r="E30" s="15"/>
      <c r="F30" s="16"/>
      <c r="G30" s="10"/>
      <c r="H30" s="10">
        <f t="shared" si="1"/>
        <v>0</v>
      </c>
    </row>
    <row r="31" ht="15.75" customHeight="1">
      <c r="E31" s="15"/>
      <c r="F31" s="16"/>
      <c r="G31" s="10"/>
      <c r="H31" s="10">
        <f t="shared" si="1"/>
        <v>0</v>
      </c>
    </row>
    <row r="32" ht="15.75" customHeight="1">
      <c r="E32" s="15"/>
      <c r="F32" s="16"/>
      <c r="G32" s="10"/>
      <c r="H32" s="10">
        <f t="shared" si="1"/>
        <v>0</v>
      </c>
    </row>
    <row r="33" ht="15.75" customHeight="1">
      <c r="E33" s="15"/>
      <c r="F33" s="16"/>
      <c r="G33" s="10"/>
      <c r="H33" s="10">
        <f t="shared" si="1"/>
        <v>0</v>
      </c>
    </row>
    <row r="34" ht="15.75" customHeight="1">
      <c r="E34" s="15"/>
      <c r="F34" s="16"/>
      <c r="G34" s="10"/>
      <c r="H34" s="10">
        <f t="shared" si="1"/>
        <v>0</v>
      </c>
    </row>
    <row r="35" ht="15.75" customHeight="1">
      <c r="E35" s="15"/>
      <c r="F35" s="16"/>
      <c r="G35" s="10"/>
      <c r="H35" s="10">
        <f t="shared" si="1"/>
        <v>0</v>
      </c>
    </row>
    <row r="36" ht="15.75" customHeight="1">
      <c r="E36" s="15"/>
      <c r="F36" s="16"/>
      <c r="G36" s="10"/>
      <c r="H36" s="10">
        <f t="shared" si="1"/>
        <v>0</v>
      </c>
    </row>
    <row r="37" ht="15.75" customHeight="1">
      <c r="E37" s="15"/>
      <c r="F37" s="16"/>
      <c r="G37" s="10"/>
      <c r="H37" s="10">
        <f t="shared" si="1"/>
        <v>0</v>
      </c>
    </row>
    <row r="38" ht="15.75" customHeight="1">
      <c r="E38" s="15"/>
      <c r="F38" s="16"/>
      <c r="G38" s="10"/>
      <c r="H38" s="10">
        <f t="shared" si="1"/>
        <v>0</v>
      </c>
    </row>
    <row r="39" ht="15.75" customHeight="1">
      <c r="E39" s="15"/>
      <c r="F39" s="16"/>
      <c r="G39" s="10"/>
      <c r="H39" s="10">
        <f t="shared" si="1"/>
        <v>0</v>
      </c>
    </row>
    <row r="40" ht="15.75" customHeight="1">
      <c r="E40" s="15"/>
      <c r="F40" s="16"/>
      <c r="G40" s="10"/>
      <c r="H40" s="10">
        <f t="shared" si="1"/>
        <v>0</v>
      </c>
    </row>
    <row r="41" ht="15.75" customHeight="1">
      <c r="E41" s="15"/>
      <c r="F41" s="16"/>
      <c r="G41" s="10"/>
      <c r="H41" s="10">
        <f t="shared" si="1"/>
        <v>0</v>
      </c>
    </row>
    <row r="42" ht="15.75" customHeight="1">
      <c r="E42" s="15"/>
      <c r="F42" s="16"/>
      <c r="G42" s="10"/>
      <c r="H42" s="10">
        <f t="shared" si="1"/>
        <v>0</v>
      </c>
    </row>
    <row r="43" ht="15.75" customHeight="1">
      <c r="E43" s="15"/>
      <c r="F43" s="16"/>
      <c r="G43" s="10"/>
      <c r="H43" s="10">
        <f t="shared" si="1"/>
        <v>0</v>
      </c>
    </row>
    <row r="44" ht="15.75" customHeight="1">
      <c r="E44" s="15"/>
      <c r="F44" s="16"/>
      <c r="G44" s="10"/>
      <c r="H44" s="10">
        <f t="shared" si="1"/>
        <v>0</v>
      </c>
    </row>
    <row r="45" ht="15.75" customHeight="1">
      <c r="E45" s="15"/>
      <c r="F45" s="16"/>
      <c r="G45" s="10"/>
      <c r="H45" s="10">
        <f t="shared" si="1"/>
        <v>0</v>
      </c>
    </row>
    <row r="46" ht="15.75" customHeight="1">
      <c r="E46" s="15"/>
      <c r="F46" s="16"/>
      <c r="G46" s="10"/>
      <c r="H46" s="10">
        <f t="shared" si="1"/>
        <v>0</v>
      </c>
    </row>
    <row r="47" ht="15.75" customHeight="1">
      <c r="E47" s="15"/>
      <c r="F47" s="16"/>
      <c r="G47" s="10"/>
      <c r="H47" s="10">
        <f t="shared" si="1"/>
        <v>0</v>
      </c>
    </row>
    <row r="48" ht="15.75" customHeight="1">
      <c r="E48" s="15"/>
      <c r="F48" s="16"/>
      <c r="G48" s="10"/>
      <c r="H48" s="10">
        <f t="shared" si="1"/>
        <v>0</v>
      </c>
    </row>
    <row r="49" ht="15.75" customHeight="1">
      <c r="E49" s="15"/>
      <c r="F49" s="16"/>
      <c r="G49" s="10"/>
      <c r="H49" s="10">
        <f t="shared" si="1"/>
        <v>0</v>
      </c>
    </row>
    <row r="50" ht="15.75" customHeight="1">
      <c r="E50" s="15"/>
      <c r="F50" s="16"/>
      <c r="G50" s="10"/>
      <c r="H50" s="10">
        <f t="shared" si="1"/>
        <v>0</v>
      </c>
    </row>
    <row r="51" ht="15.75" customHeight="1">
      <c r="E51" s="15"/>
      <c r="F51" s="16"/>
      <c r="G51" s="10"/>
      <c r="H51" s="10">
        <f t="shared" si="1"/>
        <v>0</v>
      </c>
    </row>
    <row r="52" ht="15.75" customHeight="1">
      <c r="E52" s="15"/>
      <c r="F52" s="16"/>
      <c r="G52" s="10"/>
      <c r="H52" s="10">
        <f t="shared" si="1"/>
        <v>0</v>
      </c>
    </row>
    <row r="53" ht="15.75" customHeight="1">
      <c r="E53" s="15"/>
      <c r="F53" s="16"/>
      <c r="G53" s="10"/>
      <c r="H53" s="10">
        <f t="shared" si="1"/>
        <v>0</v>
      </c>
    </row>
    <row r="54" ht="15.75" customHeight="1">
      <c r="E54" s="15"/>
      <c r="F54" s="16"/>
      <c r="G54" s="10"/>
      <c r="H54" s="10">
        <f t="shared" si="1"/>
        <v>0</v>
      </c>
    </row>
    <row r="55" ht="15.75" customHeight="1">
      <c r="E55" s="15"/>
      <c r="F55" s="16"/>
      <c r="G55" s="10"/>
      <c r="H55" s="10">
        <f t="shared" si="1"/>
        <v>0</v>
      </c>
    </row>
    <row r="56" ht="15.75" customHeight="1">
      <c r="E56" s="15"/>
      <c r="F56" s="16"/>
      <c r="G56" s="10"/>
      <c r="H56" s="10">
        <f t="shared" si="1"/>
        <v>0</v>
      </c>
    </row>
    <row r="57" ht="15.75" customHeight="1">
      <c r="E57" s="15"/>
      <c r="F57" s="16"/>
      <c r="G57" s="10"/>
      <c r="H57" s="10">
        <f t="shared" si="1"/>
        <v>0</v>
      </c>
    </row>
    <row r="58" ht="15.75" customHeight="1">
      <c r="E58" s="15"/>
      <c r="F58" s="16"/>
      <c r="G58" s="10"/>
      <c r="H58" s="10">
        <f t="shared" si="1"/>
        <v>0</v>
      </c>
    </row>
    <row r="59" ht="15.75" customHeight="1">
      <c r="E59" s="15"/>
      <c r="F59" s="16"/>
      <c r="G59" s="10"/>
      <c r="H59" s="10">
        <f t="shared" si="1"/>
        <v>0</v>
      </c>
    </row>
    <row r="60" ht="15.75" customHeight="1">
      <c r="E60" s="15"/>
      <c r="F60" s="16"/>
      <c r="G60" s="10"/>
      <c r="H60" s="10">
        <f t="shared" si="1"/>
        <v>0</v>
      </c>
    </row>
    <row r="61" ht="15.75" customHeight="1">
      <c r="E61" s="15"/>
      <c r="F61" s="16"/>
      <c r="G61" s="10"/>
      <c r="H61" s="10">
        <f t="shared" si="1"/>
        <v>0</v>
      </c>
    </row>
    <row r="62" ht="15.75" customHeight="1">
      <c r="E62" s="15"/>
      <c r="F62" s="16"/>
      <c r="G62" s="10"/>
      <c r="H62" s="10">
        <f t="shared" si="1"/>
        <v>0</v>
      </c>
    </row>
    <row r="63" ht="15.75" customHeight="1">
      <c r="E63" s="15"/>
      <c r="F63" s="16"/>
      <c r="G63" s="10"/>
      <c r="H63" s="10">
        <f t="shared" si="1"/>
        <v>0</v>
      </c>
    </row>
    <row r="64" ht="15.75" customHeight="1">
      <c r="E64" s="15"/>
      <c r="F64" s="16"/>
      <c r="G64" s="10"/>
      <c r="H64" s="10">
        <f t="shared" si="1"/>
        <v>0</v>
      </c>
    </row>
    <row r="65" ht="15.75" customHeight="1">
      <c r="E65" s="15"/>
      <c r="F65" s="16"/>
      <c r="G65" s="10"/>
      <c r="H65" s="10">
        <f t="shared" si="1"/>
        <v>0</v>
      </c>
    </row>
    <row r="66" ht="15.75" customHeight="1">
      <c r="E66" s="15"/>
      <c r="F66" s="16"/>
      <c r="G66" s="10"/>
      <c r="H66" s="10">
        <f t="shared" si="1"/>
        <v>0</v>
      </c>
    </row>
    <row r="67" ht="15.75" customHeight="1">
      <c r="E67" s="15"/>
      <c r="F67" s="16"/>
      <c r="G67" s="10"/>
      <c r="H67" s="10">
        <f t="shared" si="1"/>
        <v>0</v>
      </c>
    </row>
    <row r="68" ht="15.75" customHeight="1">
      <c r="E68" s="15"/>
      <c r="F68" s="16"/>
      <c r="G68" s="10"/>
      <c r="H68" s="10">
        <f t="shared" si="1"/>
        <v>0</v>
      </c>
    </row>
    <row r="69" ht="15.75" customHeight="1">
      <c r="E69" s="15"/>
      <c r="F69" s="16"/>
      <c r="G69" s="10"/>
      <c r="H69" s="10">
        <f t="shared" si="1"/>
        <v>0</v>
      </c>
    </row>
    <row r="70" ht="15.75" customHeight="1">
      <c r="E70" s="15"/>
      <c r="F70" s="16"/>
      <c r="G70" s="10"/>
      <c r="H70" s="10">
        <f t="shared" si="1"/>
        <v>0</v>
      </c>
    </row>
    <row r="71" ht="15.75" customHeight="1">
      <c r="E71" s="15"/>
      <c r="F71" s="16"/>
      <c r="G71" s="10"/>
      <c r="H71" s="10">
        <f t="shared" si="1"/>
        <v>0</v>
      </c>
    </row>
    <row r="72" ht="15.75" customHeight="1">
      <c r="E72" s="15"/>
      <c r="F72" s="16"/>
      <c r="G72" s="10"/>
      <c r="H72" s="10">
        <f t="shared" si="1"/>
        <v>0</v>
      </c>
    </row>
    <row r="73" ht="15.75" customHeight="1">
      <c r="E73" s="15"/>
      <c r="F73" s="16"/>
      <c r="G73" s="10"/>
      <c r="H73" s="10">
        <f t="shared" si="1"/>
        <v>0</v>
      </c>
    </row>
    <row r="74" ht="15.75" customHeight="1">
      <c r="E74" s="15"/>
      <c r="F74" s="16"/>
      <c r="G74" s="10"/>
      <c r="H74" s="10">
        <f t="shared" si="1"/>
        <v>0</v>
      </c>
    </row>
    <row r="75" ht="15.75" customHeight="1">
      <c r="E75" s="15"/>
      <c r="F75" s="16"/>
      <c r="G75" s="10"/>
      <c r="H75" s="10">
        <f t="shared" si="1"/>
        <v>0</v>
      </c>
    </row>
    <row r="76" ht="15.75" customHeight="1">
      <c r="E76" s="15"/>
      <c r="F76" s="16"/>
      <c r="G76" s="10"/>
      <c r="H76" s="10">
        <f t="shared" si="1"/>
        <v>0</v>
      </c>
    </row>
    <row r="77" ht="15.75" customHeight="1">
      <c r="E77" s="15"/>
      <c r="F77" s="16"/>
      <c r="G77" s="10"/>
      <c r="H77" s="10">
        <f t="shared" si="1"/>
        <v>0</v>
      </c>
    </row>
    <row r="78" ht="15.75" customHeight="1">
      <c r="E78" s="15"/>
      <c r="F78" s="16"/>
      <c r="G78" s="10"/>
      <c r="H78" s="10">
        <f t="shared" si="1"/>
        <v>0</v>
      </c>
    </row>
    <row r="79" ht="15.75" customHeight="1">
      <c r="E79" s="15"/>
      <c r="F79" s="16"/>
      <c r="G79" s="10"/>
      <c r="H79" s="10">
        <f t="shared" si="1"/>
        <v>0</v>
      </c>
    </row>
    <row r="80" ht="15.75" customHeight="1">
      <c r="E80" s="15"/>
      <c r="F80" s="16"/>
      <c r="G80" s="10"/>
      <c r="H80" s="10">
        <f t="shared" si="1"/>
        <v>0</v>
      </c>
    </row>
    <row r="81" ht="15.75" customHeight="1">
      <c r="E81" s="15"/>
      <c r="F81" s="16"/>
      <c r="G81" s="10"/>
      <c r="H81" s="10">
        <f t="shared" si="1"/>
        <v>0</v>
      </c>
    </row>
    <row r="82" ht="15.75" customHeight="1">
      <c r="E82" s="15"/>
      <c r="F82" s="16"/>
      <c r="G82" s="10"/>
      <c r="H82" s="10">
        <f t="shared" si="1"/>
        <v>0</v>
      </c>
    </row>
    <row r="83" ht="15.75" customHeight="1">
      <c r="E83" s="15"/>
      <c r="F83" s="16"/>
      <c r="G83" s="10"/>
      <c r="H83" s="10">
        <f t="shared" si="1"/>
        <v>0</v>
      </c>
    </row>
    <row r="84" ht="15.75" customHeight="1">
      <c r="E84" s="15"/>
      <c r="F84" s="16"/>
      <c r="G84" s="10"/>
      <c r="H84" s="10">
        <f t="shared" si="1"/>
        <v>0</v>
      </c>
    </row>
    <row r="85" ht="15.75" customHeight="1">
      <c r="E85" s="15"/>
      <c r="F85" s="16"/>
      <c r="G85" s="10"/>
      <c r="H85" s="10">
        <f t="shared" si="1"/>
        <v>0</v>
      </c>
    </row>
    <row r="86" ht="15.75" customHeight="1">
      <c r="E86" s="15"/>
      <c r="F86" s="16"/>
      <c r="G86" s="10"/>
      <c r="H86" s="10">
        <f t="shared" si="1"/>
        <v>0</v>
      </c>
    </row>
    <row r="87" ht="15.75" customHeight="1">
      <c r="E87" s="15"/>
      <c r="F87" s="16"/>
      <c r="G87" s="10"/>
      <c r="H87" s="10">
        <f t="shared" si="1"/>
        <v>0</v>
      </c>
    </row>
    <row r="88" ht="15.75" customHeight="1">
      <c r="E88" s="15"/>
      <c r="F88" s="16"/>
      <c r="G88" s="10"/>
      <c r="H88" s="10">
        <f t="shared" si="1"/>
        <v>0</v>
      </c>
    </row>
    <row r="89" ht="15.75" customHeight="1">
      <c r="E89" s="15"/>
      <c r="F89" s="16"/>
      <c r="G89" s="10"/>
      <c r="H89" s="10">
        <f t="shared" si="1"/>
        <v>0</v>
      </c>
    </row>
    <row r="90" ht="15.75" customHeight="1">
      <c r="E90" s="15"/>
      <c r="F90" s="16"/>
      <c r="G90" s="10"/>
      <c r="H90" s="10">
        <f t="shared" si="1"/>
        <v>0</v>
      </c>
    </row>
    <row r="91" ht="15.75" customHeight="1">
      <c r="E91" s="15"/>
      <c r="F91" s="16"/>
      <c r="G91" s="10"/>
      <c r="H91" s="10">
        <f t="shared" si="1"/>
        <v>0</v>
      </c>
    </row>
    <row r="92" ht="15.75" customHeight="1">
      <c r="E92" s="15"/>
      <c r="F92" s="16"/>
      <c r="G92" s="10"/>
      <c r="H92" s="10">
        <f t="shared" si="1"/>
        <v>0</v>
      </c>
    </row>
    <row r="93" ht="15.75" customHeight="1">
      <c r="E93" s="15"/>
      <c r="F93" s="16"/>
      <c r="G93" s="10"/>
      <c r="H93" s="10">
        <f t="shared" si="1"/>
        <v>0</v>
      </c>
    </row>
    <row r="94" ht="15.75" customHeight="1">
      <c r="E94" s="15"/>
      <c r="F94" s="16"/>
      <c r="G94" s="10"/>
      <c r="H94" s="10">
        <f t="shared" si="1"/>
        <v>0</v>
      </c>
    </row>
    <row r="95" ht="15.75" customHeight="1">
      <c r="E95" s="15"/>
      <c r="F95" s="16"/>
      <c r="G95" s="10"/>
      <c r="H95" s="10">
        <f t="shared" si="1"/>
        <v>0</v>
      </c>
    </row>
    <row r="96" ht="15.75" customHeight="1">
      <c r="E96" s="15"/>
      <c r="F96" s="16"/>
      <c r="G96" s="10"/>
      <c r="H96" s="10">
        <f t="shared" si="1"/>
        <v>0</v>
      </c>
    </row>
    <row r="97" ht="15.75" customHeight="1">
      <c r="E97" s="15"/>
      <c r="F97" s="16"/>
      <c r="G97" s="10"/>
      <c r="H97" s="10">
        <f t="shared" si="1"/>
        <v>0</v>
      </c>
    </row>
    <row r="98" ht="15.75" customHeight="1">
      <c r="E98" s="15"/>
      <c r="F98" s="16"/>
      <c r="G98" s="10"/>
      <c r="H98" s="10">
        <f t="shared" si="1"/>
        <v>0</v>
      </c>
    </row>
    <row r="99" ht="15.75" customHeight="1">
      <c r="E99" s="15"/>
      <c r="F99" s="16"/>
      <c r="G99" s="10"/>
      <c r="H99" s="10">
        <f t="shared" si="1"/>
        <v>0</v>
      </c>
    </row>
    <row r="100" ht="15.75" customHeight="1">
      <c r="E100" s="15"/>
      <c r="F100" s="16"/>
      <c r="G100" s="10"/>
      <c r="H100" s="10">
        <f t="shared" si="1"/>
        <v>0</v>
      </c>
    </row>
    <row r="101" ht="15.75" customHeight="1">
      <c r="E101" s="15"/>
      <c r="F101" s="16"/>
      <c r="G101" s="10"/>
      <c r="H101" s="10">
        <f t="shared" si="1"/>
        <v>0</v>
      </c>
    </row>
    <row r="102" ht="15.75" customHeight="1">
      <c r="E102" s="15"/>
      <c r="F102" s="16"/>
      <c r="G102" s="10"/>
      <c r="H102" s="10">
        <f t="shared" si="1"/>
        <v>0</v>
      </c>
    </row>
    <row r="103" ht="15.75" customHeight="1">
      <c r="E103" s="15"/>
      <c r="F103" s="16"/>
      <c r="G103" s="10"/>
      <c r="H103" s="10">
        <f t="shared" si="1"/>
        <v>0</v>
      </c>
    </row>
    <row r="104" ht="15.75" customHeight="1">
      <c r="E104" s="15"/>
      <c r="F104" s="16"/>
      <c r="G104" s="10"/>
      <c r="H104" s="10">
        <f t="shared" si="1"/>
        <v>0</v>
      </c>
    </row>
    <row r="105" ht="15.75" customHeight="1">
      <c r="E105" s="15"/>
      <c r="F105" s="16"/>
      <c r="G105" s="10"/>
      <c r="H105" s="10">
        <f t="shared" si="1"/>
        <v>0</v>
      </c>
    </row>
    <row r="106" ht="15.75" customHeight="1">
      <c r="E106" s="15"/>
      <c r="F106" s="16"/>
      <c r="G106" s="10"/>
      <c r="H106" s="10">
        <f t="shared" si="1"/>
        <v>0</v>
      </c>
    </row>
    <row r="107" ht="15.75" customHeight="1">
      <c r="E107" s="15"/>
      <c r="F107" s="16"/>
      <c r="G107" s="10"/>
      <c r="H107" s="10">
        <f t="shared" si="1"/>
        <v>0</v>
      </c>
    </row>
    <row r="108" ht="15.75" customHeight="1">
      <c r="E108" s="15"/>
      <c r="F108" s="16"/>
      <c r="G108" s="10"/>
      <c r="H108" s="10">
        <f t="shared" si="1"/>
        <v>0</v>
      </c>
    </row>
    <row r="109" ht="15.75" customHeight="1">
      <c r="E109" s="15"/>
      <c r="F109" s="16"/>
      <c r="G109" s="10"/>
      <c r="H109" s="10">
        <f t="shared" si="1"/>
        <v>0</v>
      </c>
    </row>
    <row r="110" ht="15.75" customHeight="1">
      <c r="E110" s="15"/>
      <c r="F110" s="16"/>
      <c r="G110" s="10"/>
      <c r="H110" s="10">
        <f t="shared" si="1"/>
        <v>0</v>
      </c>
    </row>
    <row r="111" ht="15.75" customHeight="1">
      <c r="E111" s="15"/>
      <c r="F111" s="16"/>
      <c r="G111" s="10"/>
      <c r="H111" s="10">
        <f t="shared" si="1"/>
        <v>0</v>
      </c>
    </row>
    <row r="112" ht="15.75" customHeight="1">
      <c r="E112" s="15"/>
      <c r="F112" s="16"/>
      <c r="G112" s="10"/>
      <c r="H112" s="10">
        <f t="shared" si="1"/>
        <v>0</v>
      </c>
    </row>
    <row r="113" ht="15.75" customHeight="1">
      <c r="E113" s="15"/>
      <c r="F113" s="16"/>
      <c r="G113" s="10"/>
      <c r="H113" s="10">
        <f t="shared" si="1"/>
        <v>0</v>
      </c>
    </row>
    <row r="114" ht="15.75" customHeight="1">
      <c r="E114" s="15"/>
      <c r="F114" s="16"/>
      <c r="G114" s="10"/>
      <c r="H114" s="10">
        <f t="shared" si="1"/>
        <v>0</v>
      </c>
    </row>
    <row r="115" ht="15.75" customHeight="1">
      <c r="E115" s="15"/>
      <c r="F115" s="16"/>
      <c r="G115" s="10"/>
      <c r="H115" s="10">
        <f t="shared" si="1"/>
        <v>0</v>
      </c>
    </row>
    <row r="116" ht="15.75" customHeight="1">
      <c r="E116" s="15"/>
      <c r="F116" s="16"/>
      <c r="G116" s="10"/>
      <c r="H116" s="10">
        <f t="shared" si="1"/>
        <v>0</v>
      </c>
    </row>
    <row r="117" ht="15.75" customHeight="1">
      <c r="E117" s="15"/>
      <c r="F117" s="16"/>
      <c r="G117" s="10"/>
      <c r="H117" s="10">
        <f t="shared" si="1"/>
        <v>0</v>
      </c>
    </row>
    <row r="118" ht="15.75" customHeight="1">
      <c r="E118" s="15"/>
      <c r="F118" s="16"/>
      <c r="G118" s="10"/>
      <c r="H118" s="10">
        <f t="shared" si="1"/>
        <v>0</v>
      </c>
    </row>
    <row r="119" ht="15.75" customHeight="1">
      <c r="E119" s="15"/>
      <c r="F119" s="16"/>
      <c r="G119" s="10"/>
      <c r="H119" s="10">
        <f t="shared" si="1"/>
        <v>0</v>
      </c>
    </row>
    <row r="120" ht="15.75" customHeight="1">
      <c r="E120" s="15"/>
      <c r="F120" s="16"/>
      <c r="G120" s="10"/>
      <c r="H120" s="10">
        <f t="shared" si="1"/>
        <v>0</v>
      </c>
    </row>
    <row r="121" ht="15.75" customHeight="1">
      <c r="E121" s="15"/>
      <c r="F121" s="16"/>
      <c r="G121" s="10"/>
      <c r="H121" s="10">
        <f t="shared" si="1"/>
        <v>0</v>
      </c>
    </row>
    <row r="122" ht="15.75" customHeight="1">
      <c r="E122" s="15"/>
      <c r="F122" s="16"/>
      <c r="G122" s="10"/>
      <c r="H122" s="10">
        <f t="shared" si="1"/>
        <v>0</v>
      </c>
    </row>
    <row r="123" ht="15.75" customHeight="1">
      <c r="E123" s="15"/>
      <c r="F123" s="16"/>
      <c r="G123" s="10"/>
      <c r="H123" s="10">
        <f t="shared" si="1"/>
        <v>0</v>
      </c>
    </row>
    <row r="124" ht="15.75" customHeight="1">
      <c r="E124" s="15"/>
      <c r="F124" s="16"/>
      <c r="G124" s="10"/>
      <c r="H124" s="10">
        <f t="shared" si="1"/>
        <v>0</v>
      </c>
    </row>
    <row r="125" ht="15.75" customHeight="1">
      <c r="E125" s="15"/>
      <c r="F125" s="16"/>
      <c r="G125" s="10"/>
      <c r="H125" s="10">
        <f t="shared" si="1"/>
        <v>0</v>
      </c>
    </row>
    <row r="126" ht="15.75" customHeight="1">
      <c r="E126" s="15"/>
      <c r="F126" s="16"/>
      <c r="G126" s="10"/>
      <c r="H126" s="10">
        <f t="shared" si="1"/>
        <v>0</v>
      </c>
    </row>
    <row r="127" ht="15.75" customHeight="1">
      <c r="E127" s="15"/>
      <c r="F127" s="16"/>
      <c r="G127" s="10"/>
      <c r="H127" s="10">
        <f t="shared" si="1"/>
        <v>0</v>
      </c>
    </row>
    <row r="128" ht="15.75" customHeight="1">
      <c r="E128" s="15"/>
      <c r="F128" s="16"/>
      <c r="G128" s="10"/>
      <c r="H128" s="10">
        <f t="shared" si="1"/>
        <v>0</v>
      </c>
    </row>
    <row r="129" ht="15.75" customHeight="1">
      <c r="E129" s="15"/>
      <c r="F129" s="16"/>
      <c r="G129" s="10"/>
      <c r="H129" s="10">
        <f t="shared" si="1"/>
        <v>0</v>
      </c>
    </row>
    <row r="130" ht="15.75" customHeight="1">
      <c r="E130" s="15"/>
      <c r="F130" s="16"/>
      <c r="G130" s="10"/>
      <c r="H130" s="10">
        <f t="shared" si="1"/>
        <v>0</v>
      </c>
    </row>
    <row r="131" ht="15.75" customHeight="1">
      <c r="E131" s="15"/>
      <c r="F131" s="16"/>
      <c r="G131" s="10"/>
      <c r="H131" s="10">
        <f t="shared" si="1"/>
        <v>0</v>
      </c>
    </row>
    <row r="132" ht="15.75" customHeight="1">
      <c r="E132" s="15"/>
      <c r="F132" s="16"/>
      <c r="G132" s="10"/>
      <c r="H132" s="10">
        <f t="shared" si="1"/>
        <v>0</v>
      </c>
    </row>
    <row r="133" ht="15.75" customHeight="1">
      <c r="E133" s="15"/>
      <c r="F133" s="16"/>
      <c r="G133" s="10"/>
      <c r="H133" s="10">
        <f t="shared" si="1"/>
        <v>0</v>
      </c>
    </row>
    <row r="134" ht="15.75" customHeight="1">
      <c r="E134" s="15"/>
      <c r="F134" s="16"/>
      <c r="G134" s="10"/>
      <c r="H134" s="10">
        <f t="shared" si="1"/>
        <v>0</v>
      </c>
    </row>
    <row r="135" ht="15.75" customHeight="1">
      <c r="E135" s="15"/>
      <c r="F135" s="16"/>
      <c r="G135" s="10"/>
      <c r="H135" s="10">
        <f t="shared" si="1"/>
        <v>0</v>
      </c>
    </row>
    <row r="136" ht="15.75" customHeight="1">
      <c r="E136" s="15"/>
      <c r="F136" s="16"/>
      <c r="G136" s="10"/>
      <c r="H136" s="10">
        <f t="shared" si="1"/>
        <v>0</v>
      </c>
    </row>
    <row r="137" ht="15.75" customHeight="1">
      <c r="E137" s="15"/>
      <c r="F137" s="16"/>
      <c r="G137" s="10"/>
      <c r="H137" s="10">
        <f t="shared" si="1"/>
        <v>0</v>
      </c>
    </row>
    <row r="138" ht="15.75" customHeight="1">
      <c r="E138" s="15"/>
      <c r="F138" s="16"/>
      <c r="G138" s="10"/>
      <c r="H138" s="10">
        <f t="shared" si="1"/>
        <v>0</v>
      </c>
    </row>
    <row r="139" ht="15.75" customHeight="1">
      <c r="E139" s="15"/>
      <c r="F139" s="16"/>
      <c r="G139" s="10"/>
      <c r="H139" s="10">
        <f t="shared" si="1"/>
        <v>0</v>
      </c>
    </row>
    <row r="140" ht="15.75" customHeight="1">
      <c r="E140" s="15"/>
      <c r="F140" s="16"/>
      <c r="G140" s="10"/>
      <c r="H140" s="10">
        <f t="shared" si="1"/>
        <v>0</v>
      </c>
    </row>
    <row r="141" ht="15.75" customHeight="1">
      <c r="E141" s="15"/>
      <c r="F141" s="16"/>
      <c r="G141" s="10"/>
      <c r="H141" s="10">
        <f t="shared" si="1"/>
        <v>0</v>
      </c>
    </row>
    <row r="142" ht="15.75" customHeight="1">
      <c r="E142" s="15"/>
      <c r="F142" s="16"/>
      <c r="G142" s="10"/>
      <c r="H142" s="10">
        <f t="shared" si="1"/>
        <v>0</v>
      </c>
    </row>
    <row r="143" ht="15.75" customHeight="1">
      <c r="E143" s="15"/>
      <c r="F143" s="16"/>
      <c r="G143" s="10"/>
      <c r="H143" s="10">
        <f t="shared" si="1"/>
        <v>0</v>
      </c>
    </row>
    <row r="144" ht="15.75" customHeight="1">
      <c r="E144" s="15"/>
      <c r="F144" s="16"/>
      <c r="G144" s="10"/>
      <c r="H144" s="10">
        <f t="shared" si="1"/>
        <v>0</v>
      </c>
    </row>
    <row r="145" ht="15.75" customHeight="1">
      <c r="E145" s="15"/>
      <c r="F145" s="16"/>
      <c r="G145" s="10"/>
      <c r="H145" s="10">
        <f t="shared" si="1"/>
        <v>0</v>
      </c>
    </row>
    <row r="146" ht="15.75" customHeight="1">
      <c r="E146" s="15"/>
      <c r="F146" s="16"/>
      <c r="G146" s="10"/>
      <c r="H146" s="10">
        <f t="shared" si="1"/>
        <v>0</v>
      </c>
    </row>
    <row r="147" ht="15.75" customHeight="1">
      <c r="E147" s="15"/>
      <c r="F147" s="16"/>
      <c r="G147" s="10"/>
      <c r="H147" s="10">
        <f t="shared" si="1"/>
        <v>0</v>
      </c>
    </row>
    <row r="148" ht="15.75" customHeight="1">
      <c r="E148" s="15"/>
      <c r="F148" s="16"/>
      <c r="G148" s="10"/>
      <c r="H148" s="10">
        <f t="shared" si="1"/>
        <v>0</v>
      </c>
    </row>
    <row r="149" ht="15.75" customHeight="1">
      <c r="E149" s="15"/>
      <c r="F149" s="16"/>
      <c r="G149" s="10"/>
      <c r="H149" s="10">
        <f t="shared" si="1"/>
        <v>0</v>
      </c>
    </row>
    <row r="150" ht="15.75" customHeight="1">
      <c r="E150" s="15"/>
      <c r="F150" s="16"/>
      <c r="G150" s="10"/>
      <c r="H150" s="10">
        <f t="shared" si="1"/>
        <v>0</v>
      </c>
    </row>
    <row r="151" ht="15.75" customHeight="1">
      <c r="E151" s="15"/>
      <c r="F151" s="16"/>
      <c r="G151" s="10"/>
      <c r="H151" s="10">
        <f t="shared" si="1"/>
        <v>0</v>
      </c>
    </row>
    <row r="152" ht="15.75" customHeight="1">
      <c r="E152" s="15"/>
      <c r="F152" s="16"/>
      <c r="G152" s="10"/>
      <c r="H152" s="10">
        <f t="shared" si="1"/>
        <v>0</v>
      </c>
    </row>
    <row r="153" ht="15.75" customHeight="1">
      <c r="E153" s="15"/>
      <c r="F153" s="16"/>
      <c r="G153" s="10"/>
      <c r="H153" s="10">
        <f t="shared" si="1"/>
        <v>0</v>
      </c>
    </row>
    <row r="154" ht="15.75" customHeight="1">
      <c r="E154" s="15"/>
      <c r="F154" s="16"/>
      <c r="G154" s="10"/>
      <c r="H154" s="10">
        <f t="shared" si="1"/>
        <v>0</v>
      </c>
    </row>
    <row r="155" ht="15.75" customHeight="1">
      <c r="E155" s="15"/>
      <c r="F155" s="16"/>
      <c r="G155" s="10"/>
      <c r="H155" s="10">
        <f t="shared" si="1"/>
        <v>0</v>
      </c>
    </row>
    <row r="156" ht="15.75" customHeight="1">
      <c r="E156" s="15"/>
      <c r="F156" s="16"/>
      <c r="G156" s="10"/>
      <c r="H156" s="10">
        <f t="shared" si="1"/>
        <v>0</v>
      </c>
    </row>
    <row r="157" ht="15.75" customHeight="1">
      <c r="E157" s="15"/>
      <c r="F157" s="16"/>
      <c r="G157" s="10"/>
      <c r="H157" s="10">
        <f t="shared" si="1"/>
        <v>0</v>
      </c>
    </row>
    <row r="158" ht="15.75" customHeight="1">
      <c r="E158" s="15"/>
      <c r="F158" s="16"/>
      <c r="G158" s="10"/>
      <c r="H158" s="10">
        <f t="shared" si="1"/>
        <v>0</v>
      </c>
    </row>
    <row r="159" ht="15.75" customHeight="1">
      <c r="E159" s="15"/>
      <c r="F159" s="16"/>
      <c r="G159" s="10"/>
      <c r="H159" s="10">
        <f t="shared" si="1"/>
        <v>0</v>
      </c>
    </row>
    <row r="160" ht="15.75" customHeight="1">
      <c r="E160" s="15"/>
      <c r="F160" s="16"/>
      <c r="G160" s="10"/>
      <c r="H160" s="10">
        <f t="shared" si="1"/>
        <v>0</v>
      </c>
    </row>
    <row r="161" ht="15.75" customHeight="1">
      <c r="E161" s="15"/>
      <c r="F161" s="16"/>
      <c r="G161" s="10"/>
      <c r="H161" s="10">
        <f t="shared" si="1"/>
        <v>0</v>
      </c>
    </row>
    <row r="162" ht="15.75" customHeight="1">
      <c r="E162" s="15"/>
      <c r="F162" s="16"/>
      <c r="G162" s="10"/>
      <c r="H162" s="10">
        <f t="shared" si="1"/>
        <v>0</v>
      </c>
    </row>
    <row r="163" ht="15.75" customHeight="1">
      <c r="E163" s="15"/>
      <c r="F163" s="16"/>
      <c r="G163" s="10"/>
      <c r="H163" s="10">
        <f t="shared" si="1"/>
        <v>0</v>
      </c>
    </row>
    <row r="164" ht="15.75" customHeight="1">
      <c r="E164" s="15"/>
      <c r="F164" s="16"/>
      <c r="G164" s="10"/>
      <c r="H164" s="10">
        <f t="shared" si="1"/>
        <v>0</v>
      </c>
    </row>
    <row r="165" ht="15.75" customHeight="1">
      <c r="E165" s="15"/>
      <c r="F165" s="16"/>
      <c r="G165" s="10"/>
      <c r="H165" s="10">
        <f t="shared" si="1"/>
        <v>0</v>
      </c>
    </row>
    <row r="166" ht="15.75" customHeight="1">
      <c r="E166" s="15"/>
      <c r="F166" s="16"/>
      <c r="G166" s="10"/>
      <c r="H166" s="10">
        <f t="shared" si="1"/>
        <v>0</v>
      </c>
    </row>
    <row r="167" ht="15.75" customHeight="1">
      <c r="E167" s="15"/>
      <c r="F167" s="16"/>
      <c r="G167" s="10"/>
      <c r="H167" s="10">
        <f t="shared" si="1"/>
        <v>0</v>
      </c>
    </row>
    <row r="168" ht="15.75" customHeight="1">
      <c r="E168" s="15"/>
      <c r="F168" s="16"/>
      <c r="G168" s="10"/>
      <c r="H168" s="10">
        <f t="shared" si="1"/>
        <v>0</v>
      </c>
    </row>
    <row r="169" ht="15.75" customHeight="1">
      <c r="E169" s="15"/>
      <c r="F169" s="16"/>
      <c r="G169" s="10"/>
      <c r="H169" s="10">
        <f t="shared" si="1"/>
        <v>0</v>
      </c>
    </row>
    <row r="170" ht="15.75" customHeight="1">
      <c r="E170" s="15"/>
      <c r="F170" s="16"/>
      <c r="G170" s="10"/>
      <c r="H170" s="10">
        <f t="shared" si="1"/>
        <v>0</v>
      </c>
    </row>
    <row r="171" ht="15.75" customHeight="1">
      <c r="E171" s="15"/>
      <c r="F171" s="16"/>
      <c r="G171" s="10"/>
      <c r="H171" s="10">
        <f t="shared" si="1"/>
        <v>0</v>
      </c>
    </row>
    <row r="172" ht="15.75" customHeight="1">
      <c r="E172" s="15"/>
      <c r="F172" s="16"/>
      <c r="G172" s="10"/>
      <c r="H172" s="10">
        <f t="shared" si="1"/>
        <v>0</v>
      </c>
    </row>
    <row r="173" ht="15.75" customHeight="1">
      <c r="E173" s="15"/>
      <c r="F173" s="16"/>
      <c r="G173" s="10"/>
      <c r="H173" s="10">
        <f t="shared" si="1"/>
        <v>0</v>
      </c>
    </row>
    <row r="174" ht="15.75" customHeight="1">
      <c r="E174" s="15"/>
      <c r="F174" s="16"/>
      <c r="G174" s="10"/>
      <c r="H174" s="10">
        <f t="shared" si="1"/>
        <v>0</v>
      </c>
    </row>
    <row r="175" ht="15.75" customHeight="1">
      <c r="E175" s="15"/>
      <c r="F175" s="16"/>
      <c r="G175" s="10"/>
      <c r="H175" s="10">
        <f t="shared" si="1"/>
        <v>0</v>
      </c>
    </row>
    <row r="176" ht="15.75" customHeight="1">
      <c r="E176" s="15"/>
      <c r="F176" s="16"/>
      <c r="G176" s="10"/>
      <c r="H176" s="10">
        <f t="shared" si="1"/>
        <v>0</v>
      </c>
    </row>
    <row r="177" ht="15.75" customHeight="1">
      <c r="E177" s="15"/>
      <c r="F177" s="16"/>
      <c r="G177" s="10"/>
      <c r="H177" s="10">
        <f t="shared" si="1"/>
        <v>0</v>
      </c>
    </row>
    <row r="178" ht="15.75" customHeight="1">
      <c r="E178" s="15"/>
      <c r="F178" s="16"/>
      <c r="G178" s="10"/>
      <c r="H178" s="10">
        <f t="shared" si="1"/>
        <v>0</v>
      </c>
    </row>
    <row r="179" ht="15.75" customHeight="1">
      <c r="E179" s="15"/>
      <c r="F179" s="16"/>
      <c r="G179" s="10"/>
      <c r="H179" s="10">
        <f t="shared" si="1"/>
        <v>0</v>
      </c>
    </row>
    <row r="180" ht="15.75" customHeight="1">
      <c r="E180" s="15"/>
      <c r="F180" s="16"/>
      <c r="G180" s="10"/>
      <c r="H180" s="10">
        <f t="shared" si="1"/>
        <v>0</v>
      </c>
    </row>
    <row r="181" ht="15.75" customHeight="1">
      <c r="E181" s="15"/>
      <c r="F181" s="16"/>
      <c r="G181" s="10"/>
      <c r="H181" s="10">
        <f t="shared" si="1"/>
        <v>0</v>
      </c>
    </row>
    <row r="182" ht="15.75" customHeight="1">
      <c r="E182" s="15"/>
      <c r="F182" s="16"/>
      <c r="G182" s="10"/>
      <c r="H182" s="10">
        <f t="shared" si="1"/>
        <v>0</v>
      </c>
    </row>
    <row r="183" ht="15.75" customHeight="1">
      <c r="E183" s="15"/>
      <c r="F183" s="16"/>
      <c r="G183" s="10"/>
      <c r="H183" s="10">
        <f t="shared" si="1"/>
        <v>0</v>
      </c>
    </row>
    <row r="184" ht="15.75" customHeight="1">
      <c r="E184" s="15"/>
      <c r="F184" s="16"/>
      <c r="G184" s="10"/>
      <c r="H184" s="10">
        <f t="shared" si="1"/>
        <v>0</v>
      </c>
    </row>
    <row r="185" ht="15.75" customHeight="1">
      <c r="E185" s="15"/>
      <c r="F185" s="16"/>
      <c r="G185" s="10"/>
      <c r="H185" s="10">
        <f t="shared" si="1"/>
        <v>0</v>
      </c>
    </row>
    <row r="186" ht="15.75" customHeight="1">
      <c r="E186" s="15"/>
      <c r="F186" s="16"/>
      <c r="G186" s="10"/>
      <c r="H186" s="10">
        <f t="shared" si="1"/>
        <v>0</v>
      </c>
    </row>
    <row r="187" ht="15.75" customHeight="1">
      <c r="E187" s="15"/>
      <c r="F187" s="16"/>
      <c r="G187" s="10"/>
      <c r="H187" s="10">
        <f t="shared" si="1"/>
        <v>0</v>
      </c>
    </row>
    <row r="188" ht="15.75" customHeight="1">
      <c r="E188" s="15"/>
      <c r="F188" s="16"/>
      <c r="G188" s="10"/>
      <c r="H188" s="10">
        <f t="shared" si="1"/>
        <v>0</v>
      </c>
    </row>
    <row r="189" ht="15.75" customHeight="1">
      <c r="E189" s="15"/>
      <c r="F189" s="16"/>
      <c r="G189" s="10"/>
      <c r="H189" s="10">
        <f t="shared" si="1"/>
        <v>0</v>
      </c>
    </row>
    <row r="190" ht="15.75" customHeight="1">
      <c r="E190" s="15"/>
      <c r="F190" s="16"/>
      <c r="G190" s="10"/>
      <c r="H190" s="10">
        <f t="shared" si="1"/>
        <v>0</v>
      </c>
    </row>
    <row r="191" ht="15.75" customHeight="1">
      <c r="E191" s="15"/>
      <c r="F191" s="16"/>
      <c r="G191" s="10"/>
      <c r="H191" s="10">
        <f t="shared" si="1"/>
        <v>0</v>
      </c>
    </row>
    <row r="192" ht="15.75" customHeight="1">
      <c r="E192" s="15"/>
      <c r="F192" s="16"/>
      <c r="G192" s="10"/>
      <c r="H192" s="10">
        <f t="shared" si="1"/>
        <v>0</v>
      </c>
    </row>
    <row r="193" ht="15.75" customHeight="1">
      <c r="E193" s="15"/>
      <c r="F193" s="16"/>
      <c r="G193" s="10"/>
      <c r="H193" s="10">
        <f t="shared" si="1"/>
        <v>0</v>
      </c>
    </row>
    <row r="194" ht="15.75" customHeight="1">
      <c r="E194" s="15"/>
      <c r="F194" s="16"/>
      <c r="G194" s="10"/>
      <c r="H194" s="10">
        <f t="shared" si="1"/>
        <v>0</v>
      </c>
    </row>
    <row r="195" ht="15.75" customHeight="1">
      <c r="E195" s="15"/>
      <c r="F195" s="16"/>
      <c r="G195" s="10"/>
      <c r="H195" s="10">
        <f t="shared" si="1"/>
        <v>0</v>
      </c>
    </row>
    <row r="196" ht="15.75" customHeight="1">
      <c r="E196" s="15"/>
      <c r="F196" s="16"/>
      <c r="G196" s="10"/>
      <c r="H196" s="10">
        <f t="shared" si="1"/>
        <v>0</v>
      </c>
    </row>
    <row r="197" ht="15.75" customHeight="1">
      <c r="E197" s="15"/>
      <c r="F197" s="16"/>
      <c r="G197" s="10"/>
      <c r="H197" s="10">
        <f t="shared" si="1"/>
        <v>0</v>
      </c>
    </row>
    <row r="198" ht="15.75" customHeight="1">
      <c r="E198" s="15"/>
      <c r="F198" s="16"/>
      <c r="G198" s="10"/>
      <c r="H198" s="10">
        <f t="shared" si="1"/>
        <v>0</v>
      </c>
    </row>
    <row r="199" ht="15.75" customHeight="1">
      <c r="E199" s="15"/>
      <c r="F199" s="16"/>
      <c r="G199" s="10"/>
      <c r="H199" s="10">
        <f t="shared" si="1"/>
        <v>0</v>
      </c>
    </row>
    <row r="200" ht="15.75" customHeight="1">
      <c r="E200" s="15"/>
      <c r="F200" s="16"/>
      <c r="G200" s="10"/>
      <c r="H200" s="10">
        <f t="shared" si="1"/>
        <v>0</v>
      </c>
    </row>
    <row r="201" ht="15.75" customHeight="1">
      <c r="E201" s="15"/>
      <c r="F201" s="16"/>
      <c r="G201" s="10"/>
      <c r="H201" s="10">
        <f t="shared" si="1"/>
        <v>0</v>
      </c>
    </row>
    <row r="202" ht="15.75" customHeight="1">
      <c r="E202" s="15"/>
      <c r="F202" s="16"/>
      <c r="G202" s="10"/>
      <c r="H202" s="10">
        <f t="shared" si="1"/>
        <v>0</v>
      </c>
    </row>
    <row r="203" ht="15.75" customHeight="1">
      <c r="E203" s="15"/>
      <c r="F203" s="16"/>
      <c r="G203" s="10"/>
      <c r="H203" s="10">
        <f t="shared" si="1"/>
        <v>0</v>
      </c>
    </row>
    <row r="204" ht="15.75" customHeight="1">
      <c r="E204" s="15"/>
      <c r="F204" s="16"/>
      <c r="G204" s="10"/>
      <c r="H204" s="10">
        <f t="shared" si="1"/>
        <v>0</v>
      </c>
    </row>
    <row r="205" ht="15.75" customHeight="1">
      <c r="E205" s="15"/>
      <c r="F205" s="16"/>
      <c r="G205" s="10"/>
      <c r="H205" s="10">
        <f t="shared" si="1"/>
        <v>0</v>
      </c>
    </row>
    <row r="206" ht="15.75" customHeight="1">
      <c r="E206" s="15"/>
      <c r="F206" s="16"/>
      <c r="G206" s="10"/>
      <c r="H206" s="10">
        <f t="shared" si="1"/>
        <v>0</v>
      </c>
    </row>
    <row r="207" ht="15.75" customHeight="1">
      <c r="E207" s="15"/>
      <c r="F207" s="16"/>
      <c r="G207" s="10"/>
      <c r="H207" s="10">
        <f t="shared" si="1"/>
        <v>0</v>
      </c>
    </row>
    <row r="208" ht="15.75" customHeight="1">
      <c r="E208" s="15"/>
      <c r="F208" s="16"/>
      <c r="G208" s="10"/>
      <c r="H208" s="10">
        <f t="shared" si="1"/>
        <v>0</v>
      </c>
    </row>
    <row r="209" ht="15.75" customHeight="1">
      <c r="E209" s="15"/>
      <c r="F209" s="16"/>
      <c r="G209" s="10"/>
      <c r="H209" s="10">
        <f t="shared" si="1"/>
        <v>0</v>
      </c>
    </row>
    <row r="210" ht="15.75" customHeight="1">
      <c r="E210" s="15"/>
      <c r="F210" s="16"/>
      <c r="G210" s="10"/>
      <c r="H210" s="10">
        <f t="shared" si="1"/>
        <v>0</v>
      </c>
    </row>
    <row r="211" ht="15.75" customHeight="1">
      <c r="E211" s="15"/>
      <c r="F211" s="16"/>
      <c r="G211" s="10"/>
      <c r="H211" s="10">
        <f t="shared" si="1"/>
        <v>0</v>
      </c>
    </row>
    <row r="212" ht="15.75" customHeight="1">
      <c r="E212" s="15"/>
      <c r="F212" s="16"/>
      <c r="G212" s="10"/>
      <c r="H212" s="10">
        <f t="shared" si="1"/>
        <v>0</v>
      </c>
    </row>
    <row r="213" ht="15.75" customHeight="1">
      <c r="E213" s="15"/>
      <c r="F213" s="16"/>
      <c r="G213" s="10"/>
      <c r="H213" s="10">
        <f t="shared" si="1"/>
        <v>0</v>
      </c>
    </row>
    <row r="214" ht="15.75" customHeight="1">
      <c r="E214" s="15"/>
      <c r="F214" s="16"/>
      <c r="G214" s="10"/>
      <c r="H214" s="10">
        <f t="shared" si="1"/>
        <v>0</v>
      </c>
    </row>
    <row r="215" ht="15.75" customHeight="1">
      <c r="E215" s="15"/>
      <c r="F215" s="16"/>
      <c r="G215" s="10"/>
      <c r="H215" s="10">
        <f t="shared" si="1"/>
        <v>0</v>
      </c>
    </row>
    <row r="216" ht="15.75" customHeight="1">
      <c r="E216" s="15"/>
      <c r="F216" s="16"/>
      <c r="G216" s="10"/>
      <c r="H216" s="10">
        <f t="shared" si="1"/>
        <v>0</v>
      </c>
    </row>
    <row r="217" ht="15.75" customHeight="1">
      <c r="E217" s="15"/>
      <c r="F217" s="16"/>
      <c r="G217" s="10"/>
      <c r="H217" s="10">
        <f t="shared" si="1"/>
        <v>0</v>
      </c>
    </row>
    <row r="218" ht="15.75" customHeight="1">
      <c r="E218" s="15"/>
      <c r="F218" s="16"/>
      <c r="G218" s="10"/>
      <c r="H218" s="10">
        <f t="shared" si="1"/>
        <v>0</v>
      </c>
    </row>
    <row r="219" ht="15.75" customHeight="1">
      <c r="E219" s="15"/>
      <c r="F219" s="16"/>
      <c r="G219" s="10"/>
      <c r="H219" s="10">
        <f t="shared" si="1"/>
        <v>0</v>
      </c>
    </row>
    <row r="220" ht="15.75" customHeight="1">
      <c r="E220" s="15"/>
      <c r="F220" s="16"/>
      <c r="G220" s="10"/>
      <c r="H220" s="10">
        <f t="shared" si="1"/>
        <v>0</v>
      </c>
    </row>
    <row r="221" ht="15.75" customHeight="1">
      <c r="F221" s="16"/>
      <c r="G221" s="11"/>
      <c r="H221" s="11">
        <f t="shared" si="1"/>
        <v>0</v>
      </c>
    </row>
    <row r="222" ht="15.75" customHeight="1">
      <c r="F222" s="16"/>
      <c r="G222" s="11"/>
      <c r="H222" s="11">
        <f t="shared" si="1"/>
        <v>0</v>
      </c>
    </row>
    <row r="223" ht="15.75" customHeight="1">
      <c r="F223" s="16"/>
      <c r="G223" s="11"/>
      <c r="H223" s="11">
        <f t="shared" si="1"/>
        <v>0</v>
      </c>
    </row>
    <row r="224" ht="15.75" customHeight="1">
      <c r="F224" s="16"/>
      <c r="G224" s="11"/>
      <c r="H224" s="11">
        <f t="shared" si="1"/>
        <v>0</v>
      </c>
    </row>
    <row r="225" ht="15.75" customHeight="1">
      <c r="F225" s="16"/>
      <c r="G225" s="11"/>
      <c r="H225" s="11">
        <f t="shared" si="1"/>
        <v>0</v>
      </c>
    </row>
    <row r="226" ht="15.75" customHeight="1">
      <c r="F226" s="16"/>
      <c r="G226" s="11"/>
      <c r="H226" s="11">
        <f t="shared" si="1"/>
        <v>0</v>
      </c>
    </row>
    <row r="227" ht="15.75" customHeight="1">
      <c r="F227" s="16"/>
      <c r="G227" s="11"/>
      <c r="H227" s="11">
        <f t="shared" si="1"/>
        <v>0</v>
      </c>
    </row>
    <row r="228" ht="15.75" customHeight="1">
      <c r="F228" s="16"/>
      <c r="G228" s="11"/>
      <c r="H228" s="11">
        <f t="shared" si="1"/>
        <v>0</v>
      </c>
    </row>
    <row r="229" ht="15.75" customHeight="1">
      <c r="F229" s="16"/>
      <c r="G229" s="11"/>
      <c r="H229" s="11">
        <f t="shared" si="1"/>
        <v>0</v>
      </c>
    </row>
    <row r="230" ht="15.75" customHeight="1">
      <c r="F230" s="16"/>
      <c r="G230" s="11"/>
      <c r="H230" s="11">
        <f t="shared" si="1"/>
        <v>0</v>
      </c>
    </row>
    <row r="231" ht="15.75" customHeight="1">
      <c r="F231" s="16"/>
      <c r="G231" s="11"/>
      <c r="H231" s="11">
        <f t="shared" si="1"/>
        <v>0</v>
      </c>
    </row>
    <row r="232" ht="15.75" customHeight="1">
      <c r="F232" s="16"/>
      <c r="G232" s="11"/>
      <c r="H232" s="11">
        <f t="shared" si="1"/>
        <v>0</v>
      </c>
    </row>
    <row r="233" ht="15.75" customHeight="1">
      <c r="F233" s="16"/>
      <c r="G233" s="11"/>
      <c r="H233" s="11">
        <f t="shared" si="1"/>
        <v>0</v>
      </c>
    </row>
    <row r="234" ht="15.75" customHeight="1">
      <c r="F234" s="16"/>
      <c r="G234" s="11"/>
      <c r="H234" s="11">
        <f t="shared" si="1"/>
        <v>0</v>
      </c>
    </row>
    <row r="235" ht="15.75" customHeight="1">
      <c r="F235" s="16"/>
      <c r="G235" s="11"/>
      <c r="H235" s="11">
        <f t="shared" si="1"/>
        <v>0</v>
      </c>
    </row>
    <row r="236" ht="15.75" customHeight="1">
      <c r="F236" s="16"/>
      <c r="G236" s="11"/>
      <c r="H236" s="11">
        <f t="shared" si="1"/>
        <v>0</v>
      </c>
    </row>
    <row r="237" ht="15.75" customHeight="1">
      <c r="F237" s="16"/>
      <c r="G237" s="11"/>
      <c r="H237" s="11">
        <f t="shared" si="1"/>
        <v>0</v>
      </c>
    </row>
    <row r="238" ht="15.75" customHeight="1">
      <c r="F238" s="16"/>
      <c r="G238" s="11"/>
      <c r="H238" s="11">
        <f t="shared" si="1"/>
        <v>0</v>
      </c>
    </row>
    <row r="239" ht="15.75" customHeight="1">
      <c r="F239" s="16"/>
      <c r="G239" s="11"/>
      <c r="H239" s="11">
        <f t="shared" si="1"/>
        <v>0</v>
      </c>
    </row>
    <row r="240" ht="15.75" customHeight="1">
      <c r="F240" s="16"/>
      <c r="G240" s="11"/>
      <c r="H240" s="11">
        <f t="shared" si="1"/>
        <v>0</v>
      </c>
    </row>
    <row r="241" ht="15.75" customHeight="1">
      <c r="F241" s="16"/>
      <c r="G241" s="11"/>
      <c r="H241" s="11">
        <f t="shared" si="1"/>
        <v>0</v>
      </c>
    </row>
    <row r="242" ht="15.75" customHeight="1">
      <c r="F242" s="16"/>
      <c r="G242" s="11"/>
      <c r="H242" s="11">
        <f t="shared" si="1"/>
        <v>0</v>
      </c>
    </row>
    <row r="243" ht="15.75" customHeight="1">
      <c r="F243" s="16"/>
      <c r="G243" s="11"/>
      <c r="H243" s="11">
        <f t="shared" si="1"/>
        <v>0</v>
      </c>
    </row>
    <row r="244" ht="15.75" customHeight="1">
      <c r="F244" s="16"/>
      <c r="G244" s="11"/>
      <c r="H244" s="11">
        <f t="shared" si="1"/>
        <v>0</v>
      </c>
    </row>
    <row r="245" ht="15.75" customHeight="1">
      <c r="F245" s="16"/>
      <c r="G245" s="11"/>
      <c r="H245" s="11">
        <f t="shared" si="1"/>
        <v>0</v>
      </c>
    </row>
    <row r="246" ht="15.75" customHeight="1">
      <c r="F246" s="16"/>
      <c r="G246" s="11"/>
      <c r="H246" s="11">
        <f t="shared" si="1"/>
        <v>0</v>
      </c>
    </row>
    <row r="247" ht="15.75" customHeight="1">
      <c r="F247" s="16"/>
      <c r="G247" s="11"/>
      <c r="H247" s="11">
        <f t="shared" si="1"/>
        <v>0</v>
      </c>
    </row>
    <row r="248" ht="15.75" customHeight="1">
      <c r="F248" s="16"/>
      <c r="G248" s="11"/>
      <c r="H248" s="11">
        <f t="shared" si="1"/>
        <v>0</v>
      </c>
    </row>
    <row r="249" ht="15.75" customHeight="1">
      <c r="F249" s="16"/>
      <c r="G249" s="11"/>
      <c r="H249" s="11">
        <f t="shared" si="1"/>
        <v>0</v>
      </c>
    </row>
    <row r="250" ht="15.75" customHeight="1">
      <c r="F250" s="16"/>
      <c r="G250" s="11"/>
      <c r="H250" s="11">
        <f t="shared" si="1"/>
        <v>0</v>
      </c>
    </row>
    <row r="251" ht="15.75" customHeight="1">
      <c r="F251" s="16"/>
      <c r="G251" s="11"/>
      <c r="H251" s="11">
        <f t="shared" si="1"/>
        <v>0</v>
      </c>
    </row>
    <row r="252" ht="15.75" customHeight="1">
      <c r="F252" s="16"/>
      <c r="G252" s="11"/>
      <c r="H252" s="11">
        <f t="shared" si="1"/>
        <v>0</v>
      </c>
    </row>
    <row r="253" ht="15.75" customHeight="1">
      <c r="F253" s="16"/>
      <c r="G253" s="11"/>
      <c r="H253" s="11">
        <f t="shared" si="1"/>
        <v>0</v>
      </c>
    </row>
    <row r="254" ht="15.75" customHeight="1">
      <c r="F254" s="16"/>
      <c r="G254" s="11"/>
      <c r="H254" s="11">
        <f t="shared" si="1"/>
        <v>0</v>
      </c>
    </row>
    <row r="255" ht="15.75" customHeight="1">
      <c r="F255" s="16"/>
      <c r="G255" s="11"/>
      <c r="H255" s="11">
        <f t="shared" si="1"/>
        <v>0</v>
      </c>
    </row>
    <row r="256" ht="15.75" customHeight="1">
      <c r="F256" s="16"/>
      <c r="G256" s="11"/>
      <c r="H256" s="11">
        <f t="shared" si="1"/>
        <v>0</v>
      </c>
    </row>
    <row r="257" ht="15.75" customHeight="1">
      <c r="F257" s="16"/>
      <c r="G257" s="11"/>
      <c r="H257" s="11">
        <f t="shared" si="1"/>
        <v>0</v>
      </c>
    </row>
    <row r="258" ht="15.75" customHeight="1">
      <c r="F258" s="16"/>
      <c r="G258" s="11"/>
      <c r="H258" s="11">
        <f t="shared" si="1"/>
        <v>0</v>
      </c>
    </row>
    <row r="259" ht="15.75" customHeight="1">
      <c r="F259" s="16"/>
      <c r="G259" s="11"/>
      <c r="H259" s="11">
        <f t="shared" si="1"/>
        <v>0</v>
      </c>
    </row>
    <row r="260" ht="15.75" customHeight="1">
      <c r="F260" s="16"/>
      <c r="G260" s="11"/>
      <c r="H260" s="11">
        <f t="shared" si="1"/>
        <v>0</v>
      </c>
    </row>
    <row r="261" ht="15.75" customHeight="1">
      <c r="F261" s="16"/>
      <c r="G261" s="11"/>
      <c r="H261" s="11">
        <f t="shared" si="1"/>
        <v>0</v>
      </c>
    </row>
    <row r="262" ht="15.75" customHeight="1">
      <c r="F262" s="16"/>
      <c r="G262" s="11"/>
      <c r="H262" s="11">
        <f t="shared" si="1"/>
        <v>0</v>
      </c>
    </row>
    <row r="263" ht="15.75" customHeight="1">
      <c r="F263" s="16"/>
      <c r="G263" s="11"/>
      <c r="H263" s="11">
        <f t="shared" si="1"/>
        <v>0</v>
      </c>
    </row>
    <row r="264" ht="15.75" customHeight="1">
      <c r="F264" s="16"/>
      <c r="G264" s="11"/>
      <c r="H264" s="11">
        <f t="shared" si="1"/>
        <v>0</v>
      </c>
    </row>
    <row r="265" ht="15.75" customHeight="1">
      <c r="F265" s="16"/>
      <c r="G265" s="11"/>
      <c r="H265" s="11">
        <f t="shared" si="1"/>
        <v>0</v>
      </c>
    </row>
    <row r="266" ht="15.75" customHeight="1">
      <c r="F266" s="16"/>
      <c r="G266" s="11"/>
      <c r="H266" s="11">
        <f t="shared" si="1"/>
        <v>0</v>
      </c>
    </row>
    <row r="267" ht="15.75" customHeight="1">
      <c r="F267" s="16"/>
      <c r="G267" s="11"/>
      <c r="H267" s="11">
        <f t="shared" si="1"/>
        <v>0</v>
      </c>
    </row>
    <row r="268" ht="15.75" customHeight="1">
      <c r="F268" s="16"/>
      <c r="G268" s="11"/>
      <c r="H268" s="11">
        <f t="shared" si="1"/>
        <v>0</v>
      </c>
    </row>
    <row r="269" ht="15.75" customHeight="1">
      <c r="F269" s="16"/>
      <c r="G269" s="11"/>
      <c r="H269" s="11">
        <f t="shared" si="1"/>
        <v>0</v>
      </c>
    </row>
    <row r="270" ht="15.75" customHeight="1">
      <c r="F270" s="16"/>
      <c r="G270" s="11"/>
      <c r="H270" s="11">
        <f t="shared" si="1"/>
        <v>0</v>
      </c>
    </row>
    <row r="271" ht="15.75" customHeight="1">
      <c r="F271" s="16"/>
      <c r="G271" s="11"/>
      <c r="H271" s="11">
        <f t="shared" si="1"/>
        <v>0</v>
      </c>
    </row>
    <row r="272" ht="15.75" customHeight="1">
      <c r="F272" s="16"/>
      <c r="G272" s="11"/>
      <c r="H272" s="11">
        <f t="shared" si="1"/>
        <v>0</v>
      </c>
    </row>
    <row r="273" ht="15.75" customHeight="1">
      <c r="F273" s="16"/>
      <c r="G273" s="11"/>
      <c r="H273" s="11">
        <f t="shared" si="1"/>
        <v>0</v>
      </c>
    </row>
    <row r="274" ht="15.75" customHeight="1">
      <c r="F274" s="16"/>
      <c r="G274" s="11"/>
      <c r="H274" s="11">
        <f t="shared" si="1"/>
        <v>0</v>
      </c>
    </row>
    <row r="275" ht="15.75" customHeight="1">
      <c r="F275" s="16"/>
      <c r="G275" s="11"/>
      <c r="H275" s="11">
        <f t="shared" si="1"/>
        <v>0</v>
      </c>
    </row>
    <row r="276" ht="15.75" customHeight="1">
      <c r="F276" s="16"/>
      <c r="G276" s="11"/>
      <c r="H276" s="11">
        <f t="shared" si="1"/>
        <v>0</v>
      </c>
    </row>
    <row r="277" ht="15.75" customHeight="1">
      <c r="F277" s="16"/>
      <c r="G277" s="11"/>
      <c r="H277" s="11">
        <f t="shared" si="1"/>
        <v>0</v>
      </c>
    </row>
    <row r="278" ht="15.75" customHeight="1">
      <c r="F278" s="16"/>
      <c r="G278" s="11"/>
      <c r="H278" s="11">
        <f t="shared" si="1"/>
        <v>0</v>
      </c>
    </row>
    <row r="279" ht="15.75" customHeight="1">
      <c r="F279" s="16"/>
      <c r="G279" s="11"/>
      <c r="H279" s="11">
        <f t="shared" si="1"/>
        <v>0</v>
      </c>
    </row>
    <row r="280" ht="15.75" customHeight="1">
      <c r="F280" s="16"/>
      <c r="G280" s="11"/>
      <c r="H280" s="11">
        <f t="shared" si="1"/>
        <v>0</v>
      </c>
    </row>
    <row r="281" ht="15.75" customHeight="1">
      <c r="F281" s="16"/>
      <c r="G281" s="11"/>
      <c r="H281" s="11">
        <f t="shared" si="1"/>
        <v>0</v>
      </c>
    </row>
    <row r="282" ht="15.75" customHeight="1">
      <c r="F282" s="16"/>
      <c r="G282" s="11"/>
      <c r="H282" s="11">
        <f t="shared" si="1"/>
        <v>0</v>
      </c>
    </row>
    <row r="283" ht="15.75" customHeight="1">
      <c r="F283" s="16"/>
      <c r="G283" s="11"/>
      <c r="H283" s="11">
        <f t="shared" si="1"/>
        <v>0</v>
      </c>
    </row>
    <row r="284" ht="15.75" customHeight="1">
      <c r="F284" s="16"/>
      <c r="G284" s="11"/>
      <c r="H284" s="11">
        <f t="shared" si="1"/>
        <v>0</v>
      </c>
    </row>
    <row r="285" ht="15.75" customHeight="1">
      <c r="F285" s="16"/>
      <c r="G285" s="11"/>
      <c r="H285" s="11">
        <f t="shared" si="1"/>
        <v>0</v>
      </c>
    </row>
    <row r="286" ht="15.75" customHeight="1">
      <c r="F286" s="16"/>
      <c r="G286" s="11"/>
      <c r="H286" s="11">
        <f t="shared" si="1"/>
        <v>0</v>
      </c>
    </row>
    <row r="287" ht="15.75" customHeight="1">
      <c r="F287" s="16"/>
      <c r="G287" s="11"/>
      <c r="H287" s="11">
        <f t="shared" si="1"/>
        <v>0</v>
      </c>
    </row>
    <row r="288" ht="15.75" customHeight="1">
      <c r="F288" s="16"/>
      <c r="G288" s="11"/>
      <c r="H288" s="11">
        <f t="shared" si="1"/>
        <v>0</v>
      </c>
    </row>
    <row r="289" ht="15.75" customHeight="1">
      <c r="F289" s="16"/>
      <c r="G289" s="11"/>
      <c r="H289" s="11">
        <f t="shared" si="1"/>
        <v>0</v>
      </c>
    </row>
    <row r="290" ht="15.75" customHeight="1">
      <c r="F290" s="16"/>
      <c r="G290" s="11"/>
      <c r="H290" s="11">
        <f t="shared" si="1"/>
        <v>0</v>
      </c>
    </row>
    <row r="291" ht="15.75" customHeight="1">
      <c r="F291" s="16"/>
      <c r="G291" s="11"/>
      <c r="H291" s="11">
        <f t="shared" si="1"/>
        <v>0</v>
      </c>
    </row>
    <row r="292" ht="15.75" customHeight="1">
      <c r="F292" s="16"/>
      <c r="G292" s="11"/>
      <c r="H292" s="11">
        <f t="shared" si="1"/>
        <v>0</v>
      </c>
    </row>
    <row r="293" ht="15.75" customHeight="1">
      <c r="F293" s="16"/>
      <c r="G293" s="11"/>
      <c r="H293" s="11">
        <f t="shared" si="1"/>
        <v>0</v>
      </c>
    </row>
    <row r="294" ht="15.75" customHeight="1">
      <c r="F294" s="16"/>
      <c r="G294" s="11"/>
      <c r="H294" s="11">
        <f t="shared" si="1"/>
        <v>0</v>
      </c>
    </row>
    <row r="295" ht="15.75" customHeight="1">
      <c r="F295" s="16"/>
      <c r="G295" s="11"/>
      <c r="H295" s="11">
        <f t="shared" si="1"/>
        <v>0</v>
      </c>
    </row>
    <row r="296" ht="15.75" customHeight="1">
      <c r="F296" s="16"/>
      <c r="G296" s="11"/>
      <c r="H296" s="11">
        <f t="shared" si="1"/>
        <v>0</v>
      </c>
    </row>
    <row r="297" ht="15.75" customHeight="1">
      <c r="F297" s="16"/>
      <c r="G297" s="11"/>
      <c r="H297" s="11">
        <f t="shared" si="1"/>
        <v>0</v>
      </c>
    </row>
    <row r="298" ht="15.75" customHeight="1">
      <c r="F298" s="16"/>
      <c r="G298" s="11"/>
      <c r="H298" s="11">
        <f t="shared" si="1"/>
        <v>0</v>
      </c>
    </row>
    <row r="299" ht="15.75" customHeight="1">
      <c r="F299" s="16"/>
      <c r="G299" s="11"/>
      <c r="H299" s="11">
        <f t="shared" si="1"/>
        <v>0</v>
      </c>
    </row>
    <row r="300" ht="15.75" customHeight="1">
      <c r="F300" s="16"/>
      <c r="G300" s="11"/>
      <c r="H300" s="11">
        <f t="shared" si="1"/>
        <v>0</v>
      </c>
    </row>
    <row r="301" ht="15.75" customHeight="1">
      <c r="F301" s="16"/>
      <c r="G301" s="11"/>
      <c r="H301" s="11">
        <f t="shared" si="1"/>
        <v>0</v>
      </c>
    </row>
    <row r="302" ht="15.75" customHeight="1">
      <c r="F302" s="16"/>
      <c r="G302" s="11"/>
      <c r="H302" s="11">
        <f t="shared" si="1"/>
        <v>0</v>
      </c>
    </row>
    <row r="303" ht="15.75" customHeight="1">
      <c r="F303" s="16"/>
      <c r="G303" s="11"/>
      <c r="H303" s="11">
        <f t="shared" si="1"/>
        <v>0</v>
      </c>
    </row>
    <row r="304" ht="15.75" customHeight="1">
      <c r="F304" s="16"/>
      <c r="G304" s="11"/>
      <c r="H304" s="11">
        <f t="shared" si="1"/>
        <v>0</v>
      </c>
    </row>
    <row r="305" ht="15.75" customHeight="1">
      <c r="F305" s="16"/>
      <c r="G305" s="11"/>
      <c r="H305" s="11">
        <f t="shared" si="1"/>
        <v>0</v>
      </c>
    </row>
    <row r="306" ht="15.75" customHeight="1">
      <c r="F306" s="16"/>
      <c r="G306" s="11"/>
      <c r="H306" s="11">
        <f t="shared" si="1"/>
        <v>0</v>
      </c>
    </row>
    <row r="307" ht="15.75" customHeight="1">
      <c r="F307" s="16"/>
      <c r="G307" s="11"/>
      <c r="H307" s="11">
        <f t="shared" si="1"/>
        <v>0</v>
      </c>
    </row>
    <row r="308" ht="15.75" customHeight="1">
      <c r="F308" s="16"/>
      <c r="G308" s="11"/>
      <c r="H308" s="11">
        <f t="shared" si="1"/>
        <v>0</v>
      </c>
    </row>
    <row r="309" ht="15.75" customHeight="1">
      <c r="F309" s="16"/>
      <c r="G309" s="11"/>
      <c r="H309" s="11">
        <f t="shared" si="1"/>
        <v>0</v>
      </c>
    </row>
    <row r="310" ht="15.75" customHeight="1">
      <c r="F310" s="16"/>
      <c r="G310" s="11"/>
      <c r="H310" s="11">
        <f t="shared" si="1"/>
        <v>0</v>
      </c>
    </row>
    <row r="311" ht="15.75" customHeight="1">
      <c r="F311" s="16"/>
      <c r="G311" s="11"/>
      <c r="H311" s="11">
        <f t="shared" si="1"/>
        <v>0</v>
      </c>
    </row>
    <row r="312" ht="15.75" customHeight="1">
      <c r="F312" s="16"/>
      <c r="G312" s="11"/>
      <c r="H312" s="11">
        <f t="shared" si="1"/>
        <v>0</v>
      </c>
    </row>
    <row r="313" ht="15.75" customHeight="1">
      <c r="F313" s="16"/>
      <c r="G313" s="11"/>
      <c r="H313" s="11">
        <f t="shared" si="1"/>
        <v>0</v>
      </c>
    </row>
    <row r="314" ht="15.75" customHeight="1">
      <c r="F314" s="16"/>
      <c r="G314" s="11"/>
      <c r="H314" s="11">
        <f t="shared" si="1"/>
        <v>0</v>
      </c>
    </row>
    <row r="315" ht="15.75" customHeight="1">
      <c r="F315" s="16"/>
      <c r="G315" s="11"/>
      <c r="H315" s="11">
        <f t="shared" si="1"/>
        <v>0</v>
      </c>
    </row>
    <row r="316" ht="15.75" customHeight="1">
      <c r="F316" s="16"/>
      <c r="G316" s="11"/>
      <c r="H316" s="11">
        <f t="shared" si="1"/>
        <v>0</v>
      </c>
    </row>
    <row r="317" ht="15.75" customHeight="1">
      <c r="F317" s="16"/>
      <c r="G317" s="11"/>
      <c r="H317" s="11">
        <f t="shared" si="1"/>
        <v>0</v>
      </c>
    </row>
    <row r="318" ht="15.75" customHeight="1">
      <c r="F318" s="16"/>
      <c r="G318" s="11"/>
      <c r="H318" s="11">
        <f t="shared" si="1"/>
        <v>0</v>
      </c>
    </row>
    <row r="319" ht="15.75" customHeight="1">
      <c r="F319" s="16"/>
      <c r="G319" s="11"/>
      <c r="H319" s="11">
        <f t="shared" si="1"/>
        <v>0</v>
      </c>
    </row>
    <row r="320" ht="15.75" customHeight="1">
      <c r="F320" s="16"/>
      <c r="G320" s="11"/>
      <c r="H320" s="11">
        <f t="shared" si="1"/>
        <v>0</v>
      </c>
    </row>
    <row r="321" ht="15.75" customHeight="1">
      <c r="F321" s="16"/>
      <c r="G321" s="11"/>
      <c r="H321" s="11">
        <f t="shared" si="1"/>
        <v>0</v>
      </c>
    </row>
    <row r="322" ht="15.75" customHeight="1">
      <c r="F322" s="16"/>
      <c r="G322" s="11"/>
      <c r="H322" s="11">
        <f t="shared" si="1"/>
        <v>0</v>
      </c>
    </row>
    <row r="323" ht="15.75" customHeight="1">
      <c r="F323" s="16"/>
      <c r="G323" s="11"/>
      <c r="H323" s="11">
        <f t="shared" si="1"/>
        <v>0</v>
      </c>
    </row>
    <row r="324" ht="15.75" customHeight="1">
      <c r="F324" s="16"/>
      <c r="G324" s="11"/>
      <c r="H324" s="11">
        <f t="shared" si="1"/>
        <v>0</v>
      </c>
    </row>
    <row r="325" ht="15.75" customHeight="1">
      <c r="F325" s="16"/>
      <c r="G325" s="11"/>
      <c r="H325" s="11">
        <f t="shared" si="1"/>
        <v>0</v>
      </c>
    </row>
    <row r="326" ht="15.75" customHeight="1">
      <c r="F326" s="16"/>
      <c r="G326" s="11"/>
      <c r="H326" s="11">
        <f t="shared" si="1"/>
        <v>0</v>
      </c>
    </row>
    <row r="327" ht="15.75" customHeight="1">
      <c r="F327" s="16"/>
      <c r="G327" s="11"/>
      <c r="H327" s="11">
        <f t="shared" si="1"/>
        <v>0</v>
      </c>
    </row>
    <row r="328" ht="15.75" customHeight="1">
      <c r="F328" s="16"/>
      <c r="G328" s="11"/>
      <c r="H328" s="11">
        <f t="shared" si="1"/>
        <v>0</v>
      </c>
    </row>
    <row r="329" ht="15.75" customHeight="1">
      <c r="F329" s="16"/>
      <c r="G329" s="11"/>
      <c r="H329" s="11">
        <f t="shared" si="1"/>
        <v>0</v>
      </c>
    </row>
    <row r="330" ht="15.75" customHeight="1">
      <c r="F330" s="16"/>
      <c r="G330" s="11"/>
      <c r="H330" s="11">
        <f t="shared" si="1"/>
        <v>0</v>
      </c>
    </row>
    <row r="331" ht="15.75" customHeight="1">
      <c r="F331" s="16"/>
      <c r="G331" s="11"/>
      <c r="H331" s="11">
        <f t="shared" si="1"/>
        <v>0</v>
      </c>
    </row>
    <row r="332" ht="15.75" customHeight="1">
      <c r="F332" s="16"/>
      <c r="G332" s="11"/>
      <c r="H332" s="11">
        <f t="shared" si="1"/>
        <v>0</v>
      </c>
    </row>
    <row r="333" ht="15.75" customHeight="1">
      <c r="F333" s="16"/>
      <c r="G333" s="11"/>
      <c r="H333" s="11">
        <f t="shared" si="1"/>
        <v>0</v>
      </c>
    </row>
    <row r="334" ht="15.75" customHeight="1">
      <c r="F334" s="16"/>
      <c r="G334" s="11"/>
      <c r="H334" s="11">
        <f t="shared" si="1"/>
        <v>0</v>
      </c>
    </row>
    <row r="335" ht="15.75" customHeight="1">
      <c r="F335" s="16"/>
      <c r="G335" s="11"/>
      <c r="H335" s="11">
        <f t="shared" si="1"/>
        <v>0</v>
      </c>
    </row>
    <row r="336" ht="15.75" customHeight="1">
      <c r="F336" s="16"/>
      <c r="G336" s="11"/>
      <c r="H336" s="11">
        <f t="shared" si="1"/>
        <v>0</v>
      </c>
    </row>
    <row r="337" ht="15.75" customHeight="1">
      <c r="F337" s="16"/>
      <c r="G337" s="11"/>
      <c r="H337" s="11">
        <f t="shared" si="1"/>
        <v>0</v>
      </c>
    </row>
    <row r="338" ht="15.75" customHeight="1">
      <c r="F338" s="16"/>
      <c r="G338" s="11"/>
      <c r="H338" s="11">
        <f t="shared" si="1"/>
        <v>0</v>
      </c>
    </row>
    <row r="339" ht="15.75" customHeight="1">
      <c r="F339" s="16"/>
      <c r="G339" s="11"/>
      <c r="H339" s="11">
        <f t="shared" si="1"/>
        <v>0</v>
      </c>
    </row>
    <row r="340" ht="15.75" customHeight="1">
      <c r="F340" s="16"/>
      <c r="G340" s="11"/>
      <c r="H340" s="11">
        <f t="shared" si="1"/>
        <v>0</v>
      </c>
    </row>
    <row r="341" ht="15.75" customHeight="1">
      <c r="F341" s="16"/>
      <c r="G341" s="11"/>
      <c r="H341" s="11">
        <f t="shared" si="1"/>
        <v>0</v>
      </c>
    </row>
    <row r="342" ht="15.75" customHeight="1">
      <c r="F342" s="16"/>
      <c r="G342" s="11"/>
      <c r="H342" s="11">
        <f t="shared" si="1"/>
        <v>0</v>
      </c>
    </row>
    <row r="343" ht="15.75" customHeight="1">
      <c r="F343" s="16"/>
      <c r="G343" s="11"/>
      <c r="H343" s="11">
        <f t="shared" si="1"/>
        <v>0</v>
      </c>
    </row>
    <row r="344" ht="15.75" customHeight="1">
      <c r="F344" s="16"/>
      <c r="G344" s="11"/>
      <c r="H344" s="11">
        <f t="shared" si="1"/>
        <v>0</v>
      </c>
    </row>
    <row r="345" ht="15.75" customHeight="1">
      <c r="F345" s="16"/>
      <c r="G345" s="11"/>
      <c r="H345" s="11">
        <f t="shared" si="1"/>
        <v>0</v>
      </c>
    </row>
    <row r="346" ht="15.75" customHeight="1">
      <c r="F346" s="16"/>
      <c r="G346" s="11"/>
      <c r="H346" s="11">
        <f t="shared" si="1"/>
        <v>0</v>
      </c>
    </row>
    <row r="347" ht="15.75" customHeight="1">
      <c r="F347" s="16"/>
      <c r="G347" s="11"/>
      <c r="H347" s="11">
        <f t="shared" si="1"/>
        <v>0</v>
      </c>
    </row>
    <row r="348" ht="15.75" customHeight="1">
      <c r="F348" s="16"/>
      <c r="G348" s="11"/>
      <c r="H348" s="11">
        <f t="shared" si="1"/>
        <v>0</v>
      </c>
    </row>
    <row r="349" ht="15.75" customHeight="1">
      <c r="F349" s="16"/>
      <c r="G349" s="11"/>
      <c r="H349" s="11">
        <f t="shared" si="1"/>
        <v>0</v>
      </c>
    </row>
    <row r="350" ht="15.75" customHeight="1">
      <c r="F350" s="16"/>
      <c r="G350" s="11"/>
      <c r="H350" s="11">
        <f t="shared" si="1"/>
        <v>0</v>
      </c>
    </row>
    <row r="351" ht="15.75" customHeight="1">
      <c r="F351" s="16"/>
      <c r="G351" s="11"/>
      <c r="H351" s="11">
        <f t="shared" si="1"/>
        <v>0</v>
      </c>
    </row>
    <row r="352" ht="15.75" customHeight="1">
      <c r="F352" s="16"/>
      <c r="G352" s="11"/>
      <c r="H352" s="11">
        <f t="shared" si="1"/>
        <v>0</v>
      </c>
    </row>
    <row r="353" ht="15.75" customHeight="1">
      <c r="F353" s="16"/>
      <c r="G353" s="11"/>
      <c r="H353" s="11">
        <f t="shared" si="1"/>
        <v>0</v>
      </c>
    </row>
    <row r="354" ht="15.75" customHeight="1">
      <c r="F354" s="16"/>
      <c r="G354" s="11"/>
      <c r="H354" s="11">
        <f t="shared" si="1"/>
        <v>0</v>
      </c>
    </row>
    <row r="355" ht="15.75" customHeight="1">
      <c r="F355" s="16"/>
      <c r="G355" s="11"/>
      <c r="H355" s="11">
        <f t="shared" si="1"/>
        <v>0</v>
      </c>
    </row>
    <row r="356" ht="15.75" customHeight="1">
      <c r="F356" s="16"/>
      <c r="G356" s="11"/>
      <c r="H356" s="11">
        <f t="shared" si="1"/>
        <v>0</v>
      </c>
    </row>
    <row r="357" ht="15.75" customHeight="1">
      <c r="F357" s="16"/>
      <c r="G357" s="11"/>
      <c r="H357" s="11">
        <f t="shared" si="1"/>
        <v>0</v>
      </c>
    </row>
    <row r="358" ht="15.75" customHeight="1">
      <c r="F358" s="16"/>
      <c r="G358" s="11"/>
      <c r="H358" s="11">
        <f t="shared" si="1"/>
        <v>0</v>
      </c>
    </row>
    <row r="359" ht="15.75" customHeight="1">
      <c r="F359" s="16"/>
      <c r="G359" s="11"/>
      <c r="H359" s="11">
        <f t="shared" si="1"/>
        <v>0</v>
      </c>
    </row>
    <row r="360" ht="15.75" customHeight="1">
      <c r="F360" s="16"/>
      <c r="G360" s="11"/>
      <c r="H360" s="11">
        <f t="shared" si="1"/>
        <v>0</v>
      </c>
    </row>
    <row r="361" ht="15.75" customHeight="1">
      <c r="F361" s="16"/>
      <c r="G361" s="11"/>
      <c r="H361" s="11">
        <f t="shared" si="1"/>
        <v>0</v>
      </c>
    </row>
    <row r="362" ht="15.75" customHeight="1">
      <c r="F362" s="16"/>
      <c r="G362" s="11"/>
      <c r="H362" s="11">
        <f t="shared" si="1"/>
        <v>0</v>
      </c>
    </row>
    <row r="363" ht="15.75" customHeight="1">
      <c r="F363" s="16"/>
      <c r="G363" s="11"/>
      <c r="H363" s="11">
        <f t="shared" si="1"/>
        <v>0</v>
      </c>
    </row>
    <row r="364" ht="15.75" customHeight="1">
      <c r="F364" s="16"/>
      <c r="G364" s="11"/>
      <c r="H364" s="11">
        <f t="shared" si="1"/>
        <v>0</v>
      </c>
    </row>
    <row r="365" ht="15.75" customHeight="1">
      <c r="F365" s="16"/>
      <c r="G365" s="11"/>
      <c r="H365" s="11">
        <f t="shared" si="1"/>
        <v>0</v>
      </c>
    </row>
    <row r="366" ht="15.75" customHeight="1">
      <c r="F366" s="16"/>
      <c r="G366" s="11"/>
      <c r="H366" s="11">
        <f t="shared" si="1"/>
        <v>0</v>
      </c>
    </row>
    <row r="367" ht="15.75" customHeight="1">
      <c r="F367" s="16"/>
      <c r="G367" s="11"/>
      <c r="H367" s="11">
        <f t="shared" si="1"/>
        <v>0</v>
      </c>
    </row>
    <row r="368" ht="15.75" customHeight="1">
      <c r="F368" s="16"/>
      <c r="G368" s="11"/>
      <c r="H368" s="11">
        <f t="shared" si="1"/>
        <v>0</v>
      </c>
    </row>
    <row r="369" ht="15.75" customHeight="1">
      <c r="F369" s="16"/>
      <c r="G369" s="11"/>
      <c r="H369" s="11">
        <f t="shared" si="1"/>
        <v>0</v>
      </c>
    </row>
    <row r="370" ht="15.75" customHeight="1">
      <c r="F370" s="16"/>
      <c r="G370" s="11"/>
      <c r="H370" s="11">
        <f t="shared" si="1"/>
        <v>0</v>
      </c>
    </row>
    <row r="371" ht="15.75" customHeight="1">
      <c r="F371" s="16"/>
      <c r="G371" s="11"/>
      <c r="H371" s="11">
        <f t="shared" si="1"/>
        <v>0</v>
      </c>
    </row>
    <row r="372" ht="15.75" customHeight="1">
      <c r="F372" s="16"/>
      <c r="G372" s="11"/>
      <c r="H372" s="11">
        <f t="shared" si="1"/>
        <v>0</v>
      </c>
    </row>
    <row r="373" ht="15.75" customHeight="1">
      <c r="F373" s="16"/>
      <c r="G373" s="11"/>
      <c r="H373" s="11">
        <f t="shared" si="1"/>
        <v>0</v>
      </c>
    </row>
    <row r="374" ht="15.75" customHeight="1">
      <c r="F374" s="16"/>
      <c r="G374" s="11"/>
      <c r="H374" s="11">
        <f t="shared" si="1"/>
        <v>0</v>
      </c>
    </row>
    <row r="375" ht="15.75" customHeight="1">
      <c r="F375" s="16"/>
      <c r="G375" s="11"/>
      <c r="H375" s="11">
        <f t="shared" si="1"/>
        <v>0</v>
      </c>
    </row>
    <row r="376" ht="15.75" customHeight="1">
      <c r="F376" s="16"/>
      <c r="G376" s="11"/>
      <c r="H376" s="11">
        <f t="shared" si="1"/>
        <v>0</v>
      </c>
    </row>
    <row r="377" ht="15.75" customHeight="1">
      <c r="F377" s="16"/>
      <c r="G377" s="11"/>
      <c r="H377" s="11">
        <f t="shared" si="1"/>
        <v>0</v>
      </c>
    </row>
    <row r="378" ht="15.75" customHeight="1">
      <c r="F378" s="16"/>
      <c r="G378" s="11"/>
      <c r="H378" s="11">
        <f t="shared" si="1"/>
        <v>0</v>
      </c>
    </row>
    <row r="379" ht="15.75" customHeight="1">
      <c r="F379" s="16"/>
      <c r="G379" s="11"/>
      <c r="H379" s="11">
        <f t="shared" si="1"/>
        <v>0</v>
      </c>
    </row>
    <row r="380" ht="15.75" customHeight="1">
      <c r="F380" s="16"/>
      <c r="G380" s="11"/>
      <c r="H380" s="11">
        <f t="shared" si="1"/>
        <v>0</v>
      </c>
    </row>
    <row r="381" ht="15.75" customHeight="1">
      <c r="F381" s="16"/>
      <c r="G381" s="11"/>
      <c r="H381" s="11">
        <f t="shared" si="1"/>
        <v>0</v>
      </c>
    </row>
    <row r="382" ht="15.75" customHeight="1">
      <c r="F382" s="16"/>
      <c r="G382" s="11"/>
      <c r="H382" s="11">
        <f t="shared" si="1"/>
        <v>0</v>
      </c>
    </row>
    <row r="383" ht="15.75" customHeight="1">
      <c r="F383" s="16"/>
      <c r="G383" s="11"/>
      <c r="H383" s="11">
        <f t="shared" si="1"/>
        <v>0</v>
      </c>
    </row>
    <row r="384" ht="15.75" customHeight="1">
      <c r="F384" s="16"/>
      <c r="G384" s="11"/>
      <c r="H384" s="11">
        <f t="shared" si="1"/>
        <v>0</v>
      </c>
    </row>
    <row r="385" ht="15.75" customHeight="1">
      <c r="F385" s="16"/>
      <c r="G385" s="11"/>
      <c r="H385" s="11">
        <f t="shared" si="1"/>
        <v>0</v>
      </c>
    </row>
    <row r="386" ht="15.75" customHeight="1">
      <c r="F386" s="16"/>
      <c r="G386" s="11"/>
      <c r="H386" s="11">
        <f t="shared" si="1"/>
        <v>0</v>
      </c>
    </row>
    <row r="387" ht="15.75" customHeight="1">
      <c r="F387" s="16"/>
      <c r="G387" s="11"/>
      <c r="H387" s="11">
        <f t="shared" si="1"/>
        <v>0</v>
      </c>
    </row>
    <row r="388" ht="15.75" customHeight="1">
      <c r="F388" s="16"/>
      <c r="G388" s="11"/>
      <c r="H388" s="11">
        <f t="shared" si="1"/>
        <v>0</v>
      </c>
    </row>
    <row r="389" ht="15.75" customHeight="1">
      <c r="F389" s="16"/>
      <c r="G389" s="11"/>
      <c r="H389" s="11">
        <f t="shared" si="1"/>
        <v>0</v>
      </c>
    </row>
    <row r="390" ht="15.75" customHeight="1">
      <c r="F390" s="16"/>
      <c r="G390" s="11"/>
      <c r="H390" s="11">
        <f t="shared" si="1"/>
        <v>0</v>
      </c>
    </row>
    <row r="391" ht="15.75" customHeight="1">
      <c r="F391" s="16"/>
      <c r="G391" s="11"/>
      <c r="H391" s="11">
        <f t="shared" si="1"/>
        <v>0</v>
      </c>
    </row>
    <row r="392" ht="15.75" customHeight="1">
      <c r="F392" s="16"/>
      <c r="G392" s="11"/>
      <c r="H392" s="11">
        <f t="shared" si="1"/>
        <v>0</v>
      </c>
    </row>
    <row r="393" ht="15.75" customHeight="1">
      <c r="F393" s="16"/>
      <c r="G393" s="11"/>
      <c r="H393" s="11">
        <f t="shared" si="1"/>
        <v>0</v>
      </c>
    </row>
    <row r="394" ht="15.75" customHeight="1">
      <c r="F394" s="16"/>
      <c r="G394" s="11"/>
      <c r="H394" s="11">
        <f t="shared" si="1"/>
        <v>0</v>
      </c>
    </row>
    <row r="395" ht="15.75" customHeight="1">
      <c r="F395" s="16"/>
      <c r="G395" s="11"/>
      <c r="H395" s="11">
        <f t="shared" si="1"/>
        <v>0</v>
      </c>
    </row>
    <row r="396" ht="15.75" customHeight="1">
      <c r="F396" s="16"/>
      <c r="G396" s="11"/>
      <c r="H396" s="11">
        <f t="shared" si="1"/>
        <v>0</v>
      </c>
    </row>
    <row r="397" ht="15.75" customHeight="1">
      <c r="F397" s="16"/>
      <c r="G397" s="11"/>
      <c r="H397" s="11">
        <f t="shared" si="1"/>
        <v>0</v>
      </c>
    </row>
    <row r="398" ht="15.75" customHeight="1">
      <c r="F398" s="16"/>
      <c r="G398" s="11"/>
      <c r="H398" s="11">
        <f t="shared" si="1"/>
        <v>0</v>
      </c>
    </row>
    <row r="399" ht="15.75" customHeight="1">
      <c r="F399" s="16"/>
      <c r="G399" s="11"/>
      <c r="H399" s="11">
        <f t="shared" si="1"/>
        <v>0</v>
      </c>
    </row>
    <row r="400" ht="15.75" customHeight="1">
      <c r="F400" s="16"/>
      <c r="G400" s="11"/>
      <c r="H400" s="11">
        <f t="shared" si="1"/>
        <v>0</v>
      </c>
    </row>
    <row r="401" ht="15.75" customHeight="1">
      <c r="F401" s="16"/>
      <c r="G401" s="11"/>
      <c r="H401" s="11">
        <f t="shared" si="1"/>
        <v>0</v>
      </c>
    </row>
    <row r="402" ht="15.75" customHeight="1">
      <c r="F402" s="16"/>
      <c r="G402" s="11"/>
      <c r="H402" s="11">
        <f t="shared" si="1"/>
        <v>0</v>
      </c>
    </row>
    <row r="403" ht="15.75" customHeight="1">
      <c r="F403" s="16"/>
      <c r="G403" s="11"/>
      <c r="H403" s="11">
        <f t="shared" si="1"/>
        <v>0</v>
      </c>
    </row>
    <row r="404" ht="15.75" customHeight="1">
      <c r="F404" s="16"/>
      <c r="G404" s="11"/>
      <c r="H404" s="11">
        <f t="shared" si="1"/>
        <v>0</v>
      </c>
    </row>
    <row r="405" ht="15.75" customHeight="1">
      <c r="F405" s="16"/>
      <c r="G405" s="11"/>
      <c r="H405" s="11">
        <f t="shared" si="1"/>
        <v>0</v>
      </c>
    </row>
    <row r="406" ht="15.75" customHeight="1">
      <c r="F406" s="16"/>
      <c r="G406" s="11"/>
      <c r="H406" s="11">
        <f t="shared" si="1"/>
        <v>0</v>
      </c>
    </row>
    <row r="407" ht="15.75" customHeight="1">
      <c r="F407" s="16"/>
      <c r="G407" s="11"/>
      <c r="H407" s="11">
        <f t="shared" si="1"/>
        <v>0</v>
      </c>
    </row>
    <row r="408" ht="15.75" customHeight="1">
      <c r="F408" s="16"/>
      <c r="G408" s="11"/>
      <c r="H408" s="11">
        <f t="shared" si="1"/>
        <v>0</v>
      </c>
    </row>
    <row r="409" ht="15.75" customHeight="1">
      <c r="F409" s="16"/>
      <c r="G409" s="11"/>
      <c r="H409" s="11">
        <f t="shared" si="1"/>
        <v>0</v>
      </c>
    </row>
    <row r="410" ht="15.75" customHeight="1">
      <c r="F410" s="16"/>
      <c r="G410" s="11"/>
      <c r="H410" s="11">
        <f t="shared" si="1"/>
        <v>0</v>
      </c>
    </row>
    <row r="411" ht="15.75" customHeight="1">
      <c r="F411" s="16"/>
      <c r="G411" s="11"/>
      <c r="H411" s="11">
        <f t="shared" si="1"/>
        <v>0</v>
      </c>
    </row>
    <row r="412" ht="15.75" customHeight="1">
      <c r="F412" s="16"/>
      <c r="G412" s="11"/>
      <c r="H412" s="11">
        <f t="shared" si="1"/>
        <v>0</v>
      </c>
    </row>
    <row r="413" ht="15.75" customHeight="1">
      <c r="F413" s="16"/>
      <c r="G413" s="11"/>
      <c r="H413" s="11">
        <f t="shared" si="1"/>
        <v>0</v>
      </c>
    </row>
    <row r="414" ht="15.75" customHeight="1">
      <c r="F414" s="16"/>
      <c r="G414" s="11"/>
      <c r="H414" s="11">
        <f t="shared" si="1"/>
        <v>0</v>
      </c>
    </row>
    <row r="415" ht="15.75" customHeight="1">
      <c r="F415" s="16"/>
      <c r="G415" s="11"/>
      <c r="H415" s="11">
        <f t="shared" si="1"/>
        <v>0</v>
      </c>
    </row>
    <row r="416" ht="15.75" customHeight="1">
      <c r="F416" s="16"/>
      <c r="G416" s="11"/>
      <c r="H416" s="11">
        <f t="shared" si="1"/>
        <v>0</v>
      </c>
    </row>
    <row r="417" ht="15.75" customHeight="1">
      <c r="F417" s="16"/>
      <c r="G417" s="11"/>
      <c r="H417" s="11">
        <f t="shared" si="1"/>
        <v>0</v>
      </c>
    </row>
    <row r="418" ht="15.75" customHeight="1">
      <c r="F418" s="16"/>
      <c r="G418" s="11"/>
      <c r="H418" s="11">
        <f t="shared" si="1"/>
        <v>0</v>
      </c>
    </row>
    <row r="419" ht="15.75" customHeight="1">
      <c r="F419" s="16"/>
      <c r="G419" s="11"/>
      <c r="H419" s="11">
        <f t="shared" si="1"/>
        <v>0</v>
      </c>
    </row>
    <row r="420" ht="15.75" customHeight="1">
      <c r="F420" s="16"/>
      <c r="G420" s="11"/>
      <c r="H420" s="11">
        <f t="shared" si="1"/>
        <v>0</v>
      </c>
    </row>
    <row r="421" ht="15.75" customHeight="1">
      <c r="F421" s="16"/>
      <c r="G421" s="11"/>
      <c r="H421" s="11">
        <f t="shared" si="1"/>
        <v>0</v>
      </c>
    </row>
    <row r="422" ht="15.75" customHeight="1">
      <c r="F422" s="16"/>
      <c r="G422" s="11"/>
      <c r="H422" s="11">
        <f t="shared" si="1"/>
        <v>0</v>
      </c>
    </row>
    <row r="423" ht="15.75" customHeight="1">
      <c r="F423" s="16"/>
      <c r="G423" s="11"/>
      <c r="H423" s="11">
        <f t="shared" si="1"/>
        <v>0</v>
      </c>
    </row>
    <row r="424" ht="15.75" customHeight="1">
      <c r="F424" s="16"/>
      <c r="G424" s="11"/>
      <c r="H424" s="11">
        <f t="shared" si="1"/>
        <v>0</v>
      </c>
    </row>
    <row r="425" ht="15.75" customHeight="1">
      <c r="F425" s="16"/>
      <c r="G425" s="11"/>
      <c r="H425" s="11">
        <f t="shared" si="1"/>
        <v>0</v>
      </c>
    </row>
    <row r="426" ht="15.75" customHeight="1">
      <c r="F426" s="16"/>
      <c r="G426" s="11"/>
      <c r="H426" s="11">
        <f t="shared" si="1"/>
        <v>0</v>
      </c>
    </row>
    <row r="427" ht="15.75" customHeight="1">
      <c r="F427" s="16"/>
      <c r="G427" s="11"/>
      <c r="H427" s="11">
        <f t="shared" si="1"/>
        <v>0</v>
      </c>
    </row>
    <row r="428" ht="15.75" customHeight="1">
      <c r="F428" s="16"/>
      <c r="G428" s="11"/>
      <c r="H428" s="11">
        <f t="shared" si="1"/>
        <v>0</v>
      </c>
    </row>
    <row r="429" ht="15.75" customHeight="1">
      <c r="F429" s="16"/>
      <c r="G429" s="11"/>
      <c r="H429" s="11">
        <f t="shared" si="1"/>
        <v>0</v>
      </c>
    </row>
    <row r="430" ht="15.75" customHeight="1">
      <c r="F430" s="16"/>
      <c r="G430" s="11"/>
      <c r="H430" s="11">
        <f t="shared" si="1"/>
        <v>0</v>
      </c>
    </row>
    <row r="431" ht="15.75" customHeight="1">
      <c r="F431" s="16"/>
      <c r="G431" s="11"/>
      <c r="H431" s="11">
        <f t="shared" si="1"/>
        <v>0</v>
      </c>
    </row>
    <row r="432" ht="15.75" customHeight="1">
      <c r="F432" s="16"/>
      <c r="G432" s="11"/>
      <c r="H432" s="11">
        <f t="shared" si="1"/>
        <v>0</v>
      </c>
    </row>
    <row r="433" ht="15.75" customHeight="1">
      <c r="F433" s="16"/>
      <c r="G433" s="11"/>
      <c r="H433" s="11">
        <f t="shared" si="1"/>
        <v>0</v>
      </c>
    </row>
    <row r="434" ht="15.75" customHeight="1">
      <c r="F434" s="16"/>
      <c r="G434" s="11"/>
      <c r="H434" s="11">
        <f t="shared" si="1"/>
        <v>0</v>
      </c>
    </row>
    <row r="435" ht="15.75" customHeight="1">
      <c r="F435" s="16"/>
      <c r="G435" s="11"/>
      <c r="H435" s="11">
        <f t="shared" si="1"/>
        <v>0</v>
      </c>
    </row>
    <row r="436" ht="15.75" customHeight="1">
      <c r="F436" s="16"/>
      <c r="G436" s="11"/>
      <c r="H436" s="11">
        <f t="shared" si="1"/>
        <v>0</v>
      </c>
    </row>
    <row r="437" ht="15.75" customHeight="1">
      <c r="F437" s="16"/>
      <c r="G437" s="11"/>
      <c r="H437" s="11">
        <f t="shared" si="1"/>
        <v>0</v>
      </c>
    </row>
    <row r="438" ht="15.75" customHeight="1">
      <c r="F438" s="16"/>
      <c r="G438" s="11"/>
      <c r="H438" s="11">
        <f t="shared" si="1"/>
        <v>0</v>
      </c>
    </row>
    <row r="439" ht="15.75" customHeight="1">
      <c r="F439" s="16"/>
      <c r="G439" s="11"/>
      <c r="H439" s="11">
        <f t="shared" si="1"/>
        <v>0</v>
      </c>
    </row>
    <row r="440" ht="15.75" customHeight="1">
      <c r="F440" s="16"/>
      <c r="G440" s="11"/>
      <c r="H440" s="11">
        <f t="shared" si="1"/>
        <v>0</v>
      </c>
    </row>
    <row r="441" ht="15.75" customHeight="1">
      <c r="F441" s="16"/>
      <c r="G441" s="11"/>
      <c r="H441" s="11">
        <f t="shared" si="1"/>
        <v>0</v>
      </c>
    </row>
    <row r="442" ht="15.75" customHeight="1">
      <c r="F442" s="16"/>
      <c r="G442" s="11"/>
      <c r="H442" s="11">
        <f t="shared" si="1"/>
        <v>0</v>
      </c>
    </row>
    <row r="443" ht="15.75" customHeight="1">
      <c r="F443" s="16"/>
      <c r="G443" s="11"/>
      <c r="H443" s="11">
        <f t="shared" si="1"/>
        <v>0</v>
      </c>
    </row>
    <row r="444" ht="15.75" customHeight="1">
      <c r="F444" s="16"/>
      <c r="G444" s="11"/>
      <c r="H444" s="11">
        <f t="shared" si="1"/>
        <v>0</v>
      </c>
    </row>
    <row r="445" ht="15.75" customHeight="1">
      <c r="F445" s="16"/>
      <c r="G445" s="11"/>
      <c r="H445" s="11">
        <f t="shared" si="1"/>
        <v>0</v>
      </c>
    </row>
    <row r="446" ht="15.75" customHeight="1">
      <c r="F446" s="16"/>
      <c r="G446" s="11"/>
      <c r="H446" s="11">
        <f t="shared" si="1"/>
        <v>0</v>
      </c>
    </row>
    <row r="447" ht="15.75" customHeight="1">
      <c r="F447" s="16"/>
      <c r="G447" s="11"/>
      <c r="H447" s="11">
        <f t="shared" si="1"/>
        <v>0</v>
      </c>
    </row>
    <row r="448" ht="15.75" customHeight="1">
      <c r="F448" s="16"/>
      <c r="G448" s="11"/>
      <c r="H448" s="11">
        <f t="shared" si="1"/>
        <v>0</v>
      </c>
    </row>
    <row r="449" ht="15.75" customHeight="1">
      <c r="F449" s="16"/>
      <c r="G449" s="11"/>
      <c r="H449" s="11">
        <f t="shared" si="1"/>
        <v>0</v>
      </c>
    </row>
    <row r="450" ht="15.75" customHeight="1">
      <c r="F450" s="16"/>
      <c r="G450" s="11"/>
      <c r="H450" s="11">
        <f t="shared" si="1"/>
        <v>0</v>
      </c>
    </row>
    <row r="451" ht="15.75" customHeight="1">
      <c r="F451" s="16"/>
      <c r="G451" s="11"/>
      <c r="H451" s="11">
        <f t="shared" si="1"/>
        <v>0</v>
      </c>
    </row>
    <row r="452" ht="15.75" customHeight="1">
      <c r="F452" s="16"/>
      <c r="G452" s="11"/>
      <c r="H452" s="11">
        <f t="shared" si="1"/>
        <v>0</v>
      </c>
    </row>
    <row r="453" ht="15.75" customHeight="1">
      <c r="F453" s="16"/>
      <c r="G453" s="11"/>
      <c r="H453" s="11">
        <f t="shared" si="1"/>
        <v>0</v>
      </c>
    </row>
    <row r="454" ht="15.75" customHeight="1">
      <c r="F454" s="16"/>
      <c r="G454" s="11"/>
      <c r="H454" s="11">
        <f t="shared" si="1"/>
        <v>0</v>
      </c>
    </row>
    <row r="455" ht="15.75" customHeight="1">
      <c r="F455" s="16"/>
      <c r="G455" s="11"/>
      <c r="H455" s="11">
        <f t="shared" si="1"/>
        <v>0</v>
      </c>
    </row>
    <row r="456" ht="15.75" customHeight="1">
      <c r="F456" s="16"/>
      <c r="G456" s="11"/>
      <c r="H456" s="11">
        <f t="shared" si="1"/>
        <v>0</v>
      </c>
    </row>
    <row r="457" ht="15.75" customHeight="1">
      <c r="F457" s="16"/>
      <c r="G457" s="11"/>
      <c r="H457" s="11">
        <f t="shared" si="1"/>
        <v>0</v>
      </c>
    </row>
    <row r="458" ht="15.75" customHeight="1">
      <c r="F458" s="16"/>
      <c r="G458" s="11"/>
      <c r="H458" s="11">
        <f t="shared" si="1"/>
        <v>0</v>
      </c>
    </row>
    <row r="459" ht="15.75" customHeight="1">
      <c r="F459" s="16"/>
      <c r="G459" s="11"/>
      <c r="H459" s="11">
        <f t="shared" si="1"/>
        <v>0</v>
      </c>
    </row>
    <row r="460" ht="15.75" customHeight="1">
      <c r="F460" s="16"/>
      <c r="G460" s="11"/>
      <c r="H460" s="11">
        <f t="shared" si="1"/>
        <v>0</v>
      </c>
    </row>
    <row r="461" ht="15.75" customHeight="1">
      <c r="F461" s="16"/>
      <c r="G461" s="11"/>
      <c r="H461" s="11">
        <f t="shared" si="1"/>
        <v>0</v>
      </c>
    </row>
    <row r="462" ht="15.75" customHeight="1">
      <c r="F462" s="16"/>
      <c r="G462" s="11"/>
      <c r="H462" s="11">
        <f t="shared" si="1"/>
        <v>0</v>
      </c>
    </row>
    <row r="463" ht="15.75" customHeight="1">
      <c r="F463" s="16"/>
      <c r="G463" s="11"/>
      <c r="H463" s="11">
        <f t="shared" si="1"/>
        <v>0</v>
      </c>
    </row>
    <row r="464" ht="15.75" customHeight="1">
      <c r="F464" s="16"/>
      <c r="G464" s="11"/>
      <c r="H464" s="11">
        <f t="shared" si="1"/>
        <v>0</v>
      </c>
    </row>
    <row r="465" ht="15.75" customHeight="1">
      <c r="F465" s="16"/>
      <c r="G465" s="11"/>
      <c r="H465" s="11">
        <f t="shared" si="1"/>
        <v>0</v>
      </c>
    </row>
    <row r="466" ht="15.75" customHeight="1">
      <c r="F466" s="16"/>
      <c r="G466" s="11"/>
      <c r="H466" s="11">
        <f t="shared" si="1"/>
        <v>0</v>
      </c>
    </row>
    <row r="467" ht="15.75" customHeight="1">
      <c r="F467" s="16"/>
      <c r="G467" s="11"/>
      <c r="H467" s="11">
        <f t="shared" si="1"/>
        <v>0</v>
      </c>
    </row>
    <row r="468" ht="15.75" customHeight="1">
      <c r="F468" s="16"/>
      <c r="G468" s="11"/>
      <c r="H468" s="11">
        <f t="shared" si="1"/>
        <v>0</v>
      </c>
    </row>
    <row r="469" ht="15.75" customHeight="1">
      <c r="F469" s="16"/>
      <c r="G469" s="11"/>
      <c r="H469" s="11">
        <f t="shared" si="1"/>
        <v>0</v>
      </c>
    </row>
    <row r="470" ht="15.75" customHeight="1">
      <c r="F470" s="16"/>
      <c r="G470" s="11"/>
      <c r="H470" s="11">
        <f t="shared" si="1"/>
        <v>0</v>
      </c>
    </row>
    <row r="471" ht="15.75" customHeight="1">
      <c r="F471" s="16"/>
      <c r="G471" s="11"/>
      <c r="H471" s="11">
        <f t="shared" si="1"/>
        <v>0</v>
      </c>
    </row>
    <row r="472" ht="15.75" customHeight="1">
      <c r="F472" s="16"/>
      <c r="G472" s="11"/>
      <c r="H472" s="11">
        <f t="shared" si="1"/>
        <v>0</v>
      </c>
    </row>
    <row r="473" ht="15.75" customHeight="1">
      <c r="F473" s="16"/>
      <c r="G473" s="11"/>
      <c r="H473" s="11">
        <f t="shared" si="1"/>
        <v>0</v>
      </c>
    </row>
    <row r="474" ht="15.75" customHeight="1">
      <c r="F474" s="16"/>
      <c r="G474" s="11"/>
      <c r="H474" s="11">
        <f t="shared" si="1"/>
        <v>0</v>
      </c>
    </row>
    <row r="475" ht="15.75" customHeight="1">
      <c r="F475" s="16"/>
      <c r="G475" s="11"/>
      <c r="H475" s="11">
        <f t="shared" si="1"/>
        <v>0</v>
      </c>
    </row>
    <row r="476" ht="15.75" customHeight="1">
      <c r="F476" s="16"/>
      <c r="G476" s="11"/>
      <c r="H476" s="11">
        <f t="shared" si="1"/>
        <v>0</v>
      </c>
    </row>
    <row r="477" ht="15.75" customHeight="1">
      <c r="F477" s="16"/>
      <c r="G477" s="11"/>
      <c r="H477" s="11">
        <f t="shared" si="1"/>
        <v>0</v>
      </c>
    </row>
    <row r="478" ht="15.75" customHeight="1">
      <c r="F478" s="16"/>
      <c r="G478" s="11"/>
      <c r="H478" s="11">
        <f t="shared" si="1"/>
        <v>0</v>
      </c>
    </row>
    <row r="479" ht="15.75" customHeight="1">
      <c r="F479" s="16"/>
      <c r="G479" s="11"/>
      <c r="H479" s="11">
        <f t="shared" si="1"/>
        <v>0</v>
      </c>
    </row>
    <row r="480" ht="15.75" customHeight="1">
      <c r="F480" s="16"/>
      <c r="G480" s="11"/>
      <c r="H480" s="11">
        <f t="shared" si="1"/>
        <v>0</v>
      </c>
    </row>
    <row r="481" ht="15.75" customHeight="1">
      <c r="F481" s="16"/>
      <c r="G481" s="11"/>
      <c r="H481" s="11">
        <f t="shared" si="1"/>
        <v>0</v>
      </c>
    </row>
    <row r="482" ht="15.75" customHeight="1">
      <c r="F482" s="16"/>
      <c r="G482" s="11"/>
      <c r="H482" s="11">
        <f t="shared" si="1"/>
        <v>0</v>
      </c>
    </row>
    <row r="483" ht="15.75" customHeight="1">
      <c r="F483" s="16"/>
      <c r="G483" s="11"/>
      <c r="H483" s="11">
        <f t="shared" si="1"/>
        <v>0</v>
      </c>
    </row>
    <row r="484" ht="15.75" customHeight="1">
      <c r="F484" s="16"/>
      <c r="G484" s="11"/>
      <c r="H484" s="11">
        <f t="shared" si="1"/>
        <v>0</v>
      </c>
    </row>
    <row r="485" ht="15.75" customHeight="1">
      <c r="F485" s="16"/>
      <c r="G485" s="11"/>
      <c r="H485" s="11">
        <f t="shared" si="1"/>
        <v>0</v>
      </c>
    </row>
    <row r="486" ht="15.75" customHeight="1">
      <c r="F486" s="16"/>
      <c r="G486" s="11"/>
      <c r="H486" s="11">
        <f t="shared" si="1"/>
        <v>0</v>
      </c>
    </row>
    <row r="487" ht="15.75" customHeight="1">
      <c r="F487" s="16"/>
      <c r="G487" s="11"/>
      <c r="H487" s="11">
        <f t="shared" si="1"/>
        <v>0</v>
      </c>
    </row>
    <row r="488" ht="15.75" customHeight="1">
      <c r="F488" s="16"/>
      <c r="G488" s="11"/>
      <c r="H488" s="11">
        <f t="shared" si="1"/>
        <v>0</v>
      </c>
    </row>
    <row r="489" ht="15.75" customHeight="1">
      <c r="F489" s="16"/>
      <c r="G489" s="11"/>
      <c r="H489" s="11">
        <f t="shared" si="1"/>
        <v>0</v>
      </c>
    </row>
    <row r="490" ht="15.75" customHeight="1">
      <c r="F490" s="16"/>
      <c r="G490" s="11"/>
      <c r="H490" s="11">
        <f t="shared" si="1"/>
        <v>0</v>
      </c>
    </row>
    <row r="491" ht="15.75" customHeight="1">
      <c r="F491" s="16"/>
      <c r="G491" s="11"/>
      <c r="H491" s="11">
        <f t="shared" si="1"/>
        <v>0</v>
      </c>
    </row>
    <row r="492" ht="15.75" customHeight="1">
      <c r="F492" s="16"/>
      <c r="G492" s="11"/>
      <c r="H492" s="11">
        <f t="shared" si="1"/>
        <v>0</v>
      </c>
    </row>
    <row r="493" ht="15.75" customHeight="1">
      <c r="F493" s="16"/>
      <c r="G493" s="11"/>
      <c r="H493" s="11">
        <f t="shared" si="1"/>
        <v>0</v>
      </c>
    </row>
    <row r="494" ht="15.75" customHeight="1">
      <c r="F494" s="16"/>
      <c r="G494" s="11"/>
      <c r="H494" s="11">
        <f t="shared" si="1"/>
        <v>0</v>
      </c>
    </row>
    <row r="495" ht="15.75" customHeight="1">
      <c r="F495" s="16"/>
      <c r="G495" s="11"/>
      <c r="H495" s="11">
        <f t="shared" si="1"/>
        <v>0</v>
      </c>
    </row>
    <row r="496" ht="15.75" customHeight="1">
      <c r="F496" s="16"/>
      <c r="G496" s="11"/>
      <c r="H496" s="11">
        <f t="shared" si="1"/>
        <v>0</v>
      </c>
    </row>
    <row r="497" ht="15.75" customHeight="1">
      <c r="F497" s="16"/>
      <c r="G497" s="11"/>
      <c r="H497" s="11">
        <f t="shared" si="1"/>
        <v>0</v>
      </c>
    </row>
    <row r="498" ht="15.75" customHeight="1">
      <c r="F498" s="16"/>
      <c r="G498" s="11"/>
      <c r="H498" s="11">
        <f t="shared" si="1"/>
        <v>0</v>
      </c>
    </row>
    <row r="499" ht="15.75" customHeight="1">
      <c r="F499" s="16"/>
      <c r="G499" s="11"/>
      <c r="H499" s="11">
        <f t="shared" si="1"/>
        <v>0</v>
      </c>
    </row>
    <row r="500" ht="15.75" customHeight="1">
      <c r="F500" s="16"/>
      <c r="G500" s="11"/>
      <c r="H500" s="11">
        <f t="shared" si="1"/>
        <v>0</v>
      </c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F2:F500">
      <formula1>Listas!$C$2:$C$3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4" width="24.0"/>
    <col customWidth="1" min="5" max="5" width="15.63"/>
    <col customWidth="1" min="6" max="6" width="14.5"/>
    <col customWidth="1" min="7" max="7" width="15.63"/>
    <col customWidth="1" min="8" max="8" width="32.0"/>
  </cols>
  <sheetData>
    <row r="1" ht="30.0" customHeight="1">
      <c r="A1" s="1" t="s">
        <v>36</v>
      </c>
      <c r="B1" s="1" t="s">
        <v>37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3" t="s">
        <v>25</v>
      </c>
    </row>
    <row r="2">
      <c r="A2" s="3" t="s">
        <v>38</v>
      </c>
      <c r="B2" s="3" t="s">
        <v>39</v>
      </c>
      <c r="C2" s="3" t="s">
        <v>15</v>
      </c>
      <c r="D2" s="17" t="s">
        <v>40</v>
      </c>
      <c r="E2" s="18">
        <v>40.0</v>
      </c>
      <c r="F2" s="6">
        <v>10000.0</v>
      </c>
      <c r="G2" s="5">
        <f t="shared" ref="G2:G501" si="1">IFERROR(F2/E2,0)</f>
        <v>250</v>
      </c>
      <c r="H2" s="3" t="s">
        <v>41</v>
      </c>
    </row>
    <row r="3">
      <c r="A3" s="3" t="s">
        <v>42</v>
      </c>
      <c r="B3" s="3" t="s">
        <v>43</v>
      </c>
      <c r="C3" s="3" t="s">
        <v>15</v>
      </c>
      <c r="D3" s="3" t="s">
        <v>44</v>
      </c>
      <c r="E3" s="14">
        <v>100.0</v>
      </c>
      <c r="F3" s="5">
        <v>16000.0</v>
      </c>
      <c r="G3" s="5">
        <f t="shared" si="1"/>
        <v>160</v>
      </c>
      <c r="H3" s="3" t="s">
        <v>45</v>
      </c>
    </row>
    <row r="4">
      <c r="A4" s="7" t="s">
        <v>46</v>
      </c>
      <c r="B4" s="7" t="s">
        <v>47</v>
      </c>
      <c r="C4" s="7" t="s">
        <v>28</v>
      </c>
      <c r="D4" s="7" t="s">
        <v>48</v>
      </c>
      <c r="E4" s="19">
        <v>20.0</v>
      </c>
      <c r="F4" s="20">
        <v>10000.0</v>
      </c>
      <c r="G4" s="5">
        <f t="shared" si="1"/>
        <v>500</v>
      </c>
      <c r="H4" s="7" t="s">
        <v>49</v>
      </c>
    </row>
    <row r="5">
      <c r="A5" s="7" t="s">
        <v>50</v>
      </c>
      <c r="B5" s="7" t="s">
        <v>51</v>
      </c>
      <c r="C5" s="7" t="s">
        <v>52</v>
      </c>
      <c r="D5" s="7" t="s">
        <v>53</v>
      </c>
      <c r="E5" s="19">
        <v>25.0</v>
      </c>
      <c r="F5" s="20">
        <v>6000.0</v>
      </c>
      <c r="G5" s="5">
        <f t="shared" si="1"/>
        <v>240</v>
      </c>
      <c r="H5" s="7" t="s">
        <v>54</v>
      </c>
    </row>
    <row r="6">
      <c r="A6" s="7" t="s">
        <v>55</v>
      </c>
      <c r="B6" s="7" t="s">
        <v>56</v>
      </c>
      <c r="C6" s="7" t="s">
        <v>57</v>
      </c>
      <c r="D6" s="7" t="s">
        <v>58</v>
      </c>
      <c r="E6" s="19">
        <v>28.4</v>
      </c>
      <c r="F6" s="20">
        <v>4000.0</v>
      </c>
      <c r="G6" s="5">
        <f t="shared" si="1"/>
        <v>140.8450704</v>
      </c>
      <c r="H6" s="7" t="s">
        <v>59</v>
      </c>
    </row>
    <row r="7">
      <c r="A7" s="7" t="s">
        <v>60</v>
      </c>
      <c r="B7" s="7" t="s">
        <v>61</v>
      </c>
      <c r="C7" s="7" t="s">
        <v>62</v>
      </c>
      <c r="D7" s="7" t="s">
        <v>63</v>
      </c>
      <c r="E7" s="19">
        <v>1000.0</v>
      </c>
      <c r="F7" s="20">
        <v>80000.0</v>
      </c>
      <c r="G7" s="5">
        <f t="shared" si="1"/>
        <v>80</v>
      </c>
      <c r="H7" s="7" t="s">
        <v>64</v>
      </c>
    </row>
    <row r="8">
      <c r="A8" s="7" t="s">
        <v>65</v>
      </c>
      <c r="B8" s="7" t="s">
        <v>61</v>
      </c>
      <c r="C8" s="7" t="s">
        <v>62</v>
      </c>
      <c r="D8" s="7" t="s">
        <v>63</v>
      </c>
      <c r="E8" s="19">
        <v>1000.0</v>
      </c>
      <c r="F8" s="20">
        <v>78000.0</v>
      </c>
      <c r="G8" s="5">
        <f t="shared" si="1"/>
        <v>78</v>
      </c>
    </row>
    <row r="9">
      <c r="A9" s="7" t="s">
        <v>66</v>
      </c>
      <c r="B9" s="7" t="s">
        <v>61</v>
      </c>
      <c r="C9" s="7" t="s">
        <v>62</v>
      </c>
      <c r="D9" s="7" t="s">
        <v>63</v>
      </c>
      <c r="E9" s="19">
        <v>1000.0</v>
      </c>
      <c r="F9" s="20">
        <v>80000.0</v>
      </c>
      <c r="G9" s="5">
        <f t="shared" si="1"/>
        <v>80</v>
      </c>
    </row>
    <row r="10">
      <c r="E10" s="15"/>
      <c r="F10" s="10"/>
      <c r="G10" s="5">
        <f t="shared" si="1"/>
        <v>0</v>
      </c>
    </row>
    <row r="11">
      <c r="E11" s="15"/>
      <c r="F11" s="10"/>
      <c r="G11" s="5">
        <f t="shared" si="1"/>
        <v>0</v>
      </c>
    </row>
    <row r="12">
      <c r="E12" s="15"/>
      <c r="F12" s="10"/>
      <c r="G12" s="5">
        <f t="shared" si="1"/>
        <v>0</v>
      </c>
    </row>
    <row r="13">
      <c r="E13" s="15"/>
      <c r="F13" s="10"/>
      <c r="G13" s="5">
        <f t="shared" si="1"/>
        <v>0</v>
      </c>
    </row>
    <row r="14">
      <c r="E14" s="15"/>
      <c r="F14" s="10"/>
      <c r="G14" s="5">
        <f t="shared" si="1"/>
        <v>0</v>
      </c>
    </row>
    <row r="15">
      <c r="E15" s="15"/>
      <c r="F15" s="10"/>
      <c r="G15" s="5">
        <f t="shared" si="1"/>
        <v>0</v>
      </c>
    </row>
    <row r="16">
      <c r="E16" s="15"/>
      <c r="F16" s="10"/>
      <c r="G16" s="5">
        <f t="shared" si="1"/>
        <v>0</v>
      </c>
    </row>
    <row r="17">
      <c r="E17" s="15"/>
      <c r="F17" s="10"/>
      <c r="G17" s="5">
        <f t="shared" si="1"/>
        <v>0</v>
      </c>
    </row>
    <row r="18">
      <c r="E18" s="15"/>
      <c r="F18" s="10"/>
      <c r="G18" s="5">
        <f t="shared" si="1"/>
        <v>0</v>
      </c>
    </row>
    <row r="19">
      <c r="E19" s="15"/>
      <c r="F19" s="10"/>
      <c r="G19" s="5">
        <f t="shared" si="1"/>
        <v>0</v>
      </c>
    </row>
    <row r="20">
      <c r="E20" s="15"/>
      <c r="F20" s="10"/>
      <c r="G20" s="5">
        <f t="shared" si="1"/>
        <v>0</v>
      </c>
    </row>
    <row r="21">
      <c r="E21" s="15"/>
      <c r="F21" s="10"/>
      <c r="G21" s="5">
        <f t="shared" si="1"/>
        <v>0</v>
      </c>
    </row>
    <row r="22" ht="15.75" customHeight="1">
      <c r="E22" s="15"/>
      <c r="F22" s="10"/>
      <c r="G22" s="5">
        <f t="shared" si="1"/>
        <v>0</v>
      </c>
    </row>
    <row r="23" ht="15.75" customHeight="1">
      <c r="E23" s="15"/>
      <c r="F23" s="10"/>
      <c r="G23" s="5">
        <f t="shared" si="1"/>
        <v>0</v>
      </c>
    </row>
    <row r="24" ht="15.75" customHeight="1">
      <c r="E24" s="15"/>
      <c r="F24" s="10"/>
      <c r="G24" s="10">
        <f t="shared" si="1"/>
        <v>0</v>
      </c>
    </row>
    <row r="25" ht="15.75" customHeight="1">
      <c r="E25" s="15"/>
      <c r="F25" s="10"/>
      <c r="G25" s="10">
        <f t="shared" si="1"/>
        <v>0</v>
      </c>
    </row>
    <row r="26" ht="15.75" customHeight="1">
      <c r="E26" s="15"/>
      <c r="F26" s="10"/>
      <c r="G26" s="10">
        <f t="shared" si="1"/>
        <v>0</v>
      </c>
    </row>
    <row r="27" ht="15.75" customHeight="1">
      <c r="E27" s="15"/>
      <c r="F27" s="10"/>
      <c r="G27" s="10">
        <f t="shared" si="1"/>
        <v>0</v>
      </c>
    </row>
    <row r="28" ht="15.75" customHeight="1">
      <c r="E28" s="15"/>
      <c r="F28" s="10"/>
      <c r="G28" s="10">
        <f t="shared" si="1"/>
        <v>0</v>
      </c>
    </row>
    <row r="29" ht="15.75" customHeight="1">
      <c r="E29" s="15"/>
      <c r="F29" s="10"/>
      <c r="G29" s="10">
        <f t="shared" si="1"/>
        <v>0</v>
      </c>
    </row>
    <row r="30" ht="15.75" customHeight="1">
      <c r="E30" s="15"/>
      <c r="F30" s="10"/>
      <c r="G30" s="10">
        <f t="shared" si="1"/>
        <v>0</v>
      </c>
    </row>
    <row r="31" ht="15.75" customHeight="1">
      <c r="E31" s="15"/>
      <c r="F31" s="10"/>
      <c r="G31" s="10">
        <f t="shared" si="1"/>
        <v>0</v>
      </c>
    </row>
    <row r="32" ht="15.75" customHeight="1">
      <c r="E32" s="15"/>
      <c r="F32" s="10"/>
      <c r="G32" s="10">
        <f t="shared" si="1"/>
        <v>0</v>
      </c>
    </row>
    <row r="33" ht="15.75" customHeight="1">
      <c r="E33" s="15"/>
      <c r="F33" s="10"/>
      <c r="G33" s="10">
        <f t="shared" si="1"/>
        <v>0</v>
      </c>
    </row>
    <row r="34" ht="15.75" customHeight="1">
      <c r="E34" s="15"/>
      <c r="F34" s="10"/>
      <c r="G34" s="10">
        <f t="shared" si="1"/>
        <v>0</v>
      </c>
    </row>
    <row r="35" ht="15.75" customHeight="1">
      <c r="E35" s="15"/>
      <c r="F35" s="10"/>
      <c r="G35" s="10">
        <f t="shared" si="1"/>
        <v>0</v>
      </c>
    </row>
    <row r="36" ht="15.75" customHeight="1">
      <c r="E36" s="15"/>
      <c r="F36" s="10"/>
      <c r="G36" s="10">
        <f t="shared" si="1"/>
        <v>0</v>
      </c>
    </row>
    <row r="37" ht="15.75" customHeight="1">
      <c r="E37" s="15"/>
      <c r="F37" s="10"/>
      <c r="G37" s="10">
        <f t="shared" si="1"/>
        <v>0</v>
      </c>
    </row>
    <row r="38" ht="15.75" customHeight="1">
      <c r="E38" s="15"/>
      <c r="F38" s="10"/>
      <c r="G38" s="10">
        <f t="shared" si="1"/>
        <v>0</v>
      </c>
    </row>
    <row r="39" ht="15.75" customHeight="1">
      <c r="E39" s="15"/>
      <c r="F39" s="10"/>
      <c r="G39" s="10">
        <f t="shared" si="1"/>
        <v>0</v>
      </c>
    </row>
    <row r="40" ht="15.75" customHeight="1">
      <c r="E40" s="15"/>
      <c r="F40" s="10"/>
      <c r="G40" s="10">
        <f t="shared" si="1"/>
        <v>0</v>
      </c>
    </row>
    <row r="41" ht="15.75" customHeight="1">
      <c r="E41" s="15"/>
      <c r="F41" s="10"/>
      <c r="G41" s="10">
        <f t="shared" si="1"/>
        <v>0</v>
      </c>
    </row>
    <row r="42" ht="15.75" customHeight="1">
      <c r="E42" s="15"/>
      <c r="F42" s="10"/>
      <c r="G42" s="10">
        <f t="shared" si="1"/>
        <v>0</v>
      </c>
    </row>
    <row r="43" ht="15.75" customHeight="1">
      <c r="E43" s="15"/>
      <c r="F43" s="10"/>
      <c r="G43" s="10">
        <f t="shared" si="1"/>
        <v>0</v>
      </c>
    </row>
    <row r="44" ht="15.75" customHeight="1">
      <c r="E44" s="15"/>
      <c r="F44" s="10"/>
      <c r="G44" s="10">
        <f t="shared" si="1"/>
        <v>0</v>
      </c>
    </row>
    <row r="45" ht="15.75" customHeight="1">
      <c r="E45" s="15"/>
      <c r="F45" s="10"/>
      <c r="G45" s="10">
        <f t="shared" si="1"/>
        <v>0</v>
      </c>
    </row>
    <row r="46" ht="15.75" customHeight="1">
      <c r="E46" s="15"/>
      <c r="F46" s="10"/>
      <c r="G46" s="10">
        <f t="shared" si="1"/>
        <v>0</v>
      </c>
    </row>
    <row r="47" ht="15.75" customHeight="1">
      <c r="E47" s="15"/>
      <c r="F47" s="10"/>
      <c r="G47" s="10">
        <f t="shared" si="1"/>
        <v>0</v>
      </c>
    </row>
    <row r="48" ht="15.75" customHeight="1">
      <c r="E48" s="15"/>
      <c r="F48" s="10"/>
      <c r="G48" s="10">
        <f t="shared" si="1"/>
        <v>0</v>
      </c>
    </row>
    <row r="49" ht="15.75" customHeight="1">
      <c r="E49" s="15"/>
      <c r="F49" s="10"/>
      <c r="G49" s="10">
        <f t="shared" si="1"/>
        <v>0</v>
      </c>
    </row>
    <row r="50" ht="15.75" customHeight="1">
      <c r="E50" s="15"/>
      <c r="F50" s="10"/>
      <c r="G50" s="10">
        <f t="shared" si="1"/>
        <v>0</v>
      </c>
    </row>
    <row r="51" ht="15.75" customHeight="1">
      <c r="E51" s="15"/>
      <c r="F51" s="10"/>
      <c r="G51" s="10">
        <f t="shared" si="1"/>
        <v>0</v>
      </c>
    </row>
    <row r="52" ht="15.75" customHeight="1">
      <c r="E52" s="15"/>
      <c r="F52" s="10"/>
      <c r="G52" s="10">
        <f t="shared" si="1"/>
        <v>0</v>
      </c>
    </row>
    <row r="53" ht="15.75" customHeight="1">
      <c r="E53" s="15"/>
      <c r="F53" s="10"/>
      <c r="G53" s="10">
        <f t="shared" si="1"/>
        <v>0</v>
      </c>
    </row>
    <row r="54" ht="15.75" customHeight="1">
      <c r="E54" s="15"/>
      <c r="F54" s="10"/>
      <c r="G54" s="10">
        <f t="shared" si="1"/>
        <v>0</v>
      </c>
    </row>
    <row r="55" ht="15.75" customHeight="1">
      <c r="E55" s="15"/>
      <c r="F55" s="10"/>
      <c r="G55" s="10">
        <f t="shared" si="1"/>
        <v>0</v>
      </c>
    </row>
    <row r="56" ht="15.75" customHeight="1">
      <c r="E56" s="15"/>
      <c r="F56" s="10"/>
      <c r="G56" s="10">
        <f t="shared" si="1"/>
        <v>0</v>
      </c>
    </row>
    <row r="57" ht="15.75" customHeight="1">
      <c r="E57" s="15"/>
      <c r="F57" s="10"/>
      <c r="G57" s="10">
        <f t="shared" si="1"/>
        <v>0</v>
      </c>
    </row>
    <row r="58" ht="15.75" customHeight="1">
      <c r="E58" s="15"/>
      <c r="F58" s="10"/>
      <c r="G58" s="10">
        <f t="shared" si="1"/>
        <v>0</v>
      </c>
    </row>
    <row r="59" ht="15.75" customHeight="1">
      <c r="E59" s="15"/>
      <c r="F59" s="10"/>
      <c r="G59" s="10">
        <f t="shared" si="1"/>
        <v>0</v>
      </c>
    </row>
    <row r="60" ht="15.75" customHeight="1">
      <c r="E60" s="15"/>
      <c r="F60" s="10"/>
      <c r="G60" s="10">
        <f t="shared" si="1"/>
        <v>0</v>
      </c>
    </row>
    <row r="61" ht="15.75" customHeight="1">
      <c r="E61" s="15"/>
      <c r="F61" s="10"/>
      <c r="G61" s="10">
        <f t="shared" si="1"/>
        <v>0</v>
      </c>
    </row>
    <row r="62" ht="15.75" customHeight="1">
      <c r="E62" s="15"/>
      <c r="F62" s="10"/>
      <c r="G62" s="10">
        <f t="shared" si="1"/>
        <v>0</v>
      </c>
    </row>
    <row r="63" ht="15.75" customHeight="1">
      <c r="E63" s="15"/>
      <c r="F63" s="10"/>
      <c r="G63" s="10">
        <f t="shared" si="1"/>
        <v>0</v>
      </c>
    </row>
    <row r="64" ht="15.75" customHeight="1">
      <c r="E64" s="15"/>
      <c r="F64" s="10"/>
      <c r="G64" s="10">
        <f t="shared" si="1"/>
        <v>0</v>
      </c>
    </row>
    <row r="65" ht="15.75" customHeight="1">
      <c r="E65" s="15"/>
      <c r="F65" s="10"/>
      <c r="G65" s="10">
        <f t="shared" si="1"/>
        <v>0</v>
      </c>
    </row>
    <row r="66" ht="15.75" customHeight="1">
      <c r="E66" s="15"/>
      <c r="F66" s="10"/>
      <c r="G66" s="10">
        <f t="shared" si="1"/>
        <v>0</v>
      </c>
    </row>
    <row r="67" ht="15.75" customHeight="1">
      <c r="E67" s="15"/>
      <c r="F67" s="10"/>
      <c r="G67" s="10">
        <f t="shared" si="1"/>
        <v>0</v>
      </c>
    </row>
    <row r="68" ht="15.75" customHeight="1">
      <c r="E68" s="15"/>
      <c r="F68" s="10"/>
      <c r="G68" s="10">
        <f t="shared" si="1"/>
        <v>0</v>
      </c>
    </row>
    <row r="69" ht="15.75" customHeight="1">
      <c r="E69" s="15"/>
      <c r="F69" s="10"/>
      <c r="G69" s="10">
        <f t="shared" si="1"/>
        <v>0</v>
      </c>
    </row>
    <row r="70" ht="15.75" customHeight="1">
      <c r="E70" s="15"/>
      <c r="F70" s="10"/>
      <c r="G70" s="10">
        <f t="shared" si="1"/>
        <v>0</v>
      </c>
    </row>
    <row r="71" ht="15.75" customHeight="1">
      <c r="E71" s="15"/>
      <c r="F71" s="10"/>
      <c r="G71" s="10">
        <f t="shared" si="1"/>
        <v>0</v>
      </c>
    </row>
    <row r="72" ht="15.75" customHeight="1">
      <c r="E72" s="15"/>
      <c r="F72" s="10"/>
      <c r="G72" s="10">
        <f t="shared" si="1"/>
        <v>0</v>
      </c>
    </row>
    <row r="73" ht="15.75" customHeight="1">
      <c r="E73" s="15"/>
      <c r="F73" s="10"/>
      <c r="G73" s="10">
        <f t="shared" si="1"/>
        <v>0</v>
      </c>
    </row>
    <row r="74" ht="15.75" customHeight="1">
      <c r="E74" s="15"/>
      <c r="F74" s="10"/>
      <c r="G74" s="10">
        <f t="shared" si="1"/>
        <v>0</v>
      </c>
    </row>
    <row r="75" ht="15.75" customHeight="1">
      <c r="E75" s="15"/>
      <c r="F75" s="10"/>
      <c r="G75" s="10">
        <f t="shared" si="1"/>
        <v>0</v>
      </c>
    </row>
    <row r="76" ht="15.75" customHeight="1">
      <c r="E76" s="15"/>
      <c r="F76" s="10"/>
      <c r="G76" s="10">
        <f t="shared" si="1"/>
        <v>0</v>
      </c>
    </row>
    <row r="77" ht="15.75" customHeight="1">
      <c r="E77" s="15"/>
      <c r="F77" s="10"/>
      <c r="G77" s="10">
        <f t="shared" si="1"/>
        <v>0</v>
      </c>
    </row>
    <row r="78" ht="15.75" customHeight="1">
      <c r="E78" s="15"/>
      <c r="F78" s="10"/>
      <c r="G78" s="10">
        <f t="shared" si="1"/>
        <v>0</v>
      </c>
    </row>
    <row r="79" ht="15.75" customHeight="1">
      <c r="E79" s="15"/>
      <c r="F79" s="10"/>
      <c r="G79" s="10">
        <f t="shared" si="1"/>
        <v>0</v>
      </c>
    </row>
    <row r="80" ht="15.75" customHeight="1">
      <c r="E80" s="15"/>
      <c r="F80" s="10"/>
      <c r="G80" s="10">
        <f t="shared" si="1"/>
        <v>0</v>
      </c>
    </row>
    <row r="81" ht="15.75" customHeight="1">
      <c r="E81" s="15"/>
      <c r="F81" s="10"/>
      <c r="G81" s="10">
        <f t="shared" si="1"/>
        <v>0</v>
      </c>
    </row>
    <row r="82" ht="15.75" customHeight="1">
      <c r="E82" s="15"/>
      <c r="F82" s="10"/>
      <c r="G82" s="10">
        <f t="shared" si="1"/>
        <v>0</v>
      </c>
    </row>
    <row r="83" ht="15.75" customHeight="1">
      <c r="E83" s="15"/>
      <c r="F83" s="10"/>
      <c r="G83" s="10">
        <f t="shared" si="1"/>
        <v>0</v>
      </c>
    </row>
    <row r="84" ht="15.75" customHeight="1">
      <c r="E84" s="15"/>
      <c r="F84" s="10"/>
      <c r="G84" s="10">
        <f t="shared" si="1"/>
        <v>0</v>
      </c>
    </row>
    <row r="85" ht="15.75" customHeight="1">
      <c r="E85" s="15"/>
      <c r="F85" s="10"/>
      <c r="G85" s="10">
        <f t="shared" si="1"/>
        <v>0</v>
      </c>
    </row>
    <row r="86" ht="15.75" customHeight="1">
      <c r="E86" s="15"/>
      <c r="F86" s="10"/>
      <c r="G86" s="10">
        <f t="shared" si="1"/>
        <v>0</v>
      </c>
    </row>
    <row r="87" ht="15.75" customHeight="1">
      <c r="E87" s="15"/>
      <c r="F87" s="10"/>
      <c r="G87" s="10">
        <f t="shared" si="1"/>
        <v>0</v>
      </c>
    </row>
    <row r="88" ht="15.75" customHeight="1">
      <c r="E88" s="15"/>
      <c r="F88" s="10"/>
      <c r="G88" s="10">
        <f t="shared" si="1"/>
        <v>0</v>
      </c>
    </row>
    <row r="89" ht="15.75" customHeight="1">
      <c r="E89" s="15"/>
      <c r="F89" s="10"/>
      <c r="G89" s="10">
        <f t="shared" si="1"/>
        <v>0</v>
      </c>
    </row>
    <row r="90" ht="15.75" customHeight="1">
      <c r="E90" s="15"/>
      <c r="F90" s="10"/>
      <c r="G90" s="10">
        <f t="shared" si="1"/>
        <v>0</v>
      </c>
    </row>
    <row r="91" ht="15.75" customHeight="1">
      <c r="E91" s="15"/>
      <c r="F91" s="10"/>
      <c r="G91" s="10">
        <f t="shared" si="1"/>
        <v>0</v>
      </c>
    </row>
    <row r="92" ht="15.75" customHeight="1">
      <c r="E92" s="15"/>
      <c r="F92" s="10"/>
      <c r="G92" s="10">
        <f t="shared" si="1"/>
        <v>0</v>
      </c>
    </row>
    <row r="93" ht="15.75" customHeight="1">
      <c r="E93" s="15"/>
      <c r="F93" s="10"/>
      <c r="G93" s="10">
        <f t="shared" si="1"/>
        <v>0</v>
      </c>
    </row>
    <row r="94" ht="15.75" customHeight="1">
      <c r="E94" s="15"/>
      <c r="F94" s="10"/>
      <c r="G94" s="10">
        <f t="shared" si="1"/>
        <v>0</v>
      </c>
    </row>
    <row r="95" ht="15.75" customHeight="1">
      <c r="E95" s="15"/>
      <c r="F95" s="10"/>
      <c r="G95" s="10">
        <f t="shared" si="1"/>
        <v>0</v>
      </c>
    </row>
    <row r="96" ht="15.75" customHeight="1">
      <c r="E96" s="15"/>
      <c r="F96" s="10"/>
      <c r="G96" s="10">
        <f t="shared" si="1"/>
        <v>0</v>
      </c>
    </row>
    <row r="97" ht="15.75" customHeight="1">
      <c r="E97" s="15"/>
      <c r="F97" s="10"/>
      <c r="G97" s="10">
        <f t="shared" si="1"/>
        <v>0</v>
      </c>
    </row>
    <row r="98" ht="15.75" customHeight="1">
      <c r="E98" s="15"/>
      <c r="F98" s="10"/>
      <c r="G98" s="10">
        <f t="shared" si="1"/>
        <v>0</v>
      </c>
    </row>
    <row r="99" ht="15.75" customHeight="1">
      <c r="E99" s="15"/>
      <c r="F99" s="10"/>
      <c r="G99" s="10">
        <f t="shared" si="1"/>
        <v>0</v>
      </c>
    </row>
    <row r="100" ht="15.75" customHeight="1">
      <c r="E100" s="15"/>
      <c r="F100" s="10"/>
      <c r="G100" s="10">
        <f t="shared" si="1"/>
        <v>0</v>
      </c>
    </row>
    <row r="101" ht="15.75" customHeight="1">
      <c r="E101" s="15"/>
      <c r="F101" s="10"/>
      <c r="G101" s="10">
        <f t="shared" si="1"/>
        <v>0</v>
      </c>
    </row>
    <row r="102" ht="15.75" customHeight="1">
      <c r="E102" s="15"/>
      <c r="F102" s="10"/>
      <c r="G102" s="10">
        <f t="shared" si="1"/>
        <v>0</v>
      </c>
    </row>
    <row r="103" ht="15.75" customHeight="1">
      <c r="E103" s="15"/>
      <c r="F103" s="10"/>
      <c r="G103" s="10">
        <f t="shared" si="1"/>
        <v>0</v>
      </c>
    </row>
    <row r="104" ht="15.75" customHeight="1">
      <c r="E104" s="15"/>
      <c r="F104" s="10"/>
      <c r="G104" s="10">
        <f t="shared" si="1"/>
        <v>0</v>
      </c>
    </row>
    <row r="105" ht="15.75" customHeight="1">
      <c r="E105" s="15"/>
      <c r="F105" s="10"/>
      <c r="G105" s="10">
        <f t="shared" si="1"/>
        <v>0</v>
      </c>
    </row>
    <row r="106" ht="15.75" customHeight="1">
      <c r="E106" s="15"/>
      <c r="F106" s="10"/>
      <c r="G106" s="10">
        <f t="shared" si="1"/>
        <v>0</v>
      </c>
    </row>
    <row r="107" ht="15.75" customHeight="1">
      <c r="E107" s="15"/>
      <c r="F107" s="10"/>
      <c r="G107" s="10">
        <f t="shared" si="1"/>
        <v>0</v>
      </c>
    </row>
    <row r="108" ht="15.75" customHeight="1">
      <c r="E108" s="15"/>
      <c r="F108" s="10"/>
      <c r="G108" s="10">
        <f t="shared" si="1"/>
        <v>0</v>
      </c>
    </row>
    <row r="109" ht="15.75" customHeight="1">
      <c r="E109" s="15"/>
      <c r="F109" s="10"/>
      <c r="G109" s="10">
        <f t="shared" si="1"/>
        <v>0</v>
      </c>
    </row>
    <row r="110" ht="15.75" customHeight="1">
      <c r="E110" s="15"/>
      <c r="F110" s="10"/>
      <c r="G110" s="10">
        <f t="shared" si="1"/>
        <v>0</v>
      </c>
    </row>
    <row r="111" ht="15.75" customHeight="1">
      <c r="E111" s="15"/>
      <c r="F111" s="10"/>
      <c r="G111" s="10">
        <f t="shared" si="1"/>
        <v>0</v>
      </c>
    </row>
    <row r="112" ht="15.75" customHeight="1">
      <c r="E112" s="15"/>
      <c r="F112" s="10"/>
      <c r="G112" s="10">
        <f t="shared" si="1"/>
        <v>0</v>
      </c>
    </row>
    <row r="113" ht="15.75" customHeight="1">
      <c r="E113" s="15"/>
      <c r="F113" s="10"/>
      <c r="G113" s="10">
        <f t="shared" si="1"/>
        <v>0</v>
      </c>
    </row>
    <row r="114" ht="15.75" customHeight="1">
      <c r="E114" s="15"/>
      <c r="F114" s="10"/>
      <c r="G114" s="10">
        <f t="shared" si="1"/>
        <v>0</v>
      </c>
    </row>
    <row r="115" ht="15.75" customHeight="1">
      <c r="E115" s="15"/>
      <c r="F115" s="10"/>
      <c r="G115" s="10">
        <f t="shared" si="1"/>
        <v>0</v>
      </c>
    </row>
    <row r="116" ht="15.75" customHeight="1">
      <c r="E116" s="15"/>
      <c r="F116" s="10"/>
      <c r="G116" s="10">
        <f t="shared" si="1"/>
        <v>0</v>
      </c>
    </row>
    <row r="117" ht="15.75" customHeight="1">
      <c r="E117" s="15"/>
      <c r="F117" s="10"/>
      <c r="G117" s="10">
        <f t="shared" si="1"/>
        <v>0</v>
      </c>
    </row>
    <row r="118" ht="15.75" customHeight="1">
      <c r="E118" s="15"/>
      <c r="F118" s="10"/>
      <c r="G118" s="10">
        <f t="shared" si="1"/>
        <v>0</v>
      </c>
    </row>
    <row r="119" ht="15.75" customHeight="1">
      <c r="E119" s="15"/>
      <c r="F119" s="10"/>
      <c r="G119" s="10">
        <f t="shared" si="1"/>
        <v>0</v>
      </c>
    </row>
    <row r="120" ht="15.75" customHeight="1">
      <c r="E120" s="15"/>
      <c r="F120" s="10"/>
      <c r="G120" s="10">
        <f t="shared" si="1"/>
        <v>0</v>
      </c>
    </row>
    <row r="121" ht="15.75" customHeight="1">
      <c r="E121" s="15"/>
      <c r="F121" s="10"/>
      <c r="G121" s="10">
        <f t="shared" si="1"/>
        <v>0</v>
      </c>
    </row>
    <row r="122" ht="15.75" customHeight="1">
      <c r="E122" s="15"/>
      <c r="F122" s="10"/>
      <c r="G122" s="10">
        <f t="shared" si="1"/>
        <v>0</v>
      </c>
    </row>
    <row r="123" ht="15.75" customHeight="1">
      <c r="E123" s="15"/>
      <c r="F123" s="10"/>
      <c r="G123" s="10">
        <f t="shared" si="1"/>
        <v>0</v>
      </c>
    </row>
    <row r="124" ht="15.75" customHeight="1">
      <c r="E124" s="15"/>
      <c r="F124" s="10"/>
      <c r="G124" s="10">
        <f t="shared" si="1"/>
        <v>0</v>
      </c>
    </row>
    <row r="125" ht="15.75" customHeight="1">
      <c r="E125" s="15"/>
      <c r="F125" s="10"/>
      <c r="G125" s="10">
        <f t="shared" si="1"/>
        <v>0</v>
      </c>
    </row>
    <row r="126" ht="15.75" customHeight="1">
      <c r="E126" s="15"/>
      <c r="F126" s="10"/>
      <c r="G126" s="10">
        <f t="shared" si="1"/>
        <v>0</v>
      </c>
    </row>
    <row r="127" ht="15.75" customHeight="1">
      <c r="E127" s="15"/>
      <c r="F127" s="10"/>
      <c r="G127" s="10">
        <f t="shared" si="1"/>
        <v>0</v>
      </c>
    </row>
    <row r="128" ht="15.75" customHeight="1">
      <c r="E128" s="15"/>
      <c r="F128" s="10"/>
      <c r="G128" s="10">
        <f t="shared" si="1"/>
        <v>0</v>
      </c>
    </row>
    <row r="129" ht="15.75" customHeight="1">
      <c r="E129" s="15"/>
      <c r="F129" s="10"/>
      <c r="G129" s="10">
        <f t="shared" si="1"/>
        <v>0</v>
      </c>
    </row>
    <row r="130" ht="15.75" customHeight="1">
      <c r="E130" s="15"/>
      <c r="F130" s="10"/>
      <c r="G130" s="10">
        <f t="shared" si="1"/>
        <v>0</v>
      </c>
    </row>
    <row r="131" ht="15.75" customHeight="1">
      <c r="E131" s="15"/>
      <c r="F131" s="10"/>
      <c r="G131" s="10">
        <f t="shared" si="1"/>
        <v>0</v>
      </c>
    </row>
    <row r="132" ht="15.75" customHeight="1">
      <c r="E132" s="15"/>
      <c r="F132" s="10"/>
      <c r="G132" s="10">
        <f t="shared" si="1"/>
        <v>0</v>
      </c>
    </row>
    <row r="133" ht="15.75" customHeight="1">
      <c r="E133" s="15"/>
      <c r="F133" s="10"/>
      <c r="G133" s="10">
        <f t="shared" si="1"/>
        <v>0</v>
      </c>
    </row>
    <row r="134" ht="15.75" customHeight="1">
      <c r="E134" s="15"/>
      <c r="F134" s="10"/>
      <c r="G134" s="10">
        <f t="shared" si="1"/>
        <v>0</v>
      </c>
    </row>
    <row r="135" ht="15.75" customHeight="1">
      <c r="E135" s="15"/>
      <c r="F135" s="10"/>
      <c r="G135" s="10">
        <f t="shared" si="1"/>
        <v>0</v>
      </c>
    </row>
    <row r="136" ht="15.75" customHeight="1">
      <c r="E136" s="15"/>
      <c r="F136" s="10"/>
      <c r="G136" s="10">
        <f t="shared" si="1"/>
        <v>0</v>
      </c>
    </row>
    <row r="137" ht="15.75" customHeight="1">
      <c r="E137" s="15"/>
      <c r="F137" s="10"/>
      <c r="G137" s="10">
        <f t="shared" si="1"/>
        <v>0</v>
      </c>
    </row>
    <row r="138" ht="15.75" customHeight="1">
      <c r="E138" s="15"/>
      <c r="F138" s="10"/>
      <c r="G138" s="10">
        <f t="shared" si="1"/>
        <v>0</v>
      </c>
    </row>
    <row r="139" ht="15.75" customHeight="1">
      <c r="E139" s="15"/>
      <c r="F139" s="10"/>
      <c r="G139" s="10">
        <f t="shared" si="1"/>
        <v>0</v>
      </c>
    </row>
    <row r="140" ht="15.75" customHeight="1">
      <c r="E140" s="15"/>
      <c r="F140" s="10"/>
      <c r="G140" s="10">
        <f t="shared" si="1"/>
        <v>0</v>
      </c>
    </row>
    <row r="141" ht="15.75" customHeight="1">
      <c r="E141" s="15"/>
      <c r="F141" s="10"/>
      <c r="G141" s="10">
        <f t="shared" si="1"/>
        <v>0</v>
      </c>
    </row>
    <row r="142" ht="15.75" customHeight="1">
      <c r="E142" s="15"/>
      <c r="F142" s="10"/>
      <c r="G142" s="10">
        <f t="shared" si="1"/>
        <v>0</v>
      </c>
    </row>
    <row r="143" ht="15.75" customHeight="1">
      <c r="E143" s="15"/>
      <c r="F143" s="10"/>
      <c r="G143" s="10">
        <f t="shared" si="1"/>
        <v>0</v>
      </c>
    </row>
    <row r="144" ht="15.75" customHeight="1">
      <c r="E144" s="15"/>
      <c r="F144" s="10"/>
      <c r="G144" s="10">
        <f t="shared" si="1"/>
        <v>0</v>
      </c>
    </row>
    <row r="145" ht="15.75" customHeight="1">
      <c r="E145" s="15"/>
      <c r="F145" s="10"/>
      <c r="G145" s="10">
        <f t="shared" si="1"/>
        <v>0</v>
      </c>
    </row>
    <row r="146" ht="15.75" customHeight="1">
      <c r="E146" s="15"/>
      <c r="F146" s="10"/>
      <c r="G146" s="10">
        <f t="shared" si="1"/>
        <v>0</v>
      </c>
    </row>
    <row r="147" ht="15.75" customHeight="1">
      <c r="E147" s="15"/>
      <c r="F147" s="10"/>
      <c r="G147" s="10">
        <f t="shared" si="1"/>
        <v>0</v>
      </c>
    </row>
    <row r="148" ht="15.75" customHeight="1">
      <c r="E148" s="15"/>
      <c r="F148" s="10"/>
      <c r="G148" s="10">
        <f t="shared" si="1"/>
        <v>0</v>
      </c>
    </row>
    <row r="149" ht="15.75" customHeight="1">
      <c r="E149" s="15"/>
      <c r="F149" s="10"/>
      <c r="G149" s="10">
        <f t="shared" si="1"/>
        <v>0</v>
      </c>
    </row>
    <row r="150" ht="15.75" customHeight="1">
      <c r="E150" s="15"/>
      <c r="F150" s="10"/>
      <c r="G150" s="10">
        <f t="shared" si="1"/>
        <v>0</v>
      </c>
    </row>
    <row r="151" ht="15.75" customHeight="1">
      <c r="E151" s="15"/>
      <c r="F151" s="10"/>
      <c r="G151" s="10">
        <f t="shared" si="1"/>
        <v>0</v>
      </c>
    </row>
    <row r="152" ht="15.75" customHeight="1">
      <c r="E152" s="15"/>
      <c r="F152" s="10"/>
      <c r="G152" s="10">
        <f t="shared" si="1"/>
        <v>0</v>
      </c>
    </row>
    <row r="153" ht="15.75" customHeight="1">
      <c r="E153" s="15"/>
      <c r="F153" s="10"/>
      <c r="G153" s="10">
        <f t="shared" si="1"/>
        <v>0</v>
      </c>
    </row>
    <row r="154" ht="15.75" customHeight="1">
      <c r="E154" s="15"/>
      <c r="F154" s="10"/>
      <c r="G154" s="10">
        <f t="shared" si="1"/>
        <v>0</v>
      </c>
    </row>
    <row r="155" ht="15.75" customHeight="1">
      <c r="E155" s="15"/>
      <c r="F155" s="10"/>
      <c r="G155" s="10">
        <f t="shared" si="1"/>
        <v>0</v>
      </c>
    </row>
    <row r="156" ht="15.75" customHeight="1">
      <c r="E156" s="15"/>
      <c r="F156" s="10"/>
      <c r="G156" s="10">
        <f t="shared" si="1"/>
        <v>0</v>
      </c>
    </row>
    <row r="157" ht="15.75" customHeight="1">
      <c r="E157" s="15"/>
      <c r="F157" s="10"/>
      <c r="G157" s="10">
        <f t="shared" si="1"/>
        <v>0</v>
      </c>
    </row>
    <row r="158" ht="15.75" customHeight="1">
      <c r="E158" s="15"/>
      <c r="F158" s="10"/>
      <c r="G158" s="10">
        <f t="shared" si="1"/>
        <v>0</v>
      </c>
    </row>
    <row r="159" ht="15.75" customHeight="1">
      <c r="E159" s="15"/>
      <c r="F159" s="10"/>
      <c r="G159" s="10">
        <f t="shared" si="1"/>
        <v>0</v>
      </c>
    </row>
    <row r="160" ht="15.75" customHeight="1">
      <c r="E160" s="15"/>
      <c r="F160" s="10"/>
      <c r="G160" s="10">
        <f t="shared" si="1"/>
        <v>0</v>
      </c>
    </row>
    <row r="161" ht="15.75" customHeight="1">
      <c r="E161" s="15"/>
      <c r="F161" s="10"/>
      <c r="G161" s="10">
        <f t="shared" si="1"/>
        <v>0</v>
      </c>
    </row>
    <row r="162" ht="15.75" customHeight="1">
      <c r="E162" s="15"/>
      <c r="F162" s="10"/>
      <c r="G162" s="10">
        <f t="shared" si="1"/>
        <v>0</v>
      </c>
    </row>
    <row r="163" ht="15.75" customHeight="1">
      <c r="E163" s="15"/>
      <c r="F163" s="10"/>
      <c r="G163" s="10">
        <f t="shared" si="1"/>
        <v>0</v>
      </c>
    </row>
    <row r="164" ht="15.75" customHeight="1">
      <c r="E164" s="15"/>
      <c r="F164" s="10"/>
      <c r="G164" s="10">
        <f t="shared" si="1"/>
        <v>0</v>
      </c>
    </row>
    <row r="165" ht="15.75" customHeight="1">
      <c r="E165" s="15"/>
      <c r="F165" s="10"/>
      <c r="G165" s="10">
        <f t="shared" si="1"/>
        <v>0</v>
      </c>
    </row>
    <row r="166" ht="15.75" customHeight="1">
      <c r="E166" s="15"/>
      <c r="F166" s="10"/>
      <c r="G166" s="10">
        <f t="shared" si="1"/>
        <v>0</v>
      </c>
    </row>
    <row r="167" ht="15.75" customHeight="1">
      <c r="E167" s="15"/>
      <c r="F167" s="10"/>
      <c r="G167" s="10">
        <f t="shared" si="1"/>
        <v>0</v>
      </c>
    </row>
    <row r="168" ht="15.75" customHeight="1">
      <c r="E168" s="15"/>
      <c r="F168" s="10"/>
      <c r="G168" s="10">
        <f t="shared" si="1"/>
        <v>0</v>
      </c>
    </row>
    <row r="169" ht="15.75" customHeight="1">
      <c r="E169" s="15"/>
      <c r="F169" s="10"/>
      <c r="G169" s="10">
        <f t="shared" si="1"/>
        <v>0</v>
      </c>
    </row>
    <row r="170" ht="15.75" customHeight="1">
      <c r="E170" s="15"/>
      <c r="F170" s="10"/>
      <c r="G170" s="10">
        <f t="shared" si="1"/>
        <v>0</v>
      </c>
    </row>
    <row r="171" ht="15.75" customHeight="1">
      <c r="E171" s="15"/>
      <c r="F171" s="10"/>
      <c r="G171" s="10">
        <f t="shared" si="1"/>
        <v>0</v>
      </c>
    </row>
    <row r="172" ht="15.75" customHeight="1">
      <c r="E172" s="15"/>
      <c r="F172" s="10"/>
      <c r="G172" s="10">
        <f t="shared" si="1"/>
        <v>0</v>
      </c>
    </row>
    <row r="173" ht="15.75" customHeight="1">
      <c r="E173" s="15"/>
      <c r="F173" s="10"/>
      <c r="G173" s="10">
        <f t="shared" si="1"/>
        <v>0</v>
      </c>
    </row>
    <row r="174" ht="15.75" customHeight="1">
      <c r="E174" s="15"/>
      <c r="F174" s="10"/>
      <c r="G174" s="10">
        <f t="shared" si="1"/>
        <v>0</v>
      </c>
    </row>
    <row r="175" ht="15.75" customHeight="1">
      <c r="E175" s="15"/>
      <c r="F175" s="10"/>
      <c r="G175" s="10">
        <f t="shared" si="1"/>
        <v>0</v>
      </c>
    </row>
    <row r="176" ht="15.75" customHeight="1">
      <c r="E176" s="15"/>
      <c r="F176" s="10"/>
      <c r="G176" s="10">
        <f t="shared" si="1"/>
        <v>0</v>
      </c>
    </row>
    <row r="177" ht="15.75" customHeight="1">
      <c r="E177" s="15"/>
      <c r="F177" s="10"/>
      <c r="G177" s="10">
        <f t="shared" si="1"/>
        <v>0</v>
      </c>
    </row>
    <row r="178" ht="15.75" customHeight="1">
      <c r="E178" s="15"/>
      <c r="F178" s="10"/>
      <c r="G178" s="10">
        <f t="shared" si="1"/>
        <v>0</v>
      </c>
    </row>
    <row r="179" ht="15.75" customHeight="1">
      <c r="E179" s="15"/>
      <c r="F179" s="10"/>
      <c r="G179" s="10">
        <f t="shared" si="1"/>
        <v>0</v>
      </c>
    </row>
    <row r="180" ht="15.75" customHeight="1">
      <c r="E180" s="15"/>
      <c r="F180" s="10"/>
      <c r="G180" s="10">
        <f t="shared" si="1"/>
        <v>0</v>
      </c>
    </row>
    <row r="181" ht="15.75" customHeight="1">
      <c r="E181" s="15"/>
      <c r="F181" s="10"/>
      <c r="G181" s="10">
        <f t="shared" si="1"/>
        <v>0</v>
      </c>
    </row>
    <row r="182" ht="15.75" customHeight="1">
      <c r="E182" s="15"/>
      <c r="F182" s="10"/>
      <c r="G182" s="10">
        <f t="shared" si="1"/>
        <v>0</v>
      </c>
    </row>
    <row r="183" ht="15.75" customHeight="1">
      <c r="E183" s="15"/>
      <c r="F183" s="10"/>
      <c r="G183" s="10">
        <f t="shared" si="1"/>
        <v>0</v>
      </c>
    </row>
    <row r="184" ht="15.75" customHeight="1">
      <c r="E184" s="15"/>
      <c r="F184" s="10"/>
      <c r="G184" s="10">
        <f t="shared" si="1"/>
        <v>0</v>
      </c>
    </row>
    <row r="185" ht="15.75" customHeight="1">
      <c r="E185" s="15"/>
      <c r="F185" s="10"/>
      <c r="G185" s="10">
        <f t="shared" si="1"/>
        <v>0</v>
      </c>
    </row>
    <row r="186" ht="15.75" customHeight="1">
      <c r="E186" s="15"/>
      <c r="F186" s="10"/>
      <c r="G186" s="10">
        <f t="shared" si="1"/>
        <v>0</v>
      </c>
    </row>
    <row r="187" ht="15.75" customHeight="1">
      <c r="E187" s="15"/>
      <c r="F187" s="10"/>
      <c r="G187" s="10">
        <f t="shared" si="1"/>
        <v>0</v>
      </c>
    </row>
    <row r="188" ht="15.75" customHeight="1">
      <c r="E188" s="15"/>
      <c r="F188" s="10"/>
      <c r="G188" s="10">
        <f t="shared" si="1"/>
        <v>0</v>
      </c>
    </row>
    <row r="189" ht="15.75" customHeight="1">
      <c r="E189" s="15"/>
      <c r="F189" s="10"/>
      <c r="G189" s="10">
        <f t="shared" si="1"/>
        <v>0</v>
      </c>
    </row>
    <row r="190" ht="15.75" customHeight="1">
      <c r="E190" s="15"/>
      <c r="F190" s="10"/>
      <c r="G190" s="10">
        <f t="shared" si="1"/>
        <v>0</v>
      </c>
    </row>
    <row r="191" ht="15.75" customHeight="1">
      <c r="E191" s="15"/>
      <c r="F191" s="10"/>
      <c r="G191" s="10">
        <f t="shared" si="1"/>
        <v>0</v>
      </c>
    </row>
    <row r="192" ht="15.75" customHeight="1">
      <c r="E192" s="15"/>
      <c r="F192" s="10"/>
      <c r="G192" s="10">
        <f t="shared" si="1"/>
        <v>0</v>
      </c>
    </row>
    <row r="193" ht="15.75" customHeight="1">
      <c r="E193" s="15"/>
      <c r="F193" s="10"/>
      <c r="G193" s="10">
        <f t="shared" si="1"/>
        <v>0</v>
      </c>
    </row>
    <row r="194" ht="15.75" customHeight="1">
      <c r="E194" s="15"/>
      <c r="F194" s="10"/>
      <c r="G194" s="10">
        <f t="shared" si="1"/>
        <v>0</v>
      </c>
    </row>
    <row r="195" ht="15.75" customHeight="1">
      <c r="E195" s="15"/>
      <c r="F195" s="10"/>
      <c r="G195" s="10">
        <f t="shared" si="1"/>
        <v>0</v>
      </c>
    </row>
    <row r="196" ht="15.75" customHeight="1">
      <c r="E196" s="15"/>
      <c r="F196" s="10"/>
      <c r="G196" s="10">
        <f t="shared" si="1"/>
        <v>0</v>
      </c>
    </row>
    <row r="197" ht="15.75" customHeight="1">
      <c r="E197" s="15"/>
      <c r="F197" s="10"/>
      <c r="G197" s="10">
        <f t="shared" si="1"/>
        <v>0</v>
      </c>
    </row>
    <row r="198" ht="15.75" customHeight="1">
      <c r="E198" s="15"/>
      <c r="F198" s="10"/>
      <c r="G198" s="10">
        <f t="shared" si="1"/>
        <v>0</v>
      </c>
    </row>
    <row r="199" ht="15.75" customHeight="1">
      <c r="E199" s="15"/>
      <c r="F199" s="10"/>
      <c r="G199" s="10">
        <f t="shared" si="1"/>
        <v>0</v>
      </c>
    </row>
    <row r="200" ht="15.75" customHeight="1">
      <c r="E200" s="15"/>
      <c r="F200" s="10"/>
      <c r="G200" s="10">
        <f t="shared" si="1"/>
        <v>0</v>
      </c>
    </row>
    <row r="201" ht="15.75" customHeight="1">
      <c r="E201" s="15"/>
      <c r="F201" s="10"/>
      <c r="G201" s="10">
        <f t="shared" si="1"/>
        <v>0</v>
      </c>
    </row>
    <row r="202" ht="15.75" customHeight="1">
      <c r="E202" s="15"/>
      <c r="F202" s="10"/>
      <c r="G202" s="10">
        <f t="shared" si="1"/>
        <v>0</v>
      </c>
    </row>
    <row r="203" ht="15.75" customHeight="1">
      <c r="E203" s="15"/>
      <c r="F203" s="10"/>
      <c r="G203" s="10">
        <f t="shared" si="1"/>
        <v>0</v>
      </c>
    </row>
    <row r="204" ht="15.75" customHeight="1">
      <c r="E204" s="15"/>
      <c r="F204" s="10"/>
      <c r="G204" s="10">
        <f t="shared" si="1"/>
        <v>0</v>
      </c>
    </row>
    <row r="205" ht="15.75" customHeight="1">
      <c r="E205" s="15"/>
      <c r="F205" s="10"/>
      <c r="G205" s="10">
        <f t="shared" si="1"/>
        <v>0</v>
      </c>
    </row>
    <row r="206" ht="15.75" customHeight="1">
      <c r="E206" s="15"/>
      <c r="F206" s="10"/>
      <c r="G206" s="10">
        <f t="shared" si="1"/>
        <v>0</v>
      </c>
    </row>
    <row r="207" ht="15.75" customHeight="1">
      <c r="E207" s="15"/>
      <c r="F207" s="10"/>
      <c r="G207" s="10">
        <f t="shared" si="1"/>
        <v>0</v>
      </c>
    </row>
    <row r="208" ht="15.75" customHeight="1">
      <c r="E208" s="15"/>
      <c r="F208" s="10"/>
      <c r="G208" s="10">
        <f t="shared" si="1"/>
        <v>0</v>
      </c>
    </row>
    <row r="209" ht="15.75" customHeight="1">
      <c r="E209" s="15"/>
      <c r="F209" s="10"/>
      <c r="G209" s="10">
        <f t="shared" si="1"/>
        <v>0</v>
      </c>
    </row>
    <row r="210" ht="15.75" customHeight="1">
      <c r="E210" s="15"/>
      <c r="F210" s="10"/>
      <c r="G210" s="10">
        <f t="shared" si="1"/>
        <v>0</v>
      </c>
    </row>
    <row r="211" ht="15.75" customHeight="1">
      <c r="E211" s="15"/>
      <c r="F211" s="10"/>
      <c r="G211" s="10">
        <f t="shared" si="1"/>
        <v>0</v>
      </c>
    </row>
    <row r="212" ht="15.75" customHeight="1">
      <c r="E212" s="15"/>
      <c r="F212" s="10"/>
      <c r="G212" s="10">
        <f t="shared" si="1"/>
        <v>0</v>
      </c>
    </row>
    <row r="213" ht="15.75" customHeight="1">
      <c r="E213" s="15"/>
      <c r="F213" s="10"/>
      <c r="G213" s="10">
        <f t="shared" si="1"/>
        <v>0</v>
      </c>
    </row>
    <row r="214" ht="15.75" customHeight="1">
      <c r="E214" s="15"/>
      <c r="F214" s="10"/>
      <c r="G214" s="10">
        <f t="shared" si="1"/>
        <v>0</v>
      </c>
    </row>
    <row r="215" ht="15.75" customHeight="1">
      <c r="E215" s="15"/>
      <c r="F215" s="10"/>
      <c r="G215" s="10">
        <f t="shared" si="1"/>
        <v>0</v>
      </c>
    </row>
    <row r="216" ht="15.75" customHeight="1">
      <c r="E216" s="15"/>
      <c r="F216" s="10"/>
      <c r="G216" s="10">
        <f t="shared" si="1"/>
        <v>0</v>
      </c>
    </row>
    <row r="217" ht="15.75" customHeight="1">
      <c r="E217" s="15"/>
      <c r="F217" s="10"/>
      <c r="G217" s="10">
        <f t="shared" si="1"/>
        <v>0</v>
      </c>
    </row>
    <row r="218" ht="15.75" customHeight="1">
      <c r="E218" s="15"/>
      <c r="F218" s="10"/>
      <c r="G218" s="10">
        <f t="shared" si="1"/>
        <v>0</v>
      </c>
    </row>
    <row r="219" ht="15.75" customHeight="1">
      <c r="E219" s="15"/>
      <c r="F219" s="10"/>
      <c r="G219" s="10">
        <f t="shared" si="1"/>
        <v>0</v>
      </c>
    </row>
    <row r="220" ht="15.75" customHeight="1">
      <c r="E220" s="15"/>
      <c r="F220" s="10"/>
      <c r="G220" s="10">
        <f t="shared" si="1"/>
        <v>0</v>
      </c>
    </row>
    <row r="221" ht="15.75" customHeight="1">
      <c r="E221" s="15"/>
      <c r="F221" s="10"/>
      <c r="G221" s="10">
        <f t="shared" si="1"/>
        <v>0</v>
      </c>
    </row>
    <row r="222" ht="15.75" customHeight="1">
      <c r="F222" s="11"/>
      <c r="G222" s="11">
        <f t="shared" si="1"/>
        <v>0</v>
      </c>
    </row>
    <row r="223" ht="15.75" customHeight="1">
      <c r="F223" s="11"/>
      <c r="G223" s="11">
        <f t="shared" si="1"/>
        <v>0</v>
      </c>
    </row>
    <row r="224" ht="15.75" customHeight="1">
      <c r="F224" s="11"/>
      <c r="G224" s="11">
        <f t="shared" si="1"/>
        <v>0</v>
      </c>
    </row>
    <row r="225" ht="15.75" customHeight="1">
      <c r="F225" s="11"/>
      <c r="G225" s="11">
        <f t="shared" si="1"/>
        <v>0</v>
      </c>
    </row>
    <row r="226" ht="15.75" customHeight="1">
      <c r="F226" s="11"/>
      <c r="G226" s="11">
        <f t="shared" si="1"/>
        <v>0</v>
      </c>
    </row>
    <row r="227" ht="15.75" customHeight="1">
      <c r="F227" s="11"/>
      <c r="G227" s="11">
        <f t="shared" si="1"/>
        <v>0</v>
      </c>
    </row>
    <row r="228" ht="15.75" customHeight="1">
      <c r="F228" s="11"/>
      <c r="G228" s="11">
        <f t="shared" si="1"/>
        <v>0</v>
      </c>
    </row>
    <row r="229" ht="15.75" customHeight="1">
      <c r="F229" s="11"/>
      <c r="G229" s="11">
        <f t="shared" si="1"/>
        <v>0</v>
      </c>
    </row>
    <row r="230" ht="15.75" customHeight="1">
      <c r="F230" s="11"/>
      <c r="G230" s="11">
        <f t="shared" si="1"/>
        <v>0</v>
      </c>
    </row>
    <row r="231" ht="15.75" customHeight="1">
      <c r="F231" s="11"/>
      <c r="G231" s="11">
        <f t="shared" si="1"/>
        <v>0</v>
      </c>
    </row>
    <row r="232" ht="15.75" customHeight="1">
      <c r="F232" s="11"/>
      <c r="G232" s="11">
        <f t="shared" si="1"/>
        <v>0</v>
      </c>
    </row>
    <row r="233" ht="15.75" customHeight="1">
      <c r="F233" s="11"/>
      <c r="G233" s="11">
        <f t="shared" si="1"/>
        <v>0</v>
      </c>
    </row>
    <row r="234" ht="15.75" customHeight="1">
      <c r="F234" s="11"/>
      <c r="G234" s="11">
        <f t="shared" si="1"/>
        <v>0</v>
      </c>
    </row>
    <row r="235" ht="15.75" customHeight="1">
      <c r="F235" s="11"/>
      <c r="G235" s="11">
        <f t="shared" si="1"/>
        <v>0</v>
      </c>
    </row>
    <row r="236" ht="15.75" customHeight="1">
      <c r="F236" s="11"/>
      <c r="G236" s="11">
        <f t="shared" si="1"/>
        <v>0</v>
      </c>
    </row>
    <row r="237" ht="15.75" customHeight="1">
      <c r="F237" s="11"/>
      <c r="G237" s="11">
        <f t="shared" si="1"/>
        <v>0</v>
      </c>
    </row>
    <row r="238" ht="15.75" customHeight="1">
      <c r="F238" s="11"/>
      <c r="G238" s="11">
        <f t="shared" si="1"/>
        <v>0</v>
      </c>
    </row>
    <row r="239" ht="15.75" customHeight="1">
      <c r="F239" s="11"/>
      <c r="G239" s="11">
        <f t="shared" si="1"/>
        <v>0</v>
      </c>
    </row>
    <row r="240" ht="15.75" customHeight="1">
      <c r="F240" s="11"/>
      <c r="G240" s="11">
        <f t="shared" si="1"/>
        <v>0</v>
      </c>
    </row>
    <row r="241" ht="15.75" customHeight="1">
      <c r="F241" s="11"/>
      <c r="G241" s="11">
        <f t="shared" si="1"/>
        <v>0</v>
      </c>
    </row>
    <row r="242" ht="15.75" customHeight="1">
      <c r="F242" s="11"/>
      <c r="G242" s="11">
        <f t="shared" si="1"/>
        <v>0</v>
      </c>
    </row>
    <row r="243" ht="15.75" customHeight="1">
      <c r="F243" s="11"/>
      <c r="G243" s="11">
        <f t="shared" si="1"/>
        <v>0</v>
      </c>
    </row>
    <row r="244" ht="15.75" customHeight="1">
      <c r="F244" s="11"/>
      <c r="G244" s="11">
        <f t="shared" si="1"/>
        <v>0</v>
      </c>
    </row>
    <row r="245" ht="15.75" customHeight="1">
      <c r="F245" s="11"/>
      <c r="G245" s="11">
        <f t="shared" si="1"/>
        <v>0</v>
      </c>
    </row>
    <row r="246" ht="15.75" customHeight="1">
      <c r="F246" s="11"/>
      <c r="G246" s="11">
        <f t="shared" si="1"/>
        <v>0</v>
      </c>
    </row>
    <row r="247" ht="15.75" customHeight="1">
      <c r="F247" s="11"/>
      <c r="G247" s="11">
        <f t="shared" si="1"/>
        <v>0</v>
      </c>
    </row>
    <row r="248" ht="15.75" customHeight="1">
      <c r="F248" s="11"/>
      <c r="G248" s="11">
        <f t="shared" si="1"/>
        <v>0</v>
      </c>
    </row>
    <row r="249" ht="15.75" customHeight="1">
      <c r="F249" s="11"/>
      <c r="G249" s="11">
        <f t="shared" si="1"/>
        <v>0</v>
      </c>
    </row>
    <row r="250" ht="15.75" customHeight="1">
      <c r="F250" s="11"/>
      <c r="G250" s="11">
        <f t="shared" si="1"/>
        <v>0</v>
      </c>
    </row>
    <row r="251" ht="15.75" customHeight="1">
      <c r="F251" s="11"/>
      <c r="G251" s="11">
        <f t="shared" si="1"/>
        <v>0</v>
      </c>
    </row>
    <row r="252" ht="15.75" customHeight="1">
      <c r="F252" s="11"/>
      <c r="G252" s="11">
        <f t="shared" si="1"/>
        <v>0</v>
      </c>
    </row>
    <row r="253" ht="15.75" customHeight="1">
      <c r="F253" s="11"/>
      <c r="G253" s="11">
        <f t="shared" si="1"/>
        <v>0</v>
      </c>
    </row>
    <row r="254" ht="15.75" customHeight="1">
      <c r="F254" s="11"/>
      <c r="G254" s="11">
        <f t="shared" si="1"/>
        <v>0</v>
      </c>
    </row>
    <row r="255" ht="15.75" customHeight="1">
      <c r="F255" s="11"/>
      <c r="G255" s="11">
        <f t="shared" si="1"/>
        <v>0</v>
      </c>
    </row>
    <row r="256" ht="15.75" customHeight="1">
      <c r="F256" s="11"/>
      <c r="G256" s="11">
        <f t="shared" si="1"/>
        <v>0</v>
      </c>
    </row>
    <row r="257" ht="15.75" customHeight="1">
      <c r="F257" s="11"/>
      <c r="G257" s="11">
        <f t="shared" si="1"/>
        <v>0</v>
      </c>
    </row>
    <row r="258" ht="15.75" customHeight="1">
      <c r="F258" s="11"/>
      <c r="G258" s="11">
        <f t="shared" si="1"/>
        <v>0</v>
      </c>
    </row>
    <row r="259" ht="15.75" customHeight="1">
      <c r="F259" s="11"/>
      <c r="G259" s="11">
        <f t="shared" si="1"/>
        <v>0</v>
      </c>
    </row>
    <row r="260" ht="15.75" customHeight="1">
      <c r="F260" s="11"/>
      <c r="G260" s="11">
        <f t="shared" si="1"/>
        <v>0</v>
      </c>
    </row>
    <row r="261" ht="15.75" customHeight="1">
      <c r="F261" s="11"/>
      <c r="G261" s="11">
        <f t="shared" si="1"/>
        <v>0</v>
      </c>
    </row>
    <row r="262" ht="15.75" customHeight="1">
      <c r="F262" s="11"/>
      <c r="G262" s="11">
        <f t="shared" si="1"/>
        <v>0</v>
      </c>
    </row>
    <row r="263" ht="15.75" customHeight="1">
      <c r="F263" s="11"/>
      <c r="G263" s="11">
        <f t="shared" si="1"/>
        <v>0</v>
      </c>
    </row>
    <row r="264" ht="15.75" customHeight="1">
      <c r="F264" s="11"/>
      <c r="G264" s="11">
        <f t="shared" si="1"/>
        <v>0</v>
      </c>
    </row>
    <row r="265" ht="15.75" customHeight="1">
      <c r="F265" s="11"/>
      <c r="G265" s="11">
        <f t="shared" si="1"/>
        <v>0</v>
      </c>
    </row>
    <row r="266" ht="15.75" customHeight="1">
      <c r="F266" s="11"/>
      <c r="G266" s="11">
        <f t="shared" si="1"/>
        <v>0</v>
      </c>
    </row>
    <row r="267" ht="15.75" customHeight="1">
      <c r="F267" s="11"/>
      <c r="G267" s="11">
        <f t="shared" si="1"/>
        <v>0</v>
      </c>
    </row>
    <row r="268" ht="15.75" customHeight="1">
      <c r="F268" s="11"/>
      <c r="G268" s="11">
        <f t="shared" si="1"/>
        <v>0</v>
      </c>
    </row>
    <row r="269" ht="15.75" customHeight="1">
      <c r="F269" s="11"/>
      <c r="G269" s="11">
        <f t="shared" si="1"/>
        <v>0</v>
      </c>
    </row>
    <row r="270" ht="15.75" customHeight="1">
      <c r="F270" s="11"/>
      <c r="G270" s="11">
        <f t="shared" si="1"/>
        <v>0</v>
      </c>
    </row>
    <row r="271" ht="15.75" customHeight="1">
      <c r="F271" s="11"/>
      <c r="G271" s="11">
        <f t="shared" si="1"/>
        <v>0</v>
      </c>
    </row>
    <row r="272" ht="15.75" customHeight="1">
      <c r="F272" s="11"/>
      <c r="G272" s="11">
        <f t="shared" si="1"/>
        <v>0</v>
      </c>
    </row>
    <row r="273" ht="15.75" customHeight="1">
      <c r="F273" s="11"/>
      <c r="G273" s="11">
        <f t="shared" si="1"/>
        <v>0</v>
      </c>
    </row>
    <row r="274" ht="15.75" customHeight="1">
      <c r="F274" s="11"/>
      <c r="G274" s="11">
        <f t="shared" si="1"/>
        <v>0</v>
      </c>
    </row>
    <row r="275" ht="15.75" customHeight="1">
      <c r="F275" s="11"/>
      <c r="G275" s="11">
        <f t="shared" si="1"/>
        <v>0</v>
      </c>
    </row>
    <row r="276" ht="15.75" customHeight="1">
      <c r="F276" s="11"/>
      <c r="G276" s="11">
        <f t="shared" si="1"/>
        <v>0</v>
      </c>
    </row>
    <row r="277" ht="15.75" customHeight="1">
      <c r="F277" s="11"/>
      <c r="G277" s="11">
        <f t="shared" si="1"/>
        <v>0</v>
      </c>
    </row>
    <row r="278" ht="15.75" customHeight="1">
      <c r="F278" s="11"/>
      <c r="G278" s="11">
        <f t="shared" si="1"/>
        <v>0</v>
      </c>
    </row>
    <row r="279" ht="15.75" customHeight="1">
      <c r="F279" s="11"/>
      <c r="G279" s="11">
        <f t="shared" si="1"/>
        <v>0</v>
      </c>
    </row>
    <row r="280" ht="15.75" customHeight="1">
      <c r="F280" s="11"/>
      <c r="G280" s="11">
        <f t="shared" si="1"/>
        <v>0</v>
      </c>
    </row>
    <row r="281" ht="15.75" customHeight="1">
      <c r="F281" s="11"/>
      <c r="G281" s="11">
        <f t="shared" si="1"/>
        <v>0</v>
      </c>
    </row>
    <row r="282" ht="15.75" customHeight="1">
      <c r="F282" s="11"/>
      <c r="G282" s="11">
        <f t="shared" si="1"/>
        <v>0</v>
      </c>
    </row>
    <row r="283" ht="15.75" customHeight="1">
      <c r="F283" s="11"/>
      <c r="G283" s="11">
        <f t="shared" si="1"/>
        <v>0</v>
      </c>
    </row>
    <row r="284" ht="15.75" customHeight="1">
      <c r="F284" s="11"/>
      <c r="G284" s="11">
        <f t="shared" si="1"/>
        <v>0</v>
      </c>
    </row>
    <row r="285" ht="15.75" customHeight="1">
      <c r="F285" s="11"/>
      <c r="G285" s="11">
        <f t="shared" si="1"/>
        <v>0</v>
      </c>
    </row>
    <row r="286" ht="15.75" customHeight="1">
      <c r="F286" s="11"/>
      <c r="G286" s="11">
        <f t="shared" si="1"/>
        <v>0</v>
      </c>
    </row>
    <row r="287" ht="15.75" customHeight="1">
      <c r="F287" s="11"/>
      <c r="G287" s="11">
        <f t="shared" si="1"/>
        <v>0</v>
      </c>
    </row>
    <row r="288" ht="15.75" customHeight="1">
      <c r="F288" s="11"/>
      <c r="G288" s="11">
        <f t="shared" si="1"/>
        <v>0</v>
      </c>
    </row>
    <row r="289" ht="15.75" customHeight="1">
      <c r="F289" s="11"/>
      <c r="G289" s="11">
        <f t="shared" si="1"/>
        <v>0</v>
      </c>
    </row>
    <row r="290" ht="15.75" customHeight="1">
      <c r="F290" s="11"/>
      <c r="G290" s="11">
        <f t="shared" si="1"/>
        <v>0</v>
      </c>
    </row>
    <row r="291" ht="15.75" customHeight="1">
      <c r="F291" s="11"/>
      <c r="G291" s="11">
        <f t="shared" si="1"/>
        <v>0</v>
      </c>
    </row>
    <row r="292" ht="15.75" customHeight="1">
      <c r="F292" s="11"/>
      <c r="G292" s="11">
        <f t="shared" si="1"/>
        <v>0</v>
      </c>
    </row>
    <row r="293" ht="15.75" customHeight="1">
      <c r="F293" s="11"/>
      <c r="G293" s="11">
        <f t="shared" si="1"/>
        <v>0</v>
      </c>
    </row>
    <row r="294" ht="15.75" customHeight="1">
      <c r="F294" s="11"/>
      <c r="G294" s="11">
        <f t="shared" si="1"/>
        <v>0</v>
      </c>
    </row>
    <row r="295" ht="15.75" customHeight="1">
      <c r="F295" s="11"/>
      <c r="G295" s="11">
        <f t="shared" si="1"/>
        <v>0</v>
      </c>
    </row>
    <row r="296" ht="15.75" customHeight="1">
      <c r="F296" s="11"/>
      <c r="G296" s="11">
        <f t="shared" si="1"/>
        <v>0</v>
      </c>
    </row>
    <row r="297" ht="15.75" customHeight="1">
      <c r="F297" s="11"/>
      <c r="G297" s="11">
        <f t="shared" si="1"/>
        <v>0</v>
      </c>
    </row>
    <row r="298" ht="15.75" customHeight="1">
      <c r="F298" s="11"/>
      <c r="G298" s="11">
        <f t="shared" si="1"/>
        <v>0</v>
      </c>
    </row>
    <row r="299" ht="15.75" customHeight="1">
      <c r="F299" s="11"/>
      <c r="G299" s="11">
        <f t="shared" si="1"/>
        <v>0</v>
      </c>
    </row>
    <row r="300" ht="15.75" customHeight="1">
      <c r="F300" s="11"/>
      <c r="G300" s="11">
        <f t="shared" si="1"/>
        <v>0</v>
      </c>
    </row>
    <row r="301" ht="15.75" customHeight="1">
      <c r="F301" s="11"/>
      <c r="G301" s="11">
        <f t="shared" si="1"/>
        <v>0</v>
      </c>
    </row>
    <row r="302" ht="15.75" customHeight="1">
      <c r="F302" s="11"/>
      <c r="G302" s="11">
        <f t="shared" si="1"/>
        <v>0</v>
      </c>
    </row>
    <row r="303" ht="15.75" customHeight="1">
      <c r="F303" s="11"/>
      <c r="G303" s="11">
        <f t="shared" si="1"/>
        <v>0</v>
      </c>
    </row>
    <row r="304" ht="15.75" customHeight="1">
      <c r="F304" s="11"/>
      <c r="G304" s="11">
        <f t="shared" si="1"/>
        <v>0</v>
      </c>
    </row>
    <row r="305" ht="15.75" customHeight="1">
      <c r="F305" s="11"/>
      <c r="G305" s="11">
        <f t="shared" si="1"/>
        <v>0</v>
      </c>
    </row>
    <row r="306" ht="15.75" customHeight="1">
      <c r="F306" s="11"/>
      <c r="G306" s="11">
        <f t="shared" si="1"/>
        <v>0</v>
      </c>
    </row>
    <row r="307" ht="15.75" customHeight="1">
      <c r="F307" s="11"/>
      <c r="G307" s="11">
        <f t="shared" si="1"/>
        <v>0</v>
      </c>
    </row>
    <row r="308" ht="15.75" customHeight="1">
      <c r="F308" s="11"/>
      <c r="G308" s="11">
        <f t="shared" si="1"/>
        <v>0</v>
      </c>
    </row>
    <row r="309" ht="15.75" customHeight="1">
      <c r="F309" s="11"/>
      <c r="G309" s="11">
        <f t="shared" si="1"/>
        <v>0</v>
      </c>
    </row>
    <row r="310" ht="15.75" customHeight="1">
      <c r="F310" s="11"/>
      <c r="G310" s="11">
        <f t="shared" si="1"/>
        <v>0</v>
      </c>
    </row>
    <row r="311" ht="15.75" customHeight="1">
      <c r="F311" s="11"/>
      <c r="G311" s="11">
        <f t="shared" si="1"/>
        <v>0</v>
      </c>
    </row>
    <row r="312" ht="15.75" customHeight="1">
      <c r="F312" s="11"/>
      <c r="G312" s="11">
        <f t="shared" si="1"/>
        <v>0</v>
      </c>
    </row>
    <row r="313" ht="15.75" customHeight="1">
      <c r="F313" s="11"/>
      <c r="G313" s="11">
        <f t="shared" si="1"/>
        <v>0</v>
      </c>
    </row>
    <row r="314" ht="15.75" customHeight="1">
      <c r="F314" s="11"/>
      <c r="G314" s="11">
        <f t="shared" si="1"/>
        <v>0</v>
      </c>
    </row>
    <row r="315" ht="15.75" customHeight="1">
      <c r="F315" s="11"/>
      <c r="G315" s="11">
        <f t="shared" si="1"/>
        <v>0</v>
      </c>
    </row>
    <row r="316" ht="15.75" customHeight="1">
      <c r="F316" s="11"/>
      <c r="G316" s="11">
        <f t="shared" si="1"/>
        <v>0</v>
      </c>
    </row>
    <row r="317" ht="15.75" customHeight="1">
      <c r="F317" s="11"/>
      <c r="G317" s="11">
        <f t="shared" si="1"/>
        <v>0</v>
      </c>
    </row>
    <row r="318" ht="15.75" customHeight="1">
      <c r="F318" s="11"/>
      <c r="G318" s="11">
        <f t="shared" si="1"/>
        <v>0</v>
      </c>
    </row>
    <row r="319" ht="15.75" customHeight="1">
      <c r="F319" s="11"/>
      <c r="G319" s="11">
        <f t="shared" si="1"/>
        <v>0</v>
      </c>
    </row>
    <row r="320" ht="15.75" customHeight="1">
      <c r="F320" s="11"/>
      <c r="G320" s="11">
        <f t="shared" si="1"/>
        <v>0</v>
      </c>
    </row>
    <row r="321" ht="15.75" customHeight="1">
      <c r="F321" s="11"/>
      <c r="G321" s="11">
        <f t="shared" si="1"/>
        <v>0</v>
      </c>
    </row>
    <row r="322" ht="15.75" customHeight="1">
      <c r="F322" s="11"/>
      <c r="G322" s="11">
        <f t="shared" si="1"/>
        <v>0</v>
      </c>
    </row>
    <row r="323" ht="15.75" customHeight="1">
      <c r="F323" s="11"/>
      <c r="G323" s="11">
        <f t="shared" si="1"/>
        <v>0</v>
      </c>
    </row>
    <row r="324" ht="15.75" customHeight="1">
      <c r="F324" s="11"/>
      <c r="G324" s="11">
        <f t="shared" si="1"/>
        <v>0</v>
      </c>
    </row>
    <row r="325" ht="15.75" customHeight="1">
      <c r="F325" s="11"/>
      <c r="G325" s="11">
        <f t="shared" si="1"/>
        <v>0</v>
      </c>
    </row>
    <row r="326" ht="15.75" customHeight="1">
      <c r="F326" s="11"/>
      <c r="G326" s="11">
        <f t="shared" si="1"/>
        <v>0</v>
      </c>
    </row>
    <row r="327" ht="15.75" customHeight="1">
      <c r="F327" s="11"/>
      <c r="G327" s="11">
        <f t="shared" si="1"/>
        <v>0</v>
      </c>
    </row>
    <row r="328" ht="15.75" customHeight="1">
      <c r="F328" s="11"/>
      <c r="G328" s="11">
        <f t="shared" si="1"/>
        <v>0</v>
      </c>
    </row>
    <row r="329" ht="15.75" customHeight="1">
      <c r="F329" s="11"/>
      <c r="G329" s="11">
        <f t="shared" si="1"/>
        <v>0</v>
      </c>
    </row>
    <row r="330" ht="15.75" customHeight="1">
      <c r="F330" s="11"/>
      <c r="G330" s="11">
        <f t="shared" si="1"/>
        <v>0</v>
      </c>
    </row>
    <row r="331" ht="15.75" customHeight="1">
      <c r="F331" s="11"/>
      <c r="G331" s="11">
        <f t="shared" si="1"/>
        <v>0</v>
      </c>
    </row>
    <row r="332" ht="15.75" customHeight="1">
      <c r="F332" s="11"/>
      <c r="G332" s="11">
        <f t="shared" si="1"/>
        <v>0</v>
      </c>
    </row>
    <row r="333" ht="15.75" customHeight="1">
      <c r="F333" s="11"/>
      <c r="G333" s="11">
        <f t="shared" si="1"/>
        <v>0</v>
      </c>
    </row>
    <row r="334" ht="15.75" customHeight="1">
      <c r="F334" s="11"/>
      <c r="G334" s="11">
        <f t="shared" si="1"/>
        <v>0</v>
      </c>
    </row>
    <row r="335" ht="15.75" customHeight="1">
      <c r="F335" s="11"/>
      <c r="G335" s="11">
        <f t="shared" si="1"/>
        <v>0</v>
      </c>
    </row>
    <row r="336" ht="15.75" customHeight="1">
      <c r="F336" s="11"/>
      <c r="G336" s="11">
        <f t="shared" si="1"/>
        <v>0</v>
      </c>
    </row>
    <row r="337" ht="15.75" customHeight="1">
      <c r="F337" s="11"/>
      <c r="G337" s="11">
        <f t="shared" si="1"/>
        <v>0</v>
      </c>
    </row>
    <row r="338" ht="15.75" customHeight="1">
      <c r="F338" s="11"/>
      <c r="G338" s="11">
        <f t="shared" si="1"/>
        <v>0</v>
      </c>
    </row>
    <row r="339" ht="15.75" customHeight="1">
      <c r="F339" s="11"/>
      <c r="G339" s="11">
        <f t="shared" si="1"/>
        <v>0</v>
      </c>
    </row>
    <row r="340" ht="15.75" customHeight="1">
      <c r="F340" s="11"/>
      <c r="G340" s="11">
        <f t="shared" si="1"/>
        <v>0</v>
      </c>
    </row>
    <row r="341" ht="15.75" customHeight="1">
      <c r="F341" s="11"/>
      <c r="G341" s="11">
        <f t="shared" si="1"/>
        <v>0</v>
      </c>
    </row>
    <row r="342" ht="15.75" customHeight="1">
      <c r="F342" s="11"/>
      <c r="G342" s="11">
        <f t="shared" si="1"/>
        <v>0</v>
      </c>
    </row>
    <row r="343" ht="15.75" customHeight="1">
      <c r="F343" s="11"/>
      <c r="G343" s="11">
        <f t="shared" si="1"/>
        <v>0</v>
      </c>
    </row>
    <row r="344" ht="15.75" customHeight="1">
      <c r="F344" s="11"/>
      <c r="G344" s="11">
        <f t="shared" si="1"/>
        <v>0</v>
      </c>
    </row>
    <row r="345" ht="15.75" customHeight="1">
      <c r="F345" s="11"/>
      <c r="G345" s="11">
        <f t="shared" si="1"/>
        <v>0</v>
      </c>
    </row>
    <row r="346" ht="15.75" customHeight="1">
      <c r="F346" s="11"/>
      <c r="G346" s="11">
        <f t="shared" si="1"/>
        <v>0</v>
      </c>
    </row>
    <row r="347" ht="15.75" customHeight="1">
      <c r="F347" s="11"/>
      <c r="G347" s="11">
        <f t="shared" si="1"/>
        <v>0</v>
      </c>
    </row>
    <row r="348" ht="15.75" customHeight="1">
      <c r="F348" s="11"/>
      <c r="G348" s="11">
        <f t="shared" si="1"/>
        <v>0</v>
      </c>
    </row>
    <row r="349" ht="15.75" customHeight="1">
      <c r="F349" s="11"/>
      <c r="G349" s="11">
        <f t="shared" si="1"/>
        <v>0</v>
      </c>
    </row>
    <row r="350" ht="15.75" customHeight="1">
      <c r="F350" s="11"/>
      <c r="G350" s="11">
        <f t="shared" si="1"/>
        <v>0</v>
      </c>
    </row>
    <row r="351" ht="15.75" customHeight="1">
      <c r="F351" s="11"/>
      <c r="G351" s="11">
        <f t="shared" si="1"/>
        <v>0</v>
      </c>
    </row>
    <row r="352" ht="15.75" customHeight="1">
      <c r="F352" s="11"/>
      <c r="G352" s="11">
        <f t="shared" si="1"/>
        <v>0</v>
      </c>
    </row>
    <row r="353" ht="15.75" customHeight="1">
      <c r="F353" s="11"/>
      <c r="G353" s="11">
        <f t="shared" si="1"/>
        <v>0</v>
      </c>
    </row>
    <row r="354" ht="15.75" customHeight="1">
      <c r="F354" s="11"/>
      <c r="G354" s="11">
        <f t="shared" si="1"/>
        <v>0</v>
      </c>
    </row>
    <row r="355" ht="15.75" customHeight="1">
      <c r="F355" s="11"/>
      <c r="G355" s="11">
        <f t="shared" si="1"/>
        <v>0</v>
      </c>
    </row>
    <row r="356" ht="15.75" customHeight="1">
      <c r="F356" s="11"/>
      <c r="G356" s="11">
        <f t="shared" si="1"/>
        <v>0</v>
      </c>
    </row>
    <row r="357" ht="15.75" customHeight="1">
      <c r="F357" s="11"/>
      <c r="G357" s="11">
        <f t="shared" si="1"/>
        <v>0</v>
      </c>
    </row>
    <row r="358" ht="15.75" customHeight="1">
      <c r="F358" s="11"/>
      <c r="G358" s="11">
        <f t="shared" si="1"/>
        <v>0</v>
      </c>
    </row>
    <row r="359" ht="15.75" customHeight="1">
      <c r="F359" s="11"/>
      <c r="G359" s="11">
        <f t="shared" si="1"/>
        <v>0</v>
      </c>
    </row>
    <row r="360" ht="15.75" customHeight="1">
      <c r="F360" s="11"/>
      <c r="G360" s="11">
        <f t="shared" si="1"/>
        <v>0</v>
      </c>
    </row>
    <row r="361" ht="15.75" customHeight="1">
      <c r="F361" s="11"/>
      <c r="G361" s="11">
        <f t="shared" si="1"/>
        <v>0</v>
      </c>
    </row>
    <row r="362" ht="15.75" customHeight="1">
      <c r="F362" s="11"/>
      <c r="G362" s="11">
        <f t="shared" si="1"/>
        <v>0</v>
      </c>
    </row>
    <row r="363" ht="15.75" customHeight="1">
      <c r="F363" s="11"/>
      <c r="G363" s="11">
        <f t="shared" si="1"/>
        <v>0</v>
      </c>
    </row>
    <row r="364" ht="15.75" customHeight="1">
      <c r="F364" s="11"/>
      <c r="G364" s="11">
        <f t="shared" si="1"/>
        <v>0</v>
      </c>
    </row>
    <row r="365" ht="15.75" customHeight="1">
      <c r="F365" s="11"/>
      <c r="G365" s="11">
        <f t="shared" si="1"/>
        <v>0</v>
      </c>
    </row>
    <row r="366" ht="15.75" customHeight="1">
      <c r="F366" s="11"/>
      <c r="G366" s="11">
        <f t="shared" si="1"/>
        <v>0</v>
      </c>
    </row>
    <row r="367" ht="15.75" customHeight="1">
      <c r="F367" s="11"/>
      <c r="G367" s="11">
        <f t="shared" si="1"/>
        <v>0</v>
      </c>
    </row>
    <row r="368" ht="15.75" customHeight="1">
      <c r="F368" s="11"/>
      <c r="G368" s="11">
        <f t="shared" si="1"/>
        <v>0</v>
      </c>
    </row>
    <row r="369" ht="15.75" customHeight="1">
      <c r="F369" s="11"/>
      <c r="G369" s="11">
        <f t="shared" si="1"/>
        <v>0</v>
      </c>
    </row>
    <row r="370" ht="15.75" customHeight="1">
      <c r="F370" s="11"/>
      <c r="G370" s="11">
        <f t="shared" si="1"/>
        <v>0</v>
      </c>
    </row>
    <row r="371" ht="15.75" customHeight="1">
      <c r="F371" s="11"/>
      <c r="G371" s="11">
        <f t="shared" si="1"/>
        <v>0</v>
      </c>
    </row>
    <row r="372" ht="15.75" customHeight="1">
      <c r="F372" s="11"/>
      <c r="G372" s="11">
        <f t="shared" si="1"/>
        <v>0</v>
      </c>
    </row>
    <row r="373" ht="15.75" customHeight="1">
      <c r="F373" s="11"/>
      <c r="G373" s="11">
        <f t="shared" si="1"/>
        <v>0</v>
      </c>
    </row>
    <row r="374" ht="15.75" customHeight="1">
      <c r="F374" s="11"/>
      <c r="G374" s="11">
        <f t="shared" si="1"/>
        <v>0</v>
      </c>
    </row>
    <row r="375" ht="15.75" customHeight="1">
      <c r="F375" s="11"/>
      <c r="G375" s="11">
        <f t="shared" si="1"/>
        <v>0</v>
      </c>
    </row>
    <row r="376" ht="15.75" customHeight="1">
      <c r="F376" s="11"/>
      <c r="G376" s="11">
        <f t="shared" si="1"/>
        <v>0</v>
      </c>
    </row>
    <row r="377" ht="15.75" customHeight="1">
      <c r="F377" s="11"/>
      <c r="G377" s="11">
        <f t="shared" si="1"/>
        <v>0</v>
      </c>
    </row>
    <row r="378" ht="15.75" customHeight="1">
      <c r="F378" s="11"/>
      <c r="G378" s="11">
        <f t="shared" si="1"/>
        <v>0</v>
      </c>
    </row>
    <row r="379" ht="15.75" customHeight="1">
      <c r="F379" s="11"/>
      <c r="G379" s="11">
        <f t="shared" si="1"/>
        <v>0</v>
      </c>
    </row>
    <row r="380" ht="15.75" customHeight="1">
      <c r="F380" s="11"/>
      <c r="G380" s="11">
        <f t="shared" si="1"/>
        <v>0</v>
      </c>
    </row>
    <row r="381" ht="15.75" customHeight="1">
      <c r="F381" s="11"/>
      <c r="G381" s="11">
        <f t="shared" si="1"/>
        <v>0</v>
      </c>
    </row>
    <row r="382" ht="15.75" customHeight="1">
      <c r="F382" s="11"/>
      <c r="G382" s="11">
        <f t="shared" si="1"/>
        <v>0</v>
      </c>
    </row>
    <row r="383" ht="15.75" customHeight="1">
      <c r="F383" s="11"/>
      <c r="G383" s="11">
        <f t="shared" si="1"/>
        <v>0</v>
      </c>
    </row>
    <row r="384" ht="15.75" customHeight="1">
      <c r="F384" s="11"/>
      <c r="G384" s="11">
        <f t="shared" si="1"/>
        <v>0</v>
      </c>
    </row>
    <row r="385" ht="15.75" customHeight="1">
      <c r="F385" s="11"/>
      <c r="G385" s="11">
        <f t="shared" si="1"/>
        <v>0</v>
      </c>
    </row>
    <row r="386" ht="15.75" customHeight="1">
      <c r="F386" s="11"/>
      <c r="G386" s="11">
        <f t="shared" si="1"/>
        <v>0</v>
      </c>
    </row>
    <row r="387" ht="15.75" customHeight="1">
      <c r="F387" s="11"/>
      <c r="G387" s="11">
        <f t="shared" si="1"/>
        <v>0</v>
      </c>
    </row>
    <row r="388" ht="15.75" customHeight="1">
      <c r="F388" s="11"/>
      <c r="G388" s="11">
        <f t="shared" si="1"/>
        <v>0</v>
      </c>
    </row>
    <row r="389" ht="15.75" customHeight="1">
      <c r="F389" s="11"/>
      <c r="G389" s="11">
        <f t="shared" si="1"/>
        <v>0</v>
      </c>
    </row>
    <row r="390" ht="15.75" customHeight="1">
      <c r="F390" s="11"/>
      <c r="G390" s="11">
        <f t="shared" si="1"/>
        <v>0</v>
      </c>
    </row>
    <row r="391" ht="15.75" customHeight="1">
      <c r="F391" s="11"/>
      <c r="G391" s="11">
        <f t="shared" si="1"/>
        <v>0</v>
      </c>
    </row>
    <row r="392" ht="15.75" customHeight="1">
      <c r="F392" s="11"/>
      <c r="G392" s="11">
        <f t="shared" si="1"/>
        <v>0</v>
      </c>
    </row>
    <row r="393" ht="15.75" customHeight="1">
      <c r="F393" s="11"/>
      <c r="G393" s="11">
        <f t="shared" si="1"/>
        <v>0</v>
      </c>
    </row>
    <row r="394" ht="15.75" customHeight="1">
      <c r="F394" s="11"/>
      <c r="G394" s="11">
        <f t="shared" si="1"/>
        <v>0</v>
      </c>
    </row>
    <row r="395" ht="15.75" customHeight="1">
      <c r="F395" s="11"/>
      <c r="G395" s="11">
        <f t="shared" si="1"/>
        <v>0</v>
      </c>
    </row>
    <row r="396" ht="15.75" customHeight="1">
      <c r="F396" s="11"/>
      <c r="G396" s="11">
        <f t="shared" si="1"/>
        <v>0</v>
      </c>
    </row>
    <row r="397" ht="15.75" customHeight="1">
      <c r="F397" s="11"/>
      <c r="G397" s="11">
        <f t="shared" si="1"/>
        <v>0</v>
      </c>
    </row>
    <row r="398" ht="15.75" customHeight="1">
      <c r="F398" s="11"/>
      <c r="G398" s="11">
        <f t="shared" si="1"/>
        <v>0</v>
      </c>
    </row>
    <row r="399" ht="15.75" customHeight="1">
      <c r="F399" s="11"/>
      <c r="G399" s="11">
        <f t="shared" si="1"/>
        <v>0</v>
      </c>
    </row>
    <row r="400" ht="15.75" customHeight="1">
      <c r="F400" s="11"/>
      <c r="G400" s="11">
        <f t="shared" si="1"/>
        <v>0</v>
      </c>
    </row>
    <row r="401" ht="15.75" customHeight="1">
      <c r="F401" s="11"/>
      <c r="G401" s="11">
        <f t="shared" si="1"/>
        <v>0</v>
      </c>
    </row>
    <row r="402" ht="15.75" customHeight="1">
      <c r="F402" s="11"/>
      <c r="G402" s="11">
        <f t="shared" si="1"/>
        <v>0</v>
      </c>
    </row>
    <row r="403" ht="15.75" customHeight="1">
      <c r="F403" s="11"/>
      <c r="G403" s="11">
        <f t="shared" si="1"/>
        <v>0</v>
      </c>
    </row>
    <row r="404" ht="15.75" customHeight="1">
      <c r="F404" s="11"/>
      <c r="G404" s="11">
        <f t="shared" si="1"/>
        <v>0</v>
      </c>
    </row>
    <row r="405" ht="15.75" customHeight="1">
      <c r="F405" s="11"/>
      <c r="G405" s="11">
        <f t="shared" si="1"/>
        <v>0</v>
      </c>
    </row>
    <row r="406" ht="15.75" customHeight="1">
      <c r="F406" s="11"/>
      <c r="G406" s="11">
        <f t="shared" si="1"/>
        <v>0</v>
      </c>
    </row>
    <row r="407" ht="15.75" customHeight="1">
      <c r="F407" s="11"/>
      <c r="G407" s="11">
        <f t="shared" si="1"/>
        <v>0</v>
      </c>
    </row>
    <row r="408" ht="15.75" customHeight="1">
      <c r="F408" s="11"/>
      <c r="G408" s="11">
        <f t="shared" si="1"/>
        <v>0</v>
      </c>
    </row>
    <row r="409" ht="15.75" customHeight="1">
      <c r="F409" s="11"/>
      <c r="G409" s="11">
        <f t="shared" si="1"/>
        <v>0</v>
      </c>
    </row>
    <row r="410" ht="15.75" customHeight="1">
      <c r="F410" s="11"/>
      <c r="G410" s="11">
        <f t="shared" si="1"/>
        <v>0</v>
      </c>
    </row>
    <row r="411" ht="15.75" customHeight="1">
      <c r="F411" s="11"/>
      <c r="G411" s="11">
        <f t="shared" si="1"/>
        <v>0</v>
      </c>
    </row>
    <row r="412" ht="15.75" customHeight="1">
      <c r="F412" s="11"/>
      <c r="G412" s="11">
        <f t="shared" si="1"/>
        <v>0</v>
      </c>
    </row>
    <row r="413" ht="15.75" customHeight="1">
      <c r="F413" s="11"/>
      <c r="G413" s="11">
        <f t="shared" si="1"/>
        <v>0</v>
      </c>
    </row>
    <row r="414" ht="15.75" customHeight="1">
      <c r="F414" s="11"/>
      <c r="G414" s="11">
        <f t="shared" si="1"/>
        <v>0</v>
      </c>
    </row>
    <row r="415" ht="15.75" customHeight="1">
      <c r="F415" s="11"/>
      <c r="G415" s="11">
        <f t="shared" si="1"/>
        <v>0</v>
      </c>
    </row>
    <row r="416" ht="15.75" customHeight="1">
      <c r="F416" s="11"/>
      <c r="G416" s="11">
        <f t="shared" si="1"/>
        <v>0</v>
      </c>
    </row>
    <row r="417" ht="15.75" customHeight="1">
      <c r="F417" s="11"/>
      <c r="G417" s="11">
        <f t="shared" si="1"/>
        <v>0</v>
      </c>
    </row>
    <row r="418" ht="15.75" customHeight="1">
      <c r="F418" s="11"/>
      <c r="G418" s="11">
        <f t="shared" si="1"/>
        <v>0</v>
      </c>
    </row>
    <row r="419" ht="15.75" customHeight="1">
      <c r="F419" s="11"/>
      <c r="G419" s="11">
        <f t="shared" si="1"/>
        <v>0</v>
      </c>
    </row>
    <row r="420" ht="15.75" customHeight="1">
      <c r="F420" s="11"/>
      <c r="G420" s="11">
        <f t="shared" si="1"/>
        <v>0</v>
      </c>
    </row>
    <row r="421" ht="15.75" customHeight="1">
      <c r="F421" s="11"/>
      <c r="G421" s="11">
        <f t="shared" si="1"/>
        <v>0</v>
      </c>
    </row>
    <row r="422" ht="15.75" customHeight="1">
      <c r="F422" s="11"/>
      <c r="G422" s="11">
        <f t="shared" si="1"/>
        <v>0</v>
      </c>
    </row>
    <row r="423" ht="15.75" customHeight="1">
      <c r="F423" s="11"/>
      <c r="G423" s="11">
        <f t="shared" si="1"/>
        <v>0</v>
      </c>
    </row>
    <row r="424" ht="15.75" customHeight="1">
      <c r="F424" s="11"/>
      <c r="G424" s="11">
        <f t="shared" si="1"/>
        <v>0</v>
      </c>
    </row>
    <row r="425" ht="15.75" customHeight="1">
      <c r="F425" s="11"/>
      <c r="G425" s="11">
        <f t="shared" si="1"/>
        <v>0</v>
      </c>
    </row>
    <row r="426" ht="15.75" customHeight="1">
      <c r="F426" s="11"/>
      <c r="G426" s="11">
        <f t="shared" si="1"/>
        <v>0</v>
      </c>
    </row>
    <row r="427" ht="15.75" customHeight="1">
      <c r="F427" s="11"/>
      <c r="G427" s="11">
        <f t="shared" si="1"/>
        <v>0</v>
      </c>
    </row>
    <row r="428" ht="15.75" customHeight="1">
      <c r="F428" s="11"/>
      <c r="G428" s="11">
        <f t="shared" si="1"/>
        <v>0</v>
      </c>
    </row>
    <row r="429" ht="15.75" customHeight="1">
      <c r="F429" s="11"/>
      <c r="G429" s="11">
        <f t="shared" si="1"/>
        <v>0</v>
      </c>
    </row>
    <row r="430" ht="15.75" customHeight="1">
      <c r="F430" s="11"/>
      <c r="G430" s="11">
        <f t="shared" si="1"/>
        <v>0</v>
      </c>
    </row>
    <row r="431" ht="15.75" customHeight="1">
      <c r="F431" s="11"/>
      <c r="G431" s="11">
        <f t="shared" si="1"/>
        <v>0</v>
      </c>
    </row>
    <row r="432" ht="15.75" customHeight="1">
      <c r="F432" s="11"/>
      <c r="G432" s="11">
        <f t="shared" si="1"/>
        <v>0</v>
      </c>
    </row>
    <row r="433" ht="15.75" customHeight="1">
      <c r="F433" s="11"/>
      <c r="G433" s="11">
        <f t="shared" si="1"/>
        <v>0</v>
      </c>
    </row>
    <row r="434" ht="15.75" customHeight="1">
      <c r="F434" s="11"/>
      <c r="G434" s="11">
        <f t="shared" si="1"/>
        <v>0</v>
      </c>
    </row>
    <row r="435" ht="15.75" customHeight="1">
      <c r="F435" s="11"/>
      <c r="G435" s="11">
        <f t="shared" si="1"/>
        <v>0</v>
      </c>
    </row>
    <row r="436" ht="15.75" customHeight="1">
      <c r="F436" s="11"/>
      <c r="G436" s="11">
        <f t="shared" si="1"/>
        <v>0</v>
      </c>
    </row>
    <row r="437" ht="15.75" customHeight="1">
      <c r="F437" s="11"/>
      <c r="G437" s="11">
        <f t="shared" si="1"/>
        <v>0</v>
      </c>
    </row>
    <row r="438" ht="15.75" customHeight="1">
      <c r="F438" s="11"/>
      <c r="G438" s="11">
        <f t="shared" si="1"/>
        <v>0</v>
      </c>
    </row>
    <row r="439" ht="15.75" customHeight="1">
      <c r="F439" s="11"/>
      <c r="G439" s="11">
        <f t="shared" si="1"/>
        <v>0</v>
      </c>
    </row>
    <row r="440" ht="15.75" customHeight="1">
      <c r="F440" s="11"/>
      <c r="G440" s="11">
        <f t="shared" si="1"/>
        <v>0</v>
      </c>
    </row>
    <row r="441" ht="15.75" customHeight="1">
      <c r="F441" s="11"/>
      <c r="G441" s="11">
        <f t="shared" si="1"/>
        <v>0</v>
      </c>
    </row>
    <row r="442" ht="15.75" customHeight="1">
      <c r="F442" s="11"/>
      <c r="G442" s="11">
        <f t="shared" si="1"/>
        <v>0</v>
      </c>
    </row>
    <row r="443" ht="15.75" customHeight="1">
      <c r="F443" s="11"/>
      <c r="G443" s="11">
        <f t="shared" si="1"/>
        <v>0</v>
      </c>
    </row>
    <row r="444" ht="15.75" customHeight="1">
      <c r="F444" s="11"/>
      <c r="G444" s="11">
        <f t="shared" si="1"/>
        <v>0</v>
      </c>
    </row>
    <row r="445" ht="15.75" customHeight="1">
      <c r="F445" s="11"/>
      <c r="G445" s="11">
        <f t="shared" si="1"/>
        <v>0</v>
      </c>
    </row>
    <row r="446" ht="15.75" customHeight="1">
      <c r="F446" s="11"/>
      <c r="G446" s="11">
        <f t="shared" si="1"/>
        <v>0</v>
      </c>
    </row>
    <row r="447" ht="15.75" customHeight="1">
      <c r="F447" s="11"/>
      <c r="G447" s="11">
        <f t="shared" si="1"/>
        <v>0</v>
      </c>
    </row>
    <row r="448" ht="15.75" customHeight="1">
      <c r="F448" s="11"/>
      <c r="G448" s="11">
        <f t="shared" si="1"/>
        <v>0</v>
      </c>
    </row>
    <row r="449" ht="15.75" customHeight="1">
      <c r="F449" s="11"/>
      <c r="G449" s="11">
        <f t="shared" si="1"/>
        <v>0</v>
      </c>
    </row>
    <row r="450" ht="15.75" customHeight="1">
      <c r="F450" s="11"/>
      <c r="G450" s="11">
        <f t="shared" si="1"/>
        <v>0</v>
      </c>
    </row>
    <row r="451" ht="15.75" customHeight="1">
      <c r="F451" s="11"/>
      <c r="G451" s="11">
        <f t="shared" si="1"/>
        <v>0</v>
      </c>
    </row>
    <row r="452" ht="15.75" customHeight="1">
      <c r="F452" s="11"/>
      <c r="G452" s="11">
        <f t="shared" si="1"/>
        <v>0</v>
      </c>
    </row>
    <row r="453" ht="15.75" customHeight="1">
      <c r="F453" s="11"/>
      <c r="G453" s="11">
        <f t="shared" si="1"/>
        <v>0</v>
      </c>
    </row>
    <row r="454" ht="15.75" customHeight="1">
      <c r="F454" s="11"/>
      <c r="G454" s="11">
        <f t="shared" si="1"/>
        <v>0</v>
      </c>
    </row>
    <row r="455" ht="15.75" customHeight="1">
      <c r="F455" s="11"/>
      <c r="G455" s="11">
        <f t="shared" si="1"/>
        <v>0</v>
      </c>
    </row>
    <row r="456" ht="15.75" customHeight="1">
      <c r="F456" s="11"/>
      <c r="G456" s="11">
        <f t="shared" si="1"/>
        <v>0</v>
      </c>
    </row>
    <row r="457" ht="15.75" customHeight="1">
      <c r="F457" s="11"/>
      <c r="G457" s="11">
        <f t="shared" si="1"/>
        <v>0</v>
      </c>
    </row>
    <row r="458" ht="15.75" customHeight="1">
      <c r="F458" s="11"/>
      <c r="G458" s="11">
        <f t="shared" si="1"/>
        <v>0</v>
      </c>
    </row>
    <row r="459" ht="15.75" customHeight="1">
      <c r="F459" s="11"/>
      <c r="G459" s="11">
        <f t="shared" si="1"/>
        <v>0</v>
      </c>
    </row>
    <row r="460" ht="15.75" customHeight="1">
      <c r="F460" s="11"/>
      <c r="G460" s="11">
        <f t="shared" si="1"/>
        <v>0</v>
      </c>
    </row>
    <row r="461" ht="15.75" customHeight="1">
      <c r="F461" s="11"/>
      <c r="G461" s="11">
        <f t="shared" si="1"/>
        <v>0</v>
      </c>
    </row>
    <row r="462" ht="15.75" customHeight="1">
      <c r="F462" s="11"/>
      <c r="G462" s="11">
        <f t="shared" si="1"/>
        <v>0</v>
      </c>
    </row>
    <row r="463" ht="15.75" customHeight="1">
      <c r="F463" s="11"/>
      <c r="G463" s="11">
        <f t="shared" si="1"/>
        <v>0</v>
      </c>
    </row>
    <row r="464" ht="15.75" customHeight="1">
      <c r="F464" s="11"/>
      <c r="G464" s="11">
        <f t="shared" si="1"/>
        <v>0</v>
      </c>
    </row>
    <row r="465" ht="15.75" customHeight="1">
      <c r="F465" s="11"/>
      <c r="G465" s="11">
        <f t="shared" si="1"/>
        <v>0</v>
      </c>
    </row>
    <row r="466" ht="15.75" customHeight="1">
      <c r="F466" s="11"/>
      <c r="G466" s="11">
        <f t="shared" si="1"/>
        <v>0</v>
      </c>
    </row>
    <row r="467" ht="15.75" customHeight="1">
      <c r="F467" s="11"/>
      <c r="G467" s="11">
        <f t="shared" si="1"/>
        <v>0</v>
      </c>
    </row>
    <row r="468" ht="15.75" customHeight="1">
      <c r="F468" s="11"/>
      <c r="G468" s="11">
        <f t="shared" si="1"/>
        <v>0</v>
      </c>
    </row>
    <row r="469" ht="15.75" customHeight="1">
      <c r="F469" s="11"/>
      <c r="G469" s="11">
        <f t="shared" si="1"/>
        <v>0</v>
      </c>
    </row>
    <row r="470" ht="15.75" customHeight="1">
      <c r="F470" s="11"/>
      <c r="G470" s="11">
        <f t="shared" si="1"/>
        <v>0</v>
      </c>
    </row>
    <row r="471" ht="15.75" customHeight="1">
      <c r="F471" s="11"/>
      <c r="G471" s="11">
        <f t="shared" si="1"/>
        <v>0</v>
      </c>
    </row>
    <row r="472" ht="15.75" customHeight="1">
      <c r="F472" s="11"/>
      <c r="G472" s="11">
        <f t="shared" si="1"/>
        <v>0</v>
      </c>
    </row>
    <row r="473" ht="15.75" customHeight="1">
      <c r="F473" s="11"/>
      <c r="G473" s="11">
        <f t="shared" si="1"/>
        <v>0</v>
      </c>
    </row>
    <row r="474" ht="15.75" customHeight="1">
      <c r="F474" s="11"/>
      <c r="G474" s="11">
        <f t="shared" si="1"/>
        <v>0</v>
      </c>
    </row>
    <row r="475" ht="15.75" customHeight="1">
      <c r="F475" s="11"/>
      <c r="G475" s="11">
        <f t="shared" si="1"/>
        <v>0</v>
      </c>
    </row>
    <row r="476" ht="15.75" customHeight="1">
      <c r="F476" s="11"/>
      <c r="G476" s="11">
        <f t="shared" si="1"/>
        <v>0</v>
      </c>
    </row>
    <row r="477" ht="15.75" customHeight="1">
      <c r="F477" s="11"/>
      <c r="G477" s="11">
        <f t="shared" si="1"/>
        <v>0</v>
      </c>
    </row>
    <row r="478" ht="15.75" customHeight="1">
      <c r="F478" s="11"/>
      <c r="G478" s="11">
        <f t="shared" si="1"/>
        <v>0</v>
      </c>
    </row>
    <row r="479" ht="15.75" customHeight="1">
      <c r="F479" s="11"/>
      <c r="G479" s="11">
        <f t="shared" si="1"/>
        <v>0</v>
      </c>
    </row>
    <row r="480" ht="15.75" customHeight="1">
      <c r="F480" s="11"/>
      <c r="G480" s="11">
        <f t="shared" si="1"/>
        <v>0</v>
      </c>
    </row>
    <row r="481" ht="15.75" customHeight="1">
      <c r="F481" s="11"/>
      <c r="G481" s="11">
        <f t="shared" si="1"/>
        <v>0</v>
      </c>
    </row>
    <row r="482" ht="15.75" customHeight="1">
      <c r="F482" s="11"/>
      <c r="G482" s="11">
        <f t="shared" si="1"/>
        <v>0</v>
      </c>
    </row>
    <row r="483" ht="15.75" customHeight="1">
      <c r="F483" s="11"/>
      <c r="G483" s="11">
        <f t="shared" si="1"/>
        <v>0</v>
      </c>
    </row>
    <row r="484" ht="15.75" customHeight="1">
      <c r="F484" s="11"/>
      <c r="G484" s="11">
        <f t="shared" si="1"/>
        <v>0</v>
      </c>
    </row>
    <row r="485" ht="15.75" customHeight="1">
      <c r="F485" s="11"/>
      <c r="G485" s="11">
        <f t="shared" si="1"/>
        <v>0</v>
      </c>
    </row>
    <row r="486" ht="15.75" customHeight="1">
      <c r="F486" s="11"/>
      <c r="G486" s="11">
        <f t="shared" si="1"/>
        <v>0</v>
      </c>
    </row>
    <row r="487" ht="15.75" customHeight="1">
      <c r="F487" s="11"/>
      <c r="G487" s="11">
        <f t="shared" si="1"/>
        <v>0</v>
      </c>
    </row>
    <row r="488" ht="15.75" customHeight="1">
      <c r="F488" s="11"/>
      <c r="G488" s="11">
        <f t="shared" si="1"/>
        <v>0</v>
      </c>
    </row>
    <row r="489" ht="15.75" customHeight="1">
      <c r="F489" s="11"/>
      <c r="G489" s="11">
        <f t="shared" si="1"/>
        <v>0</v>
      </c>
    </row>
    <row r="490" ht="15.75" customHeight="1">
      <c r="F490" s="11"/>
      <c r="G490" s="11">
        <f t="shared" si="1"/>
        <v>0</v>
      </c>
    </row>
    <row r="491" ht="15.75" customHeight="1">
      <c r="F491" s="11"/>
      <c r="G491" s="11">
        <f t="shared" si="1"/>
        <v>0</v>
      </c>
    </row>
    <row r="492" ht="15.75" customHeight="1">
      <c r="F492" s="11"/>
      <c r="G492" s="11">
        <f t="shared" si="1"/>
        <v>0</v>
      </c>
    </row>
    <row r="493" ht="15.75" customHeight="1">
      <c r="F493" s="11"/>
      <c r="G493" s="11">
        <f t="shared" si="1"/>
        <v>0</v>
      </c>
    </row>
    <row r="494" ht="15.75" customHeight="1">
      <c r="F494" s="11"/>
      <c r="G494" s="11">
        <f t="shared" si="1"/>
        <v>0</v>
      </c>
    </row>
    <row r="495" ht="15.75" customHeight="1">
      <c r="F495" s="11"/>
      <c r="G495" s="11">
        <f t="shared" si="1"/>
        <v>0</v>
      </c>
    </row>
    <row r="496" ht="15.75" customHeight="1">
      <c r="F496" s="11"/>
      <c r="G496" s="11">
        <f t="shared" si="1"/>
        <v>0</v>
      </c>
    </row>
    <row r="497" ht="15.75" customHeight="1">
      <c r="F497" s="11"/>
      <c r="G497" s="11">
        <f t="shared" si="1"/>
        <v>0</v>
      </c>
    </row>
    <row r="498" ht="15.75" customHeight="1">
      <c r="F498" s="11"/>
      <c r="G498" s="11">
        <f t="shared" si="1"/>
        <v>0</v>
      </c>
    </row>
    <row r="499" ht="15.75" customHeight="1">
      <c r="F499" s="11"/>
      <c r="G499" s="11">
        <f t="shared" si="1"/>
        <v>0</v>
      </c>
    </row>
    <row r="500" ht="15.75" customHeight="1">
      <c r="F500" s="11"/>
      <c r="G500" s="11">
        <f t="shared" si="1"/>
        <v>0</v>
      </c>
    </row>
    <row r="501" ht="15.75" customHeight="1">
      <c r="F501" s="11"/>
      <c r="G501" s="11">
        <f t="shared" si="1"/>
        <v>0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4" width="24.0"/>
    <col customWidth="1" min="5" max="5" width="16.5"/>
    <col customWidth="1" min="6" max="6" width="12.5"/>
    <col customWidth="1" min="7" max="7" width="14.5"/>
    <col customWidth="1" min="8" max="8" width="13.75"/>
    <col customWidth="1" min="9" max="9" width="36.0"/>
  </cols>
  <sheetData>
    <row r="1" ht="30.0" customHeight="1">
      <c r="A1" s="12" t="s">
        <v>67</v>
      </c>
      <c r="B1" s="12" t="s">
        <v>68</v>
      </c>
      <c r="C1" s="12" t="s">
        <v>2</v>
      </c>
      <c r="D1" s="12" t="s">
        <v>3</v>
      </c>
      <c r="E1" s="12" t="s">
        <v>69</v>
      </c>
      <c r="F1" s="12" t="s">
        <v>70</v>
      </c>
      <c r="G1" s="13" t="s">
        <v>5</v>
      </c>
      <c r="H1" s="2" t="s">
        <v>71</v>
      </c>
      <c r="I1" s="13" t="s">
        <v>25</v>
      </c>
    </row>
    <row r="2">
      <c r="A2" s="17" t="s">
        <v>72</v>
      </c>
      <c r="B2" s="17" t="s">
        <v>73</v>
      </c>
      <c r="C2" s="7" t="s">
        <v>74</v>
      </c>
      <c r="D2" s="17" t="s">
        <v>75</v>
      </c>
      <c r="E2" s="18">
        <v>65.0</v>
      </c>
      <c r="F2" s="17" t="s">
        <v>76</v>
      </c>
      <c r="G2" s="6">
        <v>6000.0</v>
      </c>
      <c r="H2" s="5">
        <f t="shared" ref="H2:H500" si="1">IFERROR(G2/E2,0)</f>
        <v>92.30769231</v>
      </c>
      <c r="I2" s="3" t="s">
        <v>77</v>
      </c>
    </row>
    <row r="3" ht="15.75" customHeight="1">
      <c r="A3" s="17" t="s">
        <v>78</v>
      </c>
      <c r="B3" s="17" t="s">
        <v>79</v>
      </c>
      <c r="C3" s="7" t="s">
        <v>74</v>
      </c>
      <c r="D3" s="17" t="s">
        <v>75</v>
      </c>
      <c r="E3" s="18">
        <v>65.0</v>
      </c>
      <c r="F3" s="3" t="s">
        <v>76</v>
      </c>
      <c r="G3" s="6">
        <v>6000.0</v>
      </c>
      <c r="H3" s="5">
        <f t="shared" si="1"/>
        <v>92.30769231</v>
      </c>
      <c r="I3" s="3" t="s">
        <v>80</v>
      </c>
    </row>
    <row r="4">
      <c r="A4" s="7" t="s">
        <v>81</v>
      </c>
      <c r="B4" s="7" t="s">
        <v>82</v>
      </c>
      <c r="C4" s="7" t="s">
        <v>74</v>
      </c>
      <c r="D4" s="7" t="s">
        <v>75</v>
      </c>
      <c r="E4" s="19">
        <v>65.0</v>
      </c>
      <c r="F4" s="21" t="s">
        <v>76</v>
      </c>
      <c r="G4" s="6">
        <v>6000.0</v>
      </c>
      <c r="H4" s="10">
        <f t="shared" si="1"/>
        <v>92.30769231</v>
      </c>
    </row>
    <row r="5">
      <c r="A5" s="7" t="s">
        <v>83</v>
      </c>
      <c r="B5" s="7" t="s">
        <v>84</v>
      </c>
      <c r="C5" s="7" t="s">
        <v>74</v>
      </c>
      <c r="D5" s="7" t="s">
        <v>75</v>
      </c>
      <c r="E5" s="19">
        <v>65.0</v>
      </c>
      <c r="F5" s="21" t="s">
        <v>76</v>
      </c>
      <c r="G5" s="6">
        <v>6000.0</v>
      </c>
      <c r="H5" s="10">
        <f t="shared" si="1"/>
        <v>92.30769231</v>
      </c>
    </row>
    <row r="6">
      <c r="E6" s="15"/>
      <c r="F6" s="16"/>
      <c r="G6" s="10"/>
      <c r="H6" s="10">
        <f t="shared" si="1"/>
        <v>0</v>
      </c>
    </row>
    <row r="7">
      <c r="E7" s="15"/>
      <c r="F7" s="16"/>
      <c r="G7" s="10"/>
      <c r="H7" s="10">
        <f t="shared" si="1"/>
        <v>0</v>
      </c>
    </row>
    <row r="8">
      <c r="E8" s="15"/>
      <c r="F8" s="16"/>
      <c r="G8" s="10"/>
      <c r="H8" s="10">
        <f t="shared" si="1"/>
        <v>0</v>
      </c>
    </row>
    <row r="9">
      <c r="E9" s="15"/>
      <c r="F9" s="16"/>
      <c r="G9" s="10"/>
      <c r="H9" s="10">
        <f t="shared" si="1"/>
        <v>0</v>
      </c>
    </row>
    <row r="10">
      <c r="E10" s="15"/>
      <c r="F10" s="16"/>
      <c r="G10" s="10"/>
      <c r="H10" s="10">
        <f t="shared" si="1"/>
        <v>0</v>
      </c>
    </row>
    <row r="11">
      <c r="E11" s="15"/>
      <c r="F11" s="16"/>
      <c r="G11" s="10"/>
      <c r="H11" s="10">
        <f t="shared" si="1"/>
        <v>0</v>
      </c>
    </row>
    <row r="12">
      <c r="E12" s="15"/>
      <c r="F12" s="16"/>
      <c r="G12" s="10"/>
      <c r="H12" s="10">
        <f t="shared" si="1"/>
        <v>0</v>
      </c>
    </row>
    <row r="13">
      <c r="E13" s="15"/>
      <c r="F13" s="16"/>
      <c r="G13" s="10"/>
      <c r="H13" s="10">
        <f t="shared" si="1"/>
        <v>0</v>
      </c>
    </row>
    <row r="14">
      <c r="E14" s="15"/>
      <c r="F14" s="16"/>
      <c r="G14" s="10"/>
      <c r="H14" s="10">
        <f t="shared" si="1"/>
        <v>0</v>
      </c>
    </row>
    <row r="15">
      <c r="E15" s="15"/>
      <c r="F15" s="16"/>
      <c r="G15" s="10"/>
      <c r="H15" s="10">
        <f t="shared" si="1"/>
        <v>0</v>
      </c>
    </row>
    <row r="16">
      <c r="E16" s="15"/>
      <c r="F16" s="16"/>
      <c r="G16" s="10"/>
      <c r="H16" s="10">
        <f t="shared" si="1"/>
        <v>0</v>
      </c>
    </row>
    <row r="17">
      <c r="E17" s="15"/>
      <c r="F17" s="16"/>
      <c r="G17" s="10"/>
      <c r="H17" s="10">
        <f t="shared" si="1"/>
        <v>0</v>
      </c>
    </row>
    <row r="18">
      <c r="E18" s="15"/>
      <c r="F18" s="16"/>
      <c r="G18" s="10"/>
      <c r="H18" s="10">
        <f t="shared" si="1"/>
        <v>0</v>
      </c>
    </row>
    <row r="19">
      <c r="E19" s="15"/>
      <c r="F19" s="16"/>
      <c r="G19" s="10"/>
      <c r="H19" s="10">
        <f t="shared" si="1"/>
        <v>0</v>
      </c>
    </row>
    <row r="20">
      <c r="E20" s="15"/>
      <c r="F20" s="16"/>
      <c r="G20" s="10"/>
      <c r="H20" s="10">
        <f t="shared" si="1"/>
        <v>0</v>
      </c>
    </row>
    <row r="21" ht="15.75" customHeight="1">
      <c r="E21" s="15"/>
      <c r="F21" s="16"/>
      <c r="G21" s="10"/>
      <c r="H21" s="10">
        <f t="shared" si="1"/>
        <v>0</v>
      </c>
    </row>
    <row r="22" ht="15.75" customHeight="1">
      <c r="E22" s="15"/>
      <c r="F22" s="16"/>
      <c r="G22" s="10"/>
      <c r="H22" s="10">
        <f t="shared" si="1"/>
        <v>0</v>
      </c>
    </row>
    <row r="23" ht="15.75" customHeight="1">
      <c r="E23" s="15"/>
      <c r="F23" s="16"/>
      <c r="G23" s="10"/>
      <c r="H23" s="10">
        <f t="shared" si="1"/>
        <v>0</v>
      </c>
    </row>
    <row r="24" ht="15.75" customHeight="1">
      <c r="E24" s="15"/>
      <c r="F24" s="16"/>
      <c r="G24" s="10"/>
      <c r="H24" s="10">
        <f t="shared" si="1"/>
        <v>0</v>
      </c>
    </row>
    <row r="25" ht="15.75" customHeight="1">
      <c r="E25" s="15"/>
      <c r="F25" s="16"/>
      <c r="G25" s="10"/>
      <c r="H25" s="10">
        <f t="shared" si="1"/>
        <v>0</v>
      </c>
    </row>
    <row r="26" ht="15.75" customHeight="1">
      <c r="E26" s="15"/>
      <c r="F26" s="16"/>
      <c r="G26" s="10"/>
      <c r="H26" s="10">
        <f t="shared" si="1"/>
        <v>0</v>
      </c>
    </row>
    <row r="27" ht="15.75" customHeight="1">
      <c r="E27" s="15"/>
      <c r="F27" s="16"/>
      <c r="G27" s="10"/>
      <c r="H27" s="10">
        <f t="shared" si="1"/>
        <v>0</v>
      </c>
    </row>
    <row r="28" ht="15.75" customHeight="1">
      <c r="E28" s="15"/>
      <c r="F28" s="16"/>
      <c r="G28" s="10"/>
      <c r="H28" s="10">
        <f t="shared" si="1"/>
        <v>0</v>
      </c>
    </row>
    <row r="29" ht="15.75" customHeight="1">
      <c r="E29" s="15"/>
      <c r="F29" s="16"/>
      <c r="G29" s="10"/>
      <c r="H29" s="10">
        <f t="shared" si="1"/>
        <v>0</v>
      </c>
    </row>
    <row r="30" ht="15.75" customHeight="1">
      <c r="E30" s="15"/>
      <c r="F30" s="16"/>
      <c r="G30" s="10"/>
      <c r="H30" s="10">
        <f t="shared" si="1"/>
        <v>0</v>
      </c>
    </row>
    <row r="31" ht="15.75" customHeight="1">
      <c r="E31" s="15"/>
      <c r="F31" s="16"/>
      <c r="G31" s="10"/>
      <c r="H31" s="10">
        <f t="shared" si="1"/>
        <v>0</v>
      </c>
    </row>
    <row r="32" ht="15.75" customHeight="1">
      <c r="E32" s="15"/>
      <c r="F32" s="16"/>
      <c r="G32" s="10"/>
      <c r="H32" s="10">
        <f t="shared" si="1"/>
        <v>0</v>
      </c>
    </row>
    <row r="33" ht="15.75" customHeight="1">
      <c r="E33" s="15"/>
      <c r="F33" s="16"/>
      <c r="G33" s="10"/>
      <c r="H33" s="10">
        <f t="shared" si="1"/>
        <v>0</v>
      </c>
    </row>
    <row r="34" ht="15.75" customHeight="1">
      <c r="E34" s="15"/>
      <c r="F34" s="16"/>
      <c r="G34" s="10"/>
      <c r="H34" s="10">
        <f t="shared" si="1"/>
        <v>0</v>
      </c>
    </row>
    <row r="35" ht="15.75" customHeight="1">
      <c r="E35" s="15"/>
      <c r="F35" s="16"/>
      <c r="G35" s="10"/>
      <c r="H35" s="10">
        <f t="shared" si="1"/>
        <v>0</v>
      </c>
    </row>
    <row r="36" ht="15.75" customHeight="1">
      <c r="E36" s="15"/>
      <c r="F36" s="16"/>
      <c r="G36" s="10"/>
      <c r="H36" s="10">
        <f t="shared" si="1"/>
        <v>0</v>
      </c>
    </row>
    <row r="37" ht="15.75" customHeight="1">
      <c r="E37" s="15"/>
      <c r="F37" s="16"/>
      <c r="G37" s="10"/>
      <c r="H37" s="10">
        <f t="shared" si="1"/>
        <v>0</v>
      </c>
    </row>
    <row r="38" ht="15.75" customHeight="1">
      <c r="E38" s="15"/>
      <c r="F38" s="16"/>
      <c r="G38" s="10"/>
      <c r="H38" s="10">
        <f t="shared" si="1"/>
        <v>0</v>
      </c>
    </row>
    <row r="39" ht="15.75" customHeight="1">
      <c r="E39" s="15"/>
      <c r="F39" s="16"/>
      <c r="G39" s="10"/>
      <c r="H39" s="10">
        <f t="shared" si="1"/>
        <v>0</v>
      </c>
    </row>
    <row r="40" ht="15.75" customHeight="1">
      <c r="E40" s="15"/>
      <c r="F40" s="16"/>
      <c r="G40" s="10"/>
      <c r="H40" s="10">
        <f t="shared" si="1"/>
        <v>0</v>
      </c>
    </row>
    <row r="41" ht="15.75" customHeight="1">
      <c r="E41" s="15"/>
      <c r="F41" s="16"/>
      <c r="G41" s="10"/>
      <c r="H41" s="10">
        <f t="shared" si="1"/>
        <v>0</v>
      </c>
    </row>
    <row r="42" ht="15.75" customHeight="1">
      <c r="E42" s="15"/>
      <c r="F42" s="16"/>
      <c r="G42" s="10"/>
      <c r="H42" s="10">
        <f t="shared" si="1"/>
        <v>0</v>
      </c>
    </row>
    <row r="43" ht="15.75" customHeight="1">
      <c r="E43" s="15"/>
      <c r="F43" s="16"/>
      <c r="G43" s="10"/>
      <c r="H43" s="10">
        <f t="shared" si="1"/>
        <v>0</v>
      </c>
    </row>
    <row r="44" ht="15.75" customHeight="1">
      <c r="E44" s="15"/>
      <c r="F44" s="16"/>
      <c r="G44" s="10"/>
      <c r="H44" s="10">
        <f t="shared" si="1"/>
        <v>0</v>
      </c>
    </row>
    <row r="45" ht="15.75" customHeight="1">
      <c r="E45" s="15"/>
      <c r="F45" s="16"/>
      <c r="G45" s="10"/>
      <c r="H45" s="10">
        <f t="shared" si="1"/>
        <v>0</v>
      </c>
    </row>
    <row r="46" ht="15.75" customHeight="1">
      <c r="E46" s="15"/>
      <c r="F46" s="16"/>
      <c r="G46" s="10"/>
      <c r="H46" s="10">
        <f t="shared" si="1"/>
        <v>0</v>
      </c>
    </row>
    <row r="47" ht="15.75" customHeight="1">
      <c r="E47" s="15"/>
      <c r="F47" s="16"/>
      <c r="G47" s="10"/>
      <c r="H47" s="10">
        <f t="shared" si="1"/>
        <v>0</v>
      </c>
    </row>
    <row r="48" ht="15.75" customHeight="1">
      <c r="E48" s="15"/>
      <c r="F48" s="16"/>
      <c r="G48" s="10"/>
      <c r="H48" s="10">
        <f t="shared" si="1"/>
        <v>0</v>
      </c>
    </row>
    <row r="49" ht="15.75" customHeight="1">
      <c r="E49" s="15"/>
      <c r="F49" s="16"/>
      <c r="G49" s="10"/>
      <c r="H49" s="10">
        <f t="shared" si="1"/>
        <v>0</v>
      </c>
    </row>
    <row r="50" ht="15.75" customHeight="1">
      <c r="E50" s="15"/>
      <c r="F50" s="16"/>
      <c r="G50" s="10"/>
      <c r="H50" s="10">
        <f t="shared" si="1"/>
        <v>0</v>
      </c>
    </row>
    <row r="51" ht="15.75" customHeight="1">
      <c r="E51" s="15"/>
      <c r="F51" s="16"/>
      <c r="G51" s="10"/>
      <c r="H51" s="10">
        <f t="shared" si="1"/>
        <v>0</v>
      </c>
    </row>
    <row r="52" ht="15.75" customHeight="1">
      <c r="E52" s="15"/>
      <c r="F52" s="16"/>
      <c r="G52" s="10"/>
      <c r="H52" s="10">
        <f t="shared" si="1"/>
        <v>0</v>
      </c>
    </row>
    <row r="53" ht="15.75" customHeight="1">
      <c r="E53" s="15"/>
      <c r="F53" s="16"/>
      <c r="G53" s="10"/>
      <c r="H53" s="10">
        <f t="shared" si="1"/>
        <v>0</v>
      </c>
    </row>
    <row r="54" ht="15.75" customHeight="1">
      <c r="E54" s="15"/>
      <c r="F54" s="16"/>
      <c r="G54" s="10"/>
      <c r="H54" s="10">
        <f t="shared" si="1"/>
        <v>0</v>
      </c>
    </row>
    <row r="55" ht="15.75" customHeight="1">
      <c r="E55" s="15"/>
      <c r="F55" s="16"/>
      <c r="G55" s="10"/>
      <c r="H55" s="10">
        <f t="shared" si="1"/>
        <v>0</v>
      </c>
    </row>
    <row r="56" ht="15.75" customHeight="1">
      <c r="E56" s="15"/>
      <c r="F56" s="16"/>
      <c r="G56" s="10"/>
      <c r="H56" s="10">
        <f t="shared" si="1"/>
        <v>0</v>
      </c>
    </row>
    <row r="57" ht="15.75" customHeight="1">
      <c r="E57" s="15"/>
      <c r="F57" s="16"/>
      <c r="G57" s="10"/>
      <c r="H57" s="10">
        <f t="shared" si="1"/>
        <v>0</v>
      </c>
    </row>
    <row r="58" ht="15.75" customHeight="1">
      <c r="E58" s="15"/>
      <c r="F58" s="16"/>
      <c r="G58" s="10"/>
      <c r="H58" s="10">
        <f t="shared" si="1"/>
        <v>0</v>
      </c>
    </row>
    <row r="59" ht="15.75" customHeight="1">
      <c r="E59" s="15"/>
      <c r="F59" s="16"/>
      <c r="G59" s="10"/>
      <c r="H59" s="10">
        <f t="shared" si="1"/>
        <v>0</v>
      </c>
    </row>
    <row r="60" ht="15.75" customHeight="1">
      <c r="E60" s="15"/>
      <c r="F60" s="16"/>
      <c r="G60" s="10"/>
      <c r="H60" s="10">
        <f t="shared" si="1"/>
        <v>0</v>
      </c>
    </row>
    <row r="61" ht="15.75" customHeight="1">
      <c r="E61" s="15"/>
      <c r="F61" s="16"/>
      <c r="G61" s="10"/>
      <c r="H61" s="10">
        <f t="shared" si="1"/>
        <v>0</v>
      </c>
    </row>
    <row r="62" ht="15.75" customHeight="1">
      <c r="E62" s="15"/>
      <c r="F62" s="16"/>
      <c r="G62" s="10"/>
      <c r="H62" s="10">
        <f t="shared" si="1"/>
        <v>0</v>
      </c>
    </row>
    <row r="63" ht="15.75" customHeight="1">
      <c r="E63" s="15"/>
      <c r="F63" s="16"/>
      <c r="G63" s="10"/>
      <c r="H63" s="10">
        <f t="shared" si="1"/>
        <v>0</v>
      </c>
    </row>
    <row r="64" ht="15.75" customHeight="1">
      <c r="E64" s="15"/>
      <c r="F64" s="16"/>
      <c r="G64" s="10"/>
      <c r="H64" s="10">
        <f t="shared" si="1"/>
        <v>0</v>
      </c>
    </row>
    <row r="65" ht="15.75" customHeight="1">
      <c r="E65" s="15"/>
      <c r="F65" s="16"/>
      <c r="G65" s="10"/>
      <c r="H65" s="10">
        <f t="shared" si="1"/>
        <v>0</v>
      </c>
    </row>
    <row r="66" ht="15.75" customHeight="1">
      <c r="E66" s="15"/>
      <c r="F66" s="16"/>
      <c r="G66" s="10"/>
      <c r="H66" s="10">
        <f t="shared" si="1"/>
        <v>0</v>
      </c>
    </row>
    <row r="67" ht="15.75" customHeight="1">
      <c r="E67" s="15"/>
      <c r="F67" s="16"/>
      <c r="G67" s="10"/>
      <c r="H67" s="10">
        <f t="shared" si="1"/>
        <v>0</v>
      </c>
    </row>
    <row r="68" ht="15.75" customHeight="1">
      <c r="E68" s="15"/>
      <c r="F68" s="16"/>
      <c r="G68" s="10"/>
      <c r="H68" s="10">
        <f t="shared" si="1"/>
        <v>0</v>
      </c>
    </row>
    <row r="69" ht="15.75" customHeight="1">
      <c r="E69" s="15"/>
      <c r="F69" s="16"/>
      <c r="G69" s="10"/>
      <c r="H69" s="10">
        <f t="shared" si="1"/>
        <v>0</v>
      </c>
    </row>
    <row r="70" ht="15.75" customHeight="1">
      <c r="E70" s="15"/>
      <c r="F70" s="16"/>
      <c r="G70" s="10"/>
      <c r="H70" s="10">
        <f t="shared" si="1"/>
        <v>0</v>
      </c>
    </row>
    <row r="71" ht="15.75" customHeight="1">
      <c r="E71" s="15"/>
      <c r="F71" s="16"/>
      <c r="G71" s="10"/>
      <c r="H71" s="10">
        <f t="shared" si="1"/>
        <v>0</v>
      </c>
    </row>
    <row r="72" ht="15.75" customHeight="1">
      <c r="E72" s="15"/>
      <c r="F72" s="16"/>
      <c r="G72" s="10"/>
      <c r="H72" s="10">
        <f t="shared" si="1"/>
        <v>0</v>
      </c>
    </row>
    <row r="73" ht="15.75" customHeight="1">
      <c r="E73" s="15"/>
      <c r="F73" s="16"/>
      <c r="G73" s="10"/>
      <c r="H73" s="10">
        <f t="shared" si="1"/>
        <v>0</v>
      </c>
    </row>
    <row r="74" ht="15.75" customHeight="1">
      <c r="E74" s="15"/>
      <c r="F74" s="16"/>
      <c r="G74" s="10"/>
      <c r="H74" s="10">
        <f t="shared" si="1"/>
        <v>0</v>
      </c>
    </row>
    <row r="75" ht="15.75" customHeight="1">
      <c r="E75" s="15"/>
      <c r="F75" s="16"/>
      <c r="G75" s="10"/>
      <c r="H75" s="10">
        <f t="shared" si="1"/>
        <v>0</v>
      </c>
    </row>
    <row r="76" ht="15.75" customHeight="1">
      <c r="E76" s="15"/>
      <c r="F76" s="16"/>
      <c r="G76" s="10"/>
      <c r="H76" s="10">
        <f t="shared" si="1"/>
        <v>0</v>
      </c>
    </row>
    <row r="77" ht="15.75" customHeight="1">
      <c r="E77" s="15"/>
      <c r="F77" s="16"/>
      <c r="G77" s="10"/>
      <c r="H77" s="10">
        <f t="shared" si="1"/>
        <v>0</v>
      </c>
    </row>
    <row r="78" ht="15.75" customHeight="1">
      <c r="E78" s="15"/>
      <c r="F78" s="16"/>
      <c r="G78" s="10"/>
      <c r="H78" s="10">
        <f t="shared" si="1"/>
        <v>0</v>
      </c>
    </row>
    <row r="79" ht="15.75" customHeight="1">
      <c r="E79" s="15"/>
      <c r="F79" s="16"/>
      <c r="G79" s="10"/>
      <c r="H79" s="10">
        <f t="shared" si="1"/>
        <v>0</v>
      </c>
    </row>
    <row r="80" ht="15.75" customHeight="1">
      <c r="E80" s="15"/>
      <c r="F80" s="16"/>
      <c r="G80" s="10"/>
      <c r="H80" s="10">
        <f t="shared" si="1"/>
        <v>0</v>
      </c>
    </row>
    <row r="81" ht="15.75" customHeight="1">
      <c r="E81" s="15"/>
      <c r="F81" s="16"/>
      <c r="G81" s="10"/>
      <c r="H81" s="10">
        <f t="shared" si="1"/>
        <v>0</v>
      </c>
    </row>
    <row r="82" ht="15.75" customHeight="1">
      <c r="E82" s="15"/>
      <c r="F82" s="16"/>
      <c r="G82" s="10"/>
      <c r="H82" s="10">
        <f t="shared" si="1"/>
        <v>0</v>
      </c>
    </row>
    <row r="83" ht="15.75" customHeight="1">
      <c r="E83" s="15"/>
      <c r="F83" s="16"/>
      <c r="G83" s="10"/>
      <c r="H83" s="10">
        <f t="shared" si="1"/>
        <v>0</v>
      </c>
    </row>
    <row r="84" ht="15.75" customHeight="1">
      <c r="E84" s="15"/>
      <c r="F84" s="16"/>
      <c r="G84" s="10"/>
      <c r="H84" s="10">
        <f t="shared" si="1"/>
        <v>0</v>
      </c>
    </row>
    <row r="85" ht="15.75" customHeight="1">
      <c r="E85" s="15"/>
      <c r="F85" s="16"/>
      <c r="G85" s="10"/>
      <c r="H85" s="10">
        <f t="shared" si="1"/>
        <v>0</v>
      </c>
    </row>
    <row r="86" ht="15.75" customHeight="1">
      <c r="E86" s="15"/>
      <c r="F86" s="16"/>
      <c r="G86" s="10"/>
      <c r="H86" s="10">
        <f t="shared" si="1"/>
        <v>0</v>
      </c>
    </row>
    <row r="87" ht="15.75" customHeight="1">
      <c r="E87" s="15"/>
      <c r="F87" s="16"/>
      <c r="G87" s="10"/>
      <c r="H87" s="10">
        <f t="shared" si="1"/>
        <v>0</v>
      </c>
    </row>
    <row r="88" ht="15.75" customHeight="1">
      <c r="E88" s="15"/>
      <c r="F88" s="16"/>
      <c r="G88" s="10"/>
      <c r="H88" s="10">
        <f t="shared" si="1"/>
        <v>0</v>
      </c>
    </row>
    <row r="89" ht="15.75" customHeight="1">
      <c r="E89" s="15"/>
      <c r="F89" s="16"/>
      <c r="G89" s="10"/>
      <c r="H89" s="10">
        <f t="shared" si="1"/>
        <v>0</v>
      </c>
    </row>
    <row r="90" ht="15.75" customHeight="1">
      <c r="E90" s="15"/>
      <c r="F90" s="16"/>
      <c r="G90" s="10"/>
      <c r="H90" s="10">
        <f t="shared" si="1"/>
        <v>0</v>
      </c>
    </row>
    <row r="91" ht="15.75" customHeight="1">
      <c r="E91" s="15"/>
      <c r="F91" s="16"/>
      <c r="G91" s="10"/>
      <c r="H91" s="10">
        <f t="shared" si="1"/>
        <v>0</v>
      </c>
    </row>
    <row r="92" ht="15.75" customHeight="1">
      <c r="E92" s="15"/>
      <c r="F92" s="16"/>
      <c r="G92" s="10"/>
      <c r="H92" s="10">
        <f t="shared" si="1"/>
        <v>0</v>
      </c>
    </row>
    <row r="93" ht="15.75" customHeight="1">
      <c r="E93" s="15"/>
      <c r="F93" s="16"/>
      <c r="G93" s="10"/>
      <c r="H93" s="10">
        <f t="shared" si="1"/>
        <v>0</v>
      </c>
    </row>
    <row r="94" ht="15.75" customHeight="1">
      <c r="E94" s="15"/>
      <c r="F94" s="16"/>
      <c r="G94" s="10"/>
      <c r="H94" s="10">
        <f t="shared" si="1"/>
        <v>0</v>
      </c>
    </row>
    <row r="95" ht="15.75" customHeight="1">
      <c r="E95" s="15"/>
      <c r="F95" s="16"/>
      <c r="G95" s="10"/>
      <c r="H95" s="10">
        <f t="shared" si="1"/>
        <v>0</v>
      </c>
    </row>
    <row r="96" ht="15.75" customHeight="1">
      <c r="E96" s="15"/>
      <c r="F96" s="16"/>
      <c r="G96" s="10"/>
      <c r="H96" s="10">
        <f t="shared" si="1"/>
        <v>0</v>
      </c>
    </row>
    <row r="97" ht="15.75" customHeight="1">
      <c r="E97" s="15"/>
      <c r="F97" s="16"/>
      <c r="G97" s="10"/>
      <c r="H97" s="10">
        <f t="shared" si="1"/>
        <v>0</v>
      </c>
    </row>
    <row r="98" ht="15.75" customHeight="1">
      <c r="E98" s="15"/>
      <c r="F98" s="16"/>
      <c r="G98" s="10"/>
      <c r="H98" s="10">
        <f t="shared" si="1"/>
        <v>0</v>
      </c>
    </row>
    <row r="99" ht="15.75" customHeight="1">
      <c r="E99" s="15"/>
      <c r="F99" s="16"/>
      <c r="G99" s="10"/>
      <c r="H99" s="10">
        <f t="shared" si="1"/>
        <v>0</v>
      </c>
    </row>
    <row r="100" ht="15.75" customHeight="1">
      <c r="E100" s="15"/>
      <c r="F100" s="16"/>
      <c r="G100" s="10"/>
      <c r="H100" s="10">
        <f t="shared" si="1"/>
        <v>0</v>
      </c>
    </row>
    <row r="101" ht="15.75" customHeight="1">
      <c r="E101" s="15"/>
      <c r="F101" s="16"/>
      <c r="G101" s="10"/>
      <c r="H101" s="10">
        <f t="shared" si="1"/>
        <v>0</v>
      </c>
    </row>
    <row r="102" ht="15.75" customHeight="1">
      <c r="E102" s="15"/>
      <c r="F102" s="16"/>
      <c r="G102" s="10"/>
      <c r="H102" s="10">
        <f t="shared" si="1"/>
        <v>0</v>
      </c>
    </row>
    <row r="103" ht="15.75" customHeight="1">
      <c r="E103" s="15"/>
      <c r="F103" s="16"/>
      <c r="G103" s="10"/>
      <c r="H103" s="10">
        <f t="shared" si="1"/>
        <v>0</v>
      </c>
    </row>
    <row r="104" ht="15.75" customHeight="1">
      <c r="E104" s="15"/>
      <c r="F104" s="16"/>
      <c r="G104" s="10"/>
      <c r="H104" s="10">
        <f t="shared" si="1"/>
        <v>0</v>
      </c>
    </row>
    <row r="105" ht="15.75" customHeight="1">
      <c r="E105" s="15"/>
      <c r="F105" s="16"/>
      <c r="G105" s="10"/>
      <c r="H105" s="10">
        <f t="shared" si="1"/>
        <v>0</v>
      </c>
    </row>
    <row r="106" ht="15.75" customHeight="1">
      <c r="E106" s="15"/>
      <c r="F106" s="16"/>
      <c r="G106" s="10"/>
      <c r="H106" s="10">
        <f t="shared" si="1"/>
        <v>0</v>
      </c>
    </row>
    <row r="107" ht="15.75" customHeight="1">
      <c r="E107" s="15"/>
      <c r="F107" s="16"/>
      <c r="G107" s="10"/>
      <c r="H107" s="10">
        <f t="shared" si="1"/>
        <v>0</v>
      </c>
    </row>
    <row r="108" ht="15.75" customHeight="1">
      <c r="E108" s="15"/>
      <c r="F108" s="16"/>
      <c r="G108" s="10"/>
      <c r="H108" s="10">
        <f t="shared" si="1"/>
        <v>0</v>
      </c>
    </row>
    <row r="109" ht="15.75" customHeight="1">
      <c r="E109" s="15"/>
      <c r="F109" s="16"/>
      <c r="G109" s="10"/>
      <c r="H109" s="10">
        <f t="shared" si="1"/>
        <v>0</v>
      </c>
    </row>
    <row r="110" ht="15.75" customHeight="1">
      <c r="E110" s="15"/>
      <c r="F110" s="16"/>
      <c r="G110" s="10"/>
      <c r="H110" s="10">
        <f t="shared" si="1"/>
        <v>0</v>
      </c>
    </row>
    <row r="111" ht="15.75" customHeight="1">
      <c r="E111" s="15"/>
      <c r="F111" s="16"/>
      <c r="G111" s="10"/>
      <c r="H111" s="10">
        <f t="shared" si="1"/>
        <v>0</v>
      </c>
    </row>
    <row r="112" ht="15.75" customHeight="1">
      <c r="E112" s="15"/>
      <c r="F112" s="16"/>
      <c r="G112" s="10"/>
      <c r="H112" s="10">
        <f t="shared" si="1"/>
        <v>0</v>
      </c>
    </row>
    <row r="113" ht="15.75" customHeight="1">
      <c r="E113" s="15"/>
      <c r="F113" s="16"/>
      <c r="G113" s="10"/>
      <c r="H113" s="10">
        <f t="shared" si="1"/>
        <v>0</v>
      </c>
    </row>
    <row r="114" ht="15.75" customHeight="1">
      <c r="E114" s="15"/>
      <c r="F114" s="16"/>
      <c r="G114" s="10"/>
      <c r="H114" s="10">
        <f t="shared" si="1"/>
        <v>0</v>
      </c>
    </row>
    <row r="115" ht="15.75" customHeight="1">
      <c r="E115" s="15"/>
      <c r="F115" s="16"/>
      <c r="G115" s="10"/>
      <c r="H115" s="10">
        <f t="shared" si="1"/>
        <v>0</v>
      </c>
    </row>
    <row r="116" ht="15.75" customHeight="1">
      <c r="E116" s="15"/>
      <c r="F116" s="16"/>
      <c r="G116" s="10"/>
      <c r="H116" s="10">
        <f t="shared" si="1"/>
        <v>0</v>
      </c>
    </row>
    <row r="117" ht="15.75" customHeight="1">
      <c r="E117" s="15"/>
      <c r="F117" s="16"/>
      <c r="G117" s="10"/>
      <c r="H117" s="10">
        <f t="shared" si="1"/>
        <v>0</v>
      </c>
    </row>
    <row r="118" ht="15.75" customHeight="1">
      <c r="E118" s="15"/>
      <c r="F118" s="16"/>
      <c r="G118" s="10"/>
      <c r="H118" s="10">
        <f t="shared" si="1"/>
        <v>0</v>
      </c>
    </row>
    <row r="119" ht="15.75" customHeight="1">
      <c r="E119" s="15"/>
      <c r="F119" s="16"/>
      <c r="G119" s="10"/>
      <c r="H119" s="10">
        <f t="shared" si="1"/>
        <v>0</v>
      </c>
    </row>
    <row r="120" ht="15.75" customHeight="1">
      <c r="E120" s="15"/>
      <c r="F120" s="16"/>
      <c r="G120" s="10"/>
      <c r="H120" s="10">
        <f t="shared" si="1"/>
        <v>0</v>
      </c>
    </row>
    <row r="121" ht="15.75" customHeight="1">
      <c r="E121" s="15"/>
      <c r="F121" s="16"/>
      <c r="G121" s="10"/>
      <c r="H121" s="10">
        <f t="shared" si="1"/>
        <v>0</v>
      </c>
    </row>
    <row r="122" ht="15.75" customHeight="1">
      <c r="E122" s="15"/>
      <c r="F122" s="16"/>
      <c r="G122" s="10"/>
      <c r="H122" s="10">
        <f t="shared" si="1"/>
        <v>0</v>
      </c>
    </row>
    <row r="123" ht="15.75" customHeight="1">
      <c r="E123" s="15"/>
      <c r="F123" s="16"/>
      <c r="G123" s="10"/>
      <c r="H123" s="10">
        <f t="shared" si="1"/>
        <v>0</v>
      </c>
    </row>
    <row r="124" ht="15.75" customHeight="1">
      <c r="E124" s="15"/>
      <c r="F124" s="16"/>
      <c r="G124" s="10"/>
      <c r="H124" s="10">
        <f t="shared" si="1"/>
        <v>0</v>
      </c>
    </row>
    <row r="125" ht="15.75" customHeight="1">
      <c r="E125" s="15"/>
      <c r="F125" s="16"/>
      <c r="G125" s="10"/>
      <c r="H125" s="10">
        <f t="shared" si="1"/>
        <v>0</v>
      </c>
    </row>
    <row r="126" ht="15.75" customHeight="1">
      <c r="E126" s="15"/>
      <c r="F126" s="16"/>
      <c r="G126" s="10"/>
      <c r="H126" s="10">
        <f t="shared" si="1"/>
        <v>0</v>
      </c>
    </row>
    <row r="127" ht="15.75" customHeight="1">
      <c r="E127" s="15"/>
      <c r="F127" s="16"/>
      <c r="G127" s="10"/>
      <c r="H127" s="10">
        <f t="shared" si="1"/>
        <v>0</v>
      </c>
    </row>
    <row r="128" ht="15.75" customHeight="1">
      <c r="E128" s="15"/>
      <c r="F128" s="16"/>
      <c r="G128" s="10"/>
      <c r="H128" s="10">
        <f t="shared" si="1"/>
        <v>0</v>
      </c>
    </row>
    <row r="129" ht="15.75" customHeight="1">
      <c r="E129" s="15"/>
      <c r="F129" s="16"/>
      <c r="G129" s="10"/>
      <c r="H129" s="10">
        <f t="shared" si="1"/>
        <v>0</v>
      </c>
    </row>
    <row r="130" ht="15.75" customHeight="1">
      <c r="E130" s="15"/>
      <c r="F130" s="16"/>
      <c r="G130" s="10"/>
      <c r="H130" s="10">
        <f t="shared" si="1"/>
        <v>0</v>
      </c>
    </row>
    <row r="131" ht="15.75" customHeight="1">
      <c r="E131" s="15"/>
      <c r="F131" s="16"/>
      <c r="G131" s="10"/>
      <c r="H131" s="10">
        <f t="shared" si="1"/>
        <v>0</v>
      </c>
    </row>
    <row r="132" ht="15.75" customHeight="1">
      <c r="E132" s="15"/>
      <c r="F132" s="16"/>
      <c r="G132" s="10"/>
      <c r="H132" s="10">
        <f t="shared" si="1"/>
        <v>0</v>
      </c>
    </row>
    <row r="133" ht="15.75" customHeight="1">
      <c r="E133" s="15"/>
      <c r="F133" s="16"/>
      <c r="G133" s="10"/>
      <c r="H133" s="10">
        <f t="shared" si="1"/>
        <v>0</v>
      </c>
    </row>
    <row r="134" ht="15.75" customHeight="1">
      <c r="E134" s="15"/>
      <c r="F134" s="16"/>
      <c r="G134" s="10"/>
      <c r="H134" s="10">
        <f t="shared" si="1"/>
        <v>0</v>
      </c>
    </row>
    <row r="135" ht="15.75" customHeight="1">
      <c r="E135" s="15"/>
      <c r="F135" s="16"/>
      <c r="G135" s="10"/>
      <c r="H135" s="10">
        <f t="shared" si="1"/>
        <v>0</v>
      </c>
    </row>
    <row r="136" ht="15.75" customHeight="1">
      <c r="E136" s="15"/>
      <c r="F136" s="16"/>
      <c r="G136" s="10"/>
      <c r="H136" s="10">
        <f t="shared" si="1"/>
        <v>0</v>
      </c>
    </row>
    <row r="137" ht="15.75" customHeight="1">
      <c r="E137" s="15"/>
      <c r="F137" s="16"/>
      <c r="G137" s="10"/>
      <c r="H137" s="10">
        <f t="shared" si="1"/>
        <v>0</v>
      </c>
    </row>
    <row r="138" ht="15.75" customHeight="1">
      <c r="E138" s="15"/>
      <c r="F138" s="16"/>
      <c r="G138" s="10"/>
      <c r="H138" s="10">
        <f t="shared" si="1"/>
        <v>0</v>
      </c>
    </row>
    <row r="139" ht="15.75" customHeight="1">
      <c r="E139" s="15"/>
      <c r="F139" s="16"/>
      <c r="G139" s="10"/>
      <c r="H139" s="10">
        <f t="shared" si="1"/>
        <v>0</v>
      </c>
    </row>
    <row r="140" ht="15.75" customHeight="1">
      <c r="E140" s="15"/>
      <c r="F140" s="16"/>
      <c r="G140" s="10"/>
      <c r="H140" s="10">
        <f t="shared" si="1"/>
        <v>0</v>
      </c>
    </row>
    <row r="141" ht="15.75" customHeight="1">
      <c r="E141" s="15"/>
      <c r="F141" s="16"/>
      <c r="G141" s="10"/>
      <c r="H141" s="10">
        <f t="shared" si="1"/>
        <v>0</v>
      </c>
    </row>
    <row r="142" ht="15.75" customHeight="1">
      <c r="E142" s="15"/>
      <c r="F142" s="16"/>
      <c r="G142" s="10"/>
      <c r="H142" s="10">
        <f t="shared" si="1"/>
        <v>0</v>
      </c>
    </row>
    <row r="143" ht="15.75" customHeight="1">
      <c r="E143" s="15"/>
      <c r="F143" s="16"/>
      <c r="G143" s="10"/>
      <c r="H143" s="10">
        <f t="shared" si="1"/>
        <v>0</v>
      </c>
    </row>
    <row r="144" ht="15.75" customHeight="1">
      <c r="E144" s="15"/>
      <c r="F144" s="16"/>
      <c r="G144" s="10"/>
      <c r="H144" s="10">
        <f t="shared" si="1"/>
        <v>0</v>
      </c>
    </row>
    <row r="145" ht="15.75" customHeight="1">
      <c r="E145" s="15"/>
      <c r="F145" s="16"/>
      <c r="G145" s="10"/>
      <c r="H145" s="10">
        <f t="shared" si="1"/>
        <v>0</v>
      </c>
    </row>
    <row r="146" ht="15.75" customHeight="1">
      <c r="E146" s="15"/>
      <c r="F146" s="16"/>
      <c r="G146" s="10"/>
      <c r="H146" s="10">
        <f t="shared" si="1"/>
        <v>0</v>
      </c>
    </row>
    <row r="147" ht="15.75" customHeight="1">
      <c r="E147" s="15"/>
      <c r="F147" s="16"/>
      <c r="G147" s="10"/>
      <c r="H147" s="10">
        <f t="shared" si="1"/>
        <v>0</v>
      </c>
    </row>
    <row r="148" ht="15.75" customHeight="1">
      <c r="E148" s="15"/>
      <c r="F148" s="16"/>
      <c r="G148" s="10"/>
      <c r="H148" s="10">
        <f t="shared" si="1"/>
        <v>0</v>
      </c>
    </row>
    <row r="149" ht="15.75" customHeight="1">
      <c r="E149" s="15"/>
      <c r="F149" s="16"/>
      <c r="G149" s="10"/>
      <c r="H149" s="10">
        <f t="shared" si="1"/>
        <v>0</v>
      </c>
    </row>
    <row r="150" ht="15.75" customHeight="1">
      <c r="E150" s="15"/>
      <c r="F150" s="16"/>
      <c r="G150" s="10"/>
      <c r="H150" s="10">
        <f t="shared" si="1"/>
        <v>0</v>
      </c>
    </row>
    <row r="151" ht="15.75" customHeight="1">
      <c r="E151" s="15"/>
      <c r="F151" s="16"/>
      <c r="G151" s="10"/>
      <c r="H151" s="10">
        <f t="shared" si="1"/>
        <v>0</v>
      </c>
    </row>
    <row r="152" ht="15.75" customHeight="1">
      <c r="E152" s="15"/>
      <c r="F152" s="16"/>
      <c r="G152" s="10"/>
      <c r="H152" s="10">
        <f t="shared" si="1"/>
        <v>0</v>
      </c>
    </row>
    <row r="153" ht="15.75" customHeight="1">
      <c r="E153" s="15"/>
      <c r="F153" s="16"/>
      <c r="G153" s="10"/>
      <c r="H153" s="10">
        <f t="shared" si="1"/>
        <v>0</v>
      </c>
    </row>
    <row r="154" ht="15.75" customHeight="1">
      <c r="E154" s="15"/>
      <c r="F154" s="16"/>
      <c r="G154" s="10"/>
      <c r="H154" s="10">
        <f t="shared" si="1"/>
        <v>0</v>
      </c>
    </row>
    <row r="155" ht="15.75" customHeight="1">
      <c r="E155" s="15"/>
      <c r="F155" s="16"/>
      <c r="G155" s="10"/>
      <c r="H155" s="10">
        <f t="shared" si="1"/>
        <v>0</v>
      </c>
    </row>
    <row r="156" ht="15.75" customHeight="1">
      <c r="E156" s="15"/>
      <c r="F156" s="16"/>
      <c r="G156" s="10"/>
      <c r="H156" s="10">
        <f t="shared" si="1"/>
        <v>0</v>
      </c>
    </row>
    <row r="157" ht="15.75" customHeight="1">
      <c r="E157" s="15"/>
      <c r="F157" s="16"/>
      <c r="G157" s="10"/>
      <c r="H157" s="10">
        <f t="shared" si="1"/>
        <v>0</v>
      </c>
    </row>
    <row r="158" ht="15.75" customHeight="1">
      <c r="E158" s="15"/>
      <c r="F158" s="16"/>
      <c r="G158" s="10"/>
      <c r="H158" s="10">
        <f t="shared" si="1"/>
        <v>0</v>
      </c>
    </row>
    <row r="159" ht="15.75" customHeight="1">
      <c r="E159" s="15"/>
      <c r="F159" s="16"/>
      <c r="G159" s="10"/>
      <c r="H159" s="10">
        <f t="shared" si="1"/>
        <v>0</v>
      </c>
    </row>
    <row r="160" ht="15.75" customHeight="1">
      <c r="E160" s="15"/>
      <c r="F160" s="16"/>
      <c r="G160" s="10"/>
      <c r="H160" s="10">
        <f t="shared" si="1"/>
        <v>0</v>
      </c>
    </row>
    <row r="161" ht="15.75" customHeight="1">
      <c r="E161" s="15"/>
      <c r="F161" s="16"/>
      <c r="G161" s="10"/>
      <c r="H161" s="10">
        <f t="shared" si="1"/>
        <v>0</v>
      </c>
    </row>
    <row r="162" ht="15.75" customHeight="1">
      <c r="E162" s="15"/>
      <c r="F162" s="16"/>
      <c r="G162" s="10"/>
      <c r="H162" s="10">
        <f t="shared" si="1"/>
        <v>0</v>
      </c>
    </row>
    <row r="163" ht="15.75" customHeight="1">
      <c r="E163" s="15"/>
      <c r="F163" s="16"/>
      <c r="G163" s="10"/>
      <c r="H163" s="10">
        <f t="shared" si="1"/>
        <v>0</v>
      </c>
    </row>
    <row r="164" ht="15.75" customHeight="1">
      <c r="E164" s="15"/>
      <c r="F164" s="16"/>
      <c r="G164" s="10"/>
      <c r="H164" s="10">
        <f t="shared" si="1"/>
        <v>0</v>
      </c>
    </row>
    <row r="165" ht="15.75" customHeight="1">
      <c r="E165" s="15"/>
      <c r="F165" s="16"/>
      <c r="G165" s="10"/>
      <c r="H165" s="10">
        <f t="shared" si="1"/>
        <v>0</v>
      </c>
    </row>
    <row r="166" ht="15.75" customHeight="1">
      <c r="E166" s="15"/>
      <c r="F166" s="16"/>
      <c r="G166" s="10"/>
      <c r="H166" s="10">
        <f t="shared" si="1"/>
        <v>0</v>
      </c>
    </row>
    <row r="167" ht="15.75" customHeight="1">
      <c r="E167" s="15"/>
      <c r="F167" s="16"/>
      <c r="G167" s="10"/>
      <c r="H167" s="10">
        <f t="shared" si="1"/>
        <v>0</v>
      </c>
    </row>
    <row r="168" ht="15.75" customHeight="1">
      <c r="E168" s="15"/>
      <c r="F168" s="16"/>
      <c r="G168" s="10"/>
      <c r="H168" s="10">
        <f t="shared" si="1"/>
        <v>0</v>
      </c>
    </row>
    <row r="169" ht="15.75" customHeight="1">
      <c r="E169" s="15"/>
      <c r="F169" s="16"/>
      <c r="G169" s="10"/>
      <c r="H169" s="10">
        <f t="shared" si="1"/>
        <v>0</v>
      </c>
    </row>
    <row r="170" ht="15.75" customHeight="1">
      <c r="E170" s="15"/>
      <c r="F170" s="16"/>
      <c r="G170" s="10"/>
      <c r="H170" s="10">
        <f t="shared" si="1"/>
        <v>0</v>
      </c>
    </row>
    <row r="171" ht="15.75" customHeight="1">
      <c r="E171" s="15"/>
      <c r="F171" s="16"/>
      <c r="G171" s="10"/>
      <c r="H171" s="10">
        <f t="shared" si="1"/>
        <v>0</v>
      </c>
    </row>
    <row r="172" ht="15.75" customHeight="1">
      <c r="E172" s="15"/>
      <c r="F172" s="16"/>
      <c r="G172" s="10"/>
      <c r="H172" s="10">
        <f t="shared" si="1"/>
        <v>0</v>
      </c>
    </row>
    <row r="173" ht="15.75" customHeight="1">
      <c r="E173" s="15"/>
      <c r="F173" s="16"/>
      <c r="G173" s="10"/>
      <c r="H173" s="10">
        <f t="shared" si="1"/>
        <v>0</v>
      </c>
    </row>
    <row r="174" ht="15.75" customHeight="1">
      <c r="E174" s="15"/>
      <c r="F174" s="16"/>
      <c r="G174" s="10"/>
      <c r="H174" s="10">
        <f t="shared" si="1"/>
        <v>0</v>
      </c>
    </row>
    <row r="175" ht="15.75" customHeight="1">
      <c r="E175" s="15"/>
      <c r="F175" s="16"/>
      <c r="G175" s="10"/>
      <c r="H175" s="10">
        <f t="shared" si="1"/>
        <v>0</v>
      </c>
    </row>
    <row r="176" ht="15.75" customHeight="1">
      <c r="E176" s="15"/>
      <c r="F176" s="16"/>
      <c r="G176" s="10"/>
      <c r="H176" s="10">
        <f t="shared" si="1"/>
        <v>0</v>
      </c>
    </row>
    <row r="177" ht="15.75" customHeight="1">
      <c r="E177" s="15"/>
      <c r="F177" s="16"/>
      <c r="G177" s="10"/>
      <c r="H177" s="10">
        <f t="shared" si="1"/>
        <v>0</v>
      </c>
    </row>
    <row r="178" ht="15.75" customHeight="1">
      <c r="E178" s="15"/>
      <c r="F178" s="16"/>
      <c r="G178" s="10"/>
      <c r="H178" s="10">
        <f t="shared" si="1"/>
        <v>0</v>
      </c>
    </row>
    <row r="179" ht="15.75" customHeight="1">
      <c r="E179" s="15"/>
      <c r="F179" s="16"/>
      <c r="G179" s="10"/>
      <c r="H179" s="10">
        <f t="shared" si="1"/>
        <v>0</v>
      </c>
    </row>
    <row r="180" ht="15.75" customHeight="1">
      <c r="E180" s="15"/>
      <c r="F180" s="16"/>
      <c r="G180" s="10"/>
      <c r="H180" s="10">
        <f t="shared" si="1"/>
        <v>0</v>
      </c>
    </row>
    <row r="181" ht="15.75" customHeight="1">
      <c r="E181" s="15"/>
      <c r="F181" s="16"/>
      <c r="G181" s="10"/>
      <c r="H181" s="10">
        <f t="shared" si="1"/>
        <v>0</v>
      </c>
    </row>
    <row r="182" ht="15.75" customHeight="1">
      <c r="E182" s="15"/>
      <c r="F182" s="16"/>
      <c r="G182" s="10"/>
      <c r="H182" s="10">
        <f t="shared" si="1"/>
        <v>0</v>
      </c>
    </row>
    <row r="183" ht="15.75" customHeight="1">
      <c r="E183" s="15"/>
      <c r="F183" s="16"/>
      <c r="G183" s="10"/>
      <c r="H183" s="10">
        <f t="shared" si="1"/>
        <v>0</v>
      </c>
    </row>
    <row r="184" ht="15.75" customHeight="1">
      <c r="E184" s="15"/>
      <c r="F184" s="16"/>
      <c r="G184" s="10"/>
      <c r="H184" s="10">
        <f t="shared" si="1"/>
        <v>0</v>
      </c>
    </row>
    <row r="185" ht="15.75" customHeight="1">
      <c r="E185" s="15"/>
      <c r="F185" s="16"/>
      <c r="G185" s="10"/>
      <c r="H185" s="10">
        <f t="shared" si="1"/>
        <v>0</v>
      </c>
    </row>
    <row r="186" ht="15.75" customHeight="1">
      <c r="E186" s="15"/>
      <c r="F186" s="16"/>
      <c r="G186" s="10"/>
      <c r="H186" s="10">
        <f t="shared" si="1"/>
        <v>0</v>
      </c>
    </row>
    <row r="187" ht="15.75" customHeight="1">
      <c r="E187" s="15"/>
      <c r="F187" s="16"/>
      <c r="G187" s="10"/>
      <c r="H187" s="10">
        <f t="shared" si="1"/>
        <v>0</v>
      </c>
    </row>
    <row r="188" ht="15.75" customHeight="1">
      <c r="E188" s="15"/>
      <c r="F188" s="16"/>
      <c r="G188" s="10"/>
      <c r="H188" s="10">
        <f t="shared" si="1"/>
        <v>0</v>
      </c>
    </row>
    <row r="189" ht="15.75" customHeight="1">
      <c r="E189" s="15"/>
      <c r="F189" s="16"/>
      <c r="G189" s="10"/>
      <c r="H189" s="10">
        <f t="shared" si="1"/>
        <v>0</v>
      </c>
    </row>
    <row r="190" ht="15.75" customHeight="1">
      <c r="E190" s="15"/>
      <c r="F190" s="16"/>
      <c r="G190" s="10"/>
      <c r="H190" s="10">
        <f t="shared" si="1"/>
        <v>0</v>
      </c>
    </row>
    <row r="191" ht="15.75" customHeight="1">
      <c r="E191" s="15"/>
      <c r="F191" s="16"/>
      <c r="G191" s="10"/>
      <c r="H191" s="10">
        <f t="shared" si="1"/>
        <v>0</v>
      </c>
    </row>
    <row r="192" ht="15.75" customHeight="1">
      <c r="E192" s="15"/>
      <c r="F192" s="16"/>
      <c r="G192" s="10"/>
      <c r="H192" s="10">
        <f t="shared" si="1"/>
        <v>0</v>
      </c>
    </row>
    <row r="193" ht="15.75" customHeight="1">
      <c r="E193" s="15"/>
      <c r="F193" s="16"/>
      <c r="G193" s="10"/>
      <c r="H193" s="10">
        <f t="shared" si="1"/>
        <v>0</v>
      </c>
    </row>
    <row r="194" ht="15.75" customHeight="1">
      <c r="E194" s="15"/>
      <c r="F194" s="16"/>
      <c r="G194" s="10"/>
      <c r="H194" s="10">
        <f t="shared" si="1"/>
        <v>0</v>
      </c>
    </row>
    <row r="195" ht="15.75" customHeight="1">
      <c r="E195" s="15"/>
      <c r="F195" s="16"/>
      <c r="G195" s="10"/>
      <c r="H195" s="10">
        <f t="shared" si="1"/>
        <v>0</v>
      </c>
    </row>
    <row r="196" ht="15.75" customHeight="1">
      <c r="E196" s="15"/>
      <c r="F196" s="16"/>
      <c r="G196" s="10"/>
      <c r="H196" s="10">
        <f t="shared" si="1"/>
        <v>0</v>
      </c>
    </row>
    <row r="197" ht="15.75" customHeight="1">
      <c r="E197" s="15"/>
      <c r="F197" s="16"/>
      <c r="G197" s="10"/>
      <c r="H197" s="10">
        <f t="shared" si="1"/>
        <v>0</v>
      </c>
    </row>
    <row r="198" ht="15.75" customHeight="1">
      <c r="E198" s="15"/>
      <c r="F198" s="16"/>
      <c r="G198" s="10"/>
      <c r="H198" s="10">
        <f t="shared" si="1"/>
        <v>0</v>
      </c>
    </row>
    <row r="199" ht="15.75" customHeight="1">
      <c r="E199" s="15"/>
      <c r="F199" s="16"/>
      <c r="G199" s="10"/>
      <c r="H199" s="10">
        <f t="shared" si="1"/>
        <v>0</v>
      </c>
    </row>
    <row r="200" ht="15.75" customHeight="1">
      <c r="E200" s="15"/>
      <c r="F200" s="16"/>
      <c r="G200" s="10"/>
      <c r="H200" s="10">
        <f t="shared" si="1"/>
        <v>0</v>
      </c>
    </row>
    <row r="201" ht="15.75" customHeight="1">
      <c r="E201" s="15"/>
      <c r="F201" s="16"/>
      <c r="G201" s="10"/>
      <c r="H201" s="10">
        <f t="shared" si="1"/>
        <v>0</v>
      </c>
    </row>
    <row r="202" ht="15.75" customHeight="1">
      <c r="E202" s="15"/>
      <c r="F202" s="16"/>
      <c r="G202" s="10"/>
      <c r="H202" s="10">
        <f t="shared" si="1"/>
        <v>0</v>
      </c>
    </row>
    <row r="203" ht="15.75" customHeight="1">
      <c r="E203" s="15"/>
      <c r="F203" s="16"/>
      <c r="G203" s="10"/>
      <c r="H203" s="10">
        <f t="shared" si="1"/>
        <v>0</v>
      </c>
    </row>
    <row r="204" ht="15.75" customHeight="1">
      <c r="E204" s="15"/>
      <c r="F204" s="16"/>
      <c r="G204" s="10"/>
      <c r="H204" s="10">
        <f t="shared" si="1"/>
        <v>0</v>
      </c>
    </row>
    <row r="205" ht="15.75" customHeight="1">
      <c r="E205" s="15"/>
      <c r="F205" s="16"/>
      <c r="G205" s="10"/>
      <c r="H205" s="10">
        <f t="shared" si="1"/>
        <v>0</v>
      </c>
    </row>
    <row r="206" ht="15.75" customHeight="1">
      <c r="E206" s="15"/>
      <c r="F206" s="16"/>
      <c r="G206" s="10"/>
      <c r="H206" s="10">
        <f t="shared" si="1"/>
        <v>0</v>
      </c>
    </row>
    <row r="207" ht="15.75" customHeight="1">
      <c r="E207" s="15"/>
      <c r="F207" s="16"/>
      <c r="G207" s="10"/>
      <c r="H207" s="10">
        <f t="shared" si="1"/>
        <v>0</v>
      </c>
    </row>
    <row r="208" ht="15.75" customHeight="1">
      <c r="E208" s="15"/>
      <c r="F208" s="16"/>
      <c r="G208" s="10"/>
      <c r="H208" s="10">
        <f t="shared" si="1"/>
        <v>0</v>
      </c>
    </row>
    <row r="209" ht="15.75" customHeight="1">
      <c r="E209" s="15"/>
      <c r="F209" s="16"/>
      <c r="G209" s="10"/>
      <c r="H209" s="10">
        <f t="shared" si="1"/>
        <v>0</v>
      </c>
    </row>
    <row r="210" ht="15.75" customHeight="1">
      <c r="E210" s="15"/>
      <c r="F210" s="16"/>
      <c r="G210" s="10"/>
      <c r="H210" s="10">
        <f t="shared" si="1"/>
        <v>0</v>
      </c>
    </row>
    <row r="211" ht="15.75" customHeight="1">
      <c r="E211" s="15"/>
      <c r="F211" s="16"/>
      <c r="G211" s="10"/>
      <c r="H211" s="10">
        <f t="shared" si="1"/>
        <v>0</v>
      </c>
    </row>
    <row r="212" ht="15.75" customHeight="1">
      <c r="E212" s="15"/>
      <c r="F212" s="16"/>
      <c r="G212" s="10"/>
      <c r="H212" s="10">
        <f t="shared" si="1"/>
        <v>0</v>
      </c>
    </row>
    <row r="213" ht="15.75" customHeight="1">
      <c r="E213" s="15"/>
      <c r="F213" s="16"/>
      <c r="G213" s="10"/>
      <c r="H213" s="10">
        <f t="shared" si="1"/>
        <v>0</v>
      </c>
    </row>
    <row r="214" ht="15.75" customHeight="1">
      <c r="E214" s="15"/>
      <c r="F214" s="16"/>
      <c r="G214" s="10"/>
      <c r="H214" s="10">
        <f t="shared" si="1"/>
        <v>0</v>
      </c>
    </row>
    <row r="215" ht="15.75" customHeight="1">
      <c r="E215" s="15"/>
      <c r="F215" s="16"/>
      <c r="G215" s="10"/>
      <c r="H215" s="10">
        <f t="shared" si="1"/>
        <v>0</v>
      </c>
    </row>
    <row r="216" ht="15.75" customHeight="1">
      <c r="E216" s="15"/>
      <c r="F216" s="16"/>
      <c r="G216" s="10"/>
      <c r="H216" s="10">
        <f t="shared" si="1"/>
        <v>0</v>
      </c>
    </row>
    <row r="217" ht="15.75" customHeight="1">
      <c r="E217" s="15"/>
      <c r="F217" s="16"/>
      <c r="G217" s="10"/>
      <c r="H217" s="10">
        <f t="shared" si="1"/>
        <v>0</v>
      </c>
    </row>
    <row r="218" ht="15.75" customHeight="1">
      <c r="E218" s="15"/>
      <c r="F218" s="16"/>
      <c r="G218" s="10"/>
      <c r="H218" s="10">
        <f t="shared" si="1"/>
        <v>0</v>
      </c>
    </row>
    <row r="219" ht="15.75" customHeight="1">
      <c r="E219" s="15"/>
      <c r="F219" s="16"/>
      <c r="G219" s="10"/>
      <c r="H219" s="10">
        <f t="shared" si="1"/>
        <v>0</v>
      </c>
    </row>
    <row r="220" ht="15.75" customHeight="1">
      <c r="E220" s="15"/>
      <c r="F220" s="16"/>
      <c r="G220" s="10"/>
      <c r="H220" s="10">
        <f t="shared" si="1"/>
        <v>0</v>
      </c>
    </row>
    <row r="221" ht="15.75" customHeight="1">
      <c r="F221" s="16"/>
      <c r="G221" s="11"/>
      <c r="H221" s="11">
        <f t="shared" si="1"/>
        <v>0</v>
      </c>
    </row>
    <row r="222" ht="15.75" customHeight="1">
      <c r="F222" s="16"/>
      <c r="G222" s="11"/>
      <c r="H222" s="11">
        <f t="shared" si="1"/>
        <v>0</v>
      </c>
    </row>
    <row r="223" ht="15.75" customHeight="1">
      <c r="F223" s="16"/>
      <c r="G223" s="11"/>
      <c r="H223" s="11">
        <f t="shared" si="1"/>
        <v>0</v>
      </c>
    </row>
    <row r="224" ht="15.75" customHeight="1">
      <c r="F224" s="16"/>
      <c r="G224" s="11"/>
      <c r="H224" s="11">
        <f t="shared" si="1"/>
        <v>0</v>
      </c>
    </row>
    <row r="225" ht="15.75" customHeight="1">
      <c r="F225" s="16"/>
      <c r="G225" s="11"/>
      <c r="H225" s="11">
        <f t="shared" si="1"/>
        <v>0</v>
      </c>
    </row>
    <row r="226" ht="15.75" customHeight="1">
      <c r="F226" s="16"/>
      <c r="G226" s="11"/>
      <c r="H226" s="11">
        <f t="shared" si="1"/>
        <v>0</v>
      </c>
    </row>
    <row r="227" ht="15.75" customHeight="1">
      <c r="F227" s="16"/>
      <c r="G227" s="11"/>
      <c r="H227" s="11">
        <f t="shared" si="1"/>
        <v>0</v>
      </c>
    </row>
    <row r="228" ht="15.75" customHeight="1">
      <c r="F228" s="16"/>
      <c r="G228" s="11"/>
      <c r="H228" s="11">
        <f t="shared" si="1"/>
        <v>0</v>
      </c>
    </row>
    <row r="229" ht="15.75" customHeight="1">
      <c r="F229" s="16"/>
      <c r="G229" s="11"/>
      <c r="H229" s="11">
        <f t="shared" si="1"/>
        <v>0</v>
      </c>
    </row>
    <row r="230" ht="15.75" customHeight="1">
      <c r="F230" s="16"/>
      <c r="G230" s="11"/>
      <c r="H230" s="11">
        <f t="shared" si="1"/>
        <v>0</v>
      </c>
    </row>
    <row r="231" ht="15.75" customHeight="1">
      <c r="F231" s="16"/>
      <c r="G231" s="11"/>
      <c r="H231" s="11">
        <f t="shared" si="1"/>
        <v>0</v>
      </c>
    </row>
    <row r="232" ht="15.75" customHeight="1">
      <c r="F232" s="16"/>
      <c r="G232" s="11"/>
      <c r="H232" s="11">
        <f t="shared" si="1"/>
        <v>0</v>
      </c>
    </row>
    <row r="233" ht="15.75" customHeight="1">
      <c r="F233" s="16"/>
      <c r="G233" s="11"/>
      <c r="H233" s="11">
        <f t="shared" si="1"/>
        <v>0</v>
      </c>
    </row>
    <row r="234" ht="15.75" customHeight="1">
      <c r="F234" s="16"/>
      <c r="G234" s="11"/>
      <c r="H234" s="11">
        <f t="shared" si="1"/>
        <v>0</v>
      </c>
    </row>
    <row r="235" ht="15.75" customHeight="1">
      <c r="F235" s="16"/>
      <c r="G235" s="11"/>
      <c r="H235" s="11">
        <f t="shared" si="1"/>
        <v>0</v>
      </c>
    </row>
    <row r="236" ht="15.75" customHeight="1">
      <c r="F236" s="16"/>
      <c r="G236" s="11"/>
      <c r="H236" s="11">
        <f t="shared" si="1"/>
        <v>0</v>
      </c>
    </row>
    <row r="237" ht="15.75" customHeight="1">
      <c r="F237" s="16"/>
      <c r="G237" s="11"/>
      <c r="H237" s="11">
        <f t="shared" si="1"/>
        <v>0</v>
      </c>
    </row>
    <row r="238" ht="15.75" customHeight="1">
      <c r="F238" s="16"/>
      <c r="G238" s="11"/>
      <c r="H238" s="11">
        <f t="shared" si="1"/>
        <v>0</v>
      </c>
    </row>
    <row r="239" ht="15.75" customHeight="1">
      <c r="F239" s="16"/>
      <c r="G239" s="11"/>
      <c r="H239" s="11">
        <f t="shared" si="1"/>
        <v>0</v>
      </c>
    </row>
    <row r="240" ht="15.75" customHeight="1">
      <c r="F240" s="16"/>
      <c r="G240" s="11"/>
      <c r="H240" s="11">
        <f t="shared" si="1"/>
        <v>0</v>
      </c>
    </row>
    <row r="241" ht="15.75" customHeight="1">
      <c r="F241" s="16"/>
      <c r="G241" s="11"/>
      <c r="H241" s="11">
        <f t="shared" si="1"/>
        <v>0</v>
      </c>
    </row>
    <row r="242" ht="15.75" customHeight="1">
      <c r="F242" s="16"/>
      <c r="G242" s="11"/>
      <c r="H242" s="11">
        <f t="shared" si="1"/>
        <v>0</v>
      </c>
    </row>
    <row r="243" ht="15.75" customHeight="1">
      <c r="F243" s="16"/>
      <c r="G243" s="11"/>
      <c r="H243" s="11">
        <f t="shared" si="1"/>
        <v>0</v>
      </c>
    </row>
    <row r="244" ht="15.75" customHeight="1">
      <c r="F244" s="16"/>
      <c r="G244" s="11"/>
      <c r="H244" s="11">
        <f t="shared" si="1"/>
        <v>0</v>
      </c>
    </row>
    <row r="245" ht="15.75" customHeight="1">
      <c r="F245" s="16"/>
      <c r="G245" s="11"/>
      <c r="H245" s="11">
        <f t="shared" si="1"/>
        <v>0</v>
      </c>
    </row>
    <row r="246" ht="15.75" customHeight="1">
      <c r="F246" s="16"/>
      <c r="G246" s="11"/>
      <c r="H246" s="11">
        <f t="shared" si="1"/>
        <v>0</v>
      </c>
    </row>
    <row r="247" ht="15.75" customHeight="1">
      <c r="F247" s="16"/>
      <c r="G247" s="11"/>
      <c r="H247" s="11">
        <f t="shared" si="1"/>
        <v>0</v>
      </c>
    </row>
    <row r="248" ht="15.75" customHeight="1">
      <c r="F248" s="16"/>
      <c r="G248" s="11"/>
      <c r="H248" s="11">
        <f t="shared" si="1"/>
        <v>0</v>
      </c>
    </row>
    <row r="249" ht="15.75" customHeight="1">
      <c r="F249" s="16"/>
      <c r="G249" s="11"/>
      <c r="H249" s="11">
        <f t="shared" si="1"/>
        <v>0</v>
      </c>
    </row>
    <row r="250" ht="15.75" customHeight="1">
      <c r="F250" s="16"/>
      <c r="G250" s="11"/>
      <c r="H250" s="11">
        <f t="shared" si="1"/>
        <v>0</v>
      </c>
    </row>
    <row r="251" ht="15.75" customHeight="1">
      <c r="F251" s="16"/>
      <c r="G251" s="11"/>
      <c r="H251" s="11">
        <f t="shared" si="1"/>
        <v>0</v>
      </c>
    </row>
    <row r="252" ht="15.75" customHeight="1">
      <c r="F252" s="16"/>
      <c r="G252" s="11"/>
      <c r="H252" s="11">
        <f t="shared" si="1"/>
        <v>0</v>
      </c>
    </row>
    <row r="253" ht="15.75" customHeight="1">
      <c r="F253" s="16"/>
      <c r="G253" s="11"/>
      <c r="H253" s="11">
        <f t="shared" si="1"/>
        <v>0</v>
      </c>
    </row>
    <row r="254" ht="15.75" customHeight="1">
      <c r="F254" s="16"/>
      <c r="G254" s="11"/>
      <c r="H254" s="11">
        <f t="shared" si="1"/>
        <v>0</v>
      </c>
    </row>
    <row r="255" ht="15.75" customHeight="1">
      <c r="F255" s="16"/>
      <c r="G255" s="11"/>
      <c r="H255" s="11">
        <f t="shared" si="1"/>
        <v>0</v>
      </c>
    </row>
    <row r="256" ht="15.75" customHeight="1">
      <c r="F256" s="16"/>
      <c r="G256" s="11"/>
      <c r="H256" s="11">
        <f t="shared" si="1"/>
        <v>0</v>
      </c>
    </row>
    <row r="257" ht="15.75" customHeight="1">
      <c r="F257" s="16"/>
      <c r="G257" s="11"/>
      <c r="H257" s="11">
        <f t="shared" si="1"/>
        <v>0</v>
      </c>
    </row>
    <row r="258" ht="15.75" customHeight="1">
      <c r="F258" s="16"/>
      <c r="G258" s="11"/>
      <c r="H258" s="11">
        <f t="shared" si="1"/>
        <v>0</v>
      </c>
    </row>
    <row r="259" ht="15.75" customHeight="1">
      <c r="F259" s="16"/>
      <c r="G259" s="11"/>
      <c r="H259" s="11">
        <f t="shared" si="1"/>
        <v>0</v>
      </c>
    </row>
    <row r="260" ht="15.75" customHeight="1">
      <c r="F260" s="16"/>
      <c r="G260" s="11"/>
      <c r="H260" s="11">
        <f t="shared" si="1"/>
        <v>0</v>
      </c>
    </row>
    <row r="261" ht="15.75" customHeight="1">
      <c r="F261" s="16"/>
      <c r="G261" s="11"/>
      <c r="H261" s="11">
        <f t="shared" si="1"/>
        <v>0</v>
      </c>
    </row>
    <row r="262" ht="15.75" customHeight="1">
      <c r="F262" s="16"/>
      <c r="G262" s="11"/>
      <c r="H262" s="11">
        <f t="shared" si="1"/>
        <v>0</v>
      </c>
    </row>
    <row r="263" ht="15.75" customHeight="1">
      <c r="F263" s="16"/>
      <c r="G263" s="11"/>
      <c r="H263" s="11">
        <f t="shared" si="1"/>
        <v>0</v>
      </c>
    </row>
    <row r="264" ht="15.75" customHeight="1">
      <c r="F264" s="16"/>
      <c r="G264" s="11"/>
      <c r="H264" s="11">
        <f t="shared" si="1"/>
        <v>0</v>
      </c>
    </row>
    <row r="265" ht="15.75" customHeight="1">
      <c r="F265" s="16"/>
      <c r="G265" s="11"/>
      <c r="H265" s="11">
        <f t="shared" si="1"/>
        <v>0</v>
      </c>
    </row>
    <row r="266" ht="15.75" customHeight="1">
      <c r="F266" s="16"/>
      <c r="G266" s="11"/>
      <c r="H266" s="11">
        <f t="shared" si="1"/>
        <v>0</v>
      </c>
    </row>
    <row r="267" ht="15.75" customHeight="1">
      <c r="F267" s="16"/>
      <c r="G267" s="11"/>
      <c r="H267" s="11">
        <f t="shared" si="1"/>
        <v>0</v>
      </c>
    </row>
    <row r="268" ht="15.75" customHeight="1">
      <c r="F268" s="16"/>
      <c r="G268" s="11"/>
      <c r="H268" s="11">
        <f t="shared" si="1"/>
        <v>0</v>
      </c>
    </row>
    <row r="269" ht="15.75" customHeight="1">
      <c r="F269" s="16"/>
      <c r="G269" s="11"/>
      <c r="H269" s="11">
        <f t="shared" si="1"/>
        <v>0</v>
      </c>
    </row>
    <row r="270" ht="15.75" customHeight="1">
      <c r="F270" s="16"/>
      <c r="G270" s="11"/>
      <c r="H270" s="11">
        <f t="shared" si="1"/>
        <v>0</v>
      </c>
    </row>
    <row r="271" ht="15.75" customHeight="1">
      <c r="F271" s="16"/>
      <c r="G271" s="11"/>
      <c r="H271" s="11">
        <f t="shared" si="1"/>
        <v>0</v>
      </c>
    </row>
    <row r="272" ht="15.75" customHeight="1">
      <c r="F272" s="16"/>
      <c r="G272" s="11"/>
      <c r="H272" s="11">
        <f t="shared" si="1"/>
        <v>0</v>
      </c>
    </row>
    <row r="273" ht="15.75" customHeight="1">
      <c r="F273" s="16"/>
      <c r="G273" s="11"/>
      <c r="H273" s="11">
        <f t="shared" si="1"/>
        <v>0</v>
      </c>
    </row>
    <row r="274" ht="15.75" customHeight="1">
      <c r="F274" s="16"/>
      <c r="G274" s="11"/>
      <c r="H274" s="11">
        <f t="shared" si="1"/>
        <v>0</v>
      </c>
    </row>
    <row r="275" ht="15.75" customHeight="1">
      <c r="F275" s="16"/>
      <c r="G275" s="11"/>
      <c r="H275" s="11">
        <f t="shared" si="1"/>
        <v>0</v>
      </c>
    </row>
    <row r="276" ht="15.75" customHeight="1">
      <c r="F276" s="16"/>
      <c r="G276" s="11"/>
      <c r="H276" s="11">
        <f t="shared" si="1"/>
        <v>0</v>
      </c>
    </row>
    <row r="277" ht="15.75" customHeight="1">
      <c r="F277" s="16"/>
      <c r="G277" s="11"/>
      <c r="H277" s="11">
        <f t="shared" si="1"/>
        <v>0</v>
      </c>
    </row>
    <row r="278" ht="15.75" customHeight="1">
      <c r="F278" s="16"/>
      <c r="G278" s="11"/>
      <c r="H278" s="11">
        <f t="shared" si="1"/>
        <v>0</v>
      </c>
    </row>
    <row r="279" ht="15.75" customHeight="1">
      <c r="F279" s="16"/>
      <c r="G279" s="11"/>
      <c r="H279" s="11">
        <f t="shared" si="1"/>
        <v>0</v>
      </c>
    </row>
    <row r="280" ht="15.75" customHeight="1">
      <c r="F280" s="16"/>
      <c r="G280" s="11"/>
      <c r="H280" s="11">
        <f t="shared" si="1"/>
        <v>0</v>
      </c>
    </row>
    <row r="281" ht="15.75" customHeight="1">
      <c r="F281" s="16"/>
      <c r="G281" s="11"/>
      <c r="H281" s="11">
        <f t="shared" si="1"/>
        <v>0</v>
      </c>
    </row>
    <row r="282" ht="15.75" customHeight="1">
      <c r="F282" s="16"/>
      <c r="G282" s="11"/>
      <c r="H282" s="11">
        <f t="shared" si="1"/>
        <v>0</v>
      </c>
    </row>
    <row r="283" ht="15.75" customHeight="1">
      <c r="F283" s="16"/>
      <c r="G283" s="11"/>
      <c r="H283" s="11">
        <f t="shared" si="1"/>
        <v>0</v>
      </c>
    </row>
    <row r="284" ht="15.75" customHeight="1">
      <c r="F284" s="16"/>
      <c r="G284" s="11"/>
      <c r="H284" s="11">
        <f t="shared" si="1"/>
        <v>0</v>
      </c>
    </row>
    <row r="285" ht="15.75" customHeight="1">
      <c r="F285" s="16"/>
      <c r="G285" s="11"/>
      <c r="H285" s="11">
        <f t="shared" si="1"/>
        <v>0</v>
      </c>
    </row>
    <row r="286" ht="15.75" customHeight="1">
      <c r="F286" s="16"/>
      <c r="G286" s="11"/>
      <c r="H286" s="11">
        <f t="shared" si="1"/>
        <v>0</v>
      </c>
    </row>
    <row r="287" ht="15.75" customHeight="1">
      <c r="F287" s="16"/>
      <c r="G287" s="11"/>
      <c r="H287" s="11">
        <f t="shared" si="1"/>
        <v>0</v>
      </c>
    </row>
    <row r="288" ht="15.75" customHeight="1">
      <c r="F288" s="16"/>
      <c r="G288" s="11"/>
      <c r="H288" s="11">
        <f t="shared" si="1"/>
        <v>0</v>
      </c>
    </row>
    <row r="289" ht="15.75" customHeight="1">
      <c r="F289" s="16"/>
      <c r="G289" s="11"/>
      <c r="H289" s="11">
        <f t="shared" si="1"/>
        <v>0</v>
      </c>
    </row>
    <row r="290" ht="15.75" customHeight="1">
      <c r="F290" s="16"/>
      <c r="G290" s="11"/>
      <c r="H290" s="11">
        <f t="shared" si="1"/>
        <v>0</v>
      </c>
    </row>
    <row r="291" ht="15.75" customHeight="1">
      <c r="F291" s="16"/>
      <c r="G291" s="11"/>
      <c r="H291" s="11">
        <f t="shared" si="1"/>
        <v>0</v>
      </c>
    </row>
    <row r="292" ht="15.75" customHeight="1">
      <c r="F292" s="16"/>
      <c r="G292" s="11"/>
      <c r="H292" s="11">
        <f t="shared" si="1"/>
        <v>0</v>
      </c>
    </row>
    <row r="293" ht="15.75" customHeight="1">
      <c r="F293" s="16"/>
      <c r="G293" s="11"/>
      <c r="H293" s="11">
        <f t="shared" si="1"/>
        <v>0</v>
      </c>
    </row>
    <row r="294" ht="15.75" customHeight="1">
      <c r="F294" s="16"/>
      <c r="G294" s="11"/>
      <c r="H294" s="11">
        <f t="shared" si="1"/>
        <v>0</v>
      </c>
    </row>
    <row r="295" ht="15.75" customHeight="1">
      <c r="F295" s="16"/>
      <c r="G295" s="11"/>
      <c r="H295" s="11">
        <f t="shared" si="1"/>
        <v>0</v>
      </c>
    </row>
    <row r="296" ht="15.75" customHeight="1">
      <c r="F296" s="16"/>
      <c r="G296" s="11"/>
      <c r="H296" s="11">
        <f t="shared" si="1"/>
        <v>0</v>
      </c>
    </row>
    <row r="297" ht="15.75" customHeight="1">
      <c r="F297" s="16"/>
      <c r="G297" s="11"/>
      <c r="H297" s="11">
        <f t="shared" si="1"/>
        <v>0</v>
      </c>
    </row>
    <row r="298" ht="15.75" customHeight="1">
      <c r="F298" s="16"/>
      <c r="G298" s="11"/>
      <c r="H298" s="11">
        <f t="shared" si="1"/>
        <v>0</v>
      </c>
    </row>
    <row r="299" ht="15.75" customHeight="1">
      <c r="F299" s="16"/>
      <c r="G299" s="11"/>
      <c r="H299" s="11">
        <f t="shared" si="1"/>
        <v>0</v>
      </c>
    </row>
    <row r="300" ht="15.75" customHeight="1">
      <c r="F300" s="16"/>
      <c r="G300" s="11"/>
      <c r="H300" s="11">
        <f t="shared" si="1"/>
        <v>0</v>
      </c>
    </row>
    <row r="301" ht="15.75" customHeight="1">
      <c r="F301" s="16"/>
      <c r="G301" s="11"/>
      <c r="H301" s="11">
        <f t="shared" si="1"/>
        <v>0</v>
      </c>
    </row>
    <row r="302" ht="15.75" customHeight="1">
      <c r="F302" s="16"/>
      <c r="G302" s="11"/>
      <c r="H302" s="11">
        <f t="shared" si="1"/>
        <v>0</v>
      </c>
    </row>
    <row r="303" ht="15.75" customHeight="1">
      <c r="F303" s="16"/>
      <c r="G303" s="11"/>
      <c r="H303" s="11">
        <f t="shared" si="1"/>
        <v>0</v>
      </c>
    </row>
    <row r="304" ht="15.75" customHeight="1">
      <c r="F304" s="16"/>
      <c r="G304" s="11"/>
      <c r="H304" s="11">
        <f t="shared" si="1"/>
        <v>0</v>
      </c>
    </row>
    <row r="305" ht="15.75" customHeight="1">
      <c r="F305" s="16"/>
      <c r="G305" s="11"/>
      <c r="H305" s="11">
        <f t="shared" si="1"/>
        <v>0</v>
      </c>
    </row>
    <row r="306" ht="15.75" customHeight="1">
      <c r="F306" s="16"/>
      <c r="G306" s="11"/>
      <c r="H306" s="11">
        <f t="shared" si="1"/>
        <v>0</v>
      </c>
    </row>
    <row r="307" ht="15.75" customHeight="1">
      <c r="F307" s="16"/>
      <c r="G307" s="11"/>
      <c r="H307" s="11">
        <f t="shared" si="1"/>
        <v>0</v>
      </c>
    </row>
    <row r="308" ht="15.75" customHeight="1">
      <c r="F308" s="16"/>
      <c r="G308" s="11"/>
      <c r="H308" s="11">
        <f t="shared" si="1"/>
        <v>0</v>
      </c>
    </row>
    <row r="309" ht="15.75" customHeight="1">
      <c r="F309" s="16"/>
      <c r="G309" s="11"/>
      <c r="H309" s="11">
        <f t="shared" si="1"/>
        <v>0</v>
      </c>
    </row>
    <row r="310" ht="15.75" customHeight="1">
      <c r="F310" s="16"/>
      <c r="G310" s="11"/>
      <c r="H310" s="11">
        <f t="shared" si="1"/>
        <v>0</v>
      </c>
    </row>
    <row r="311" ht="15.75" customHeight="1">
      <c r="F311" s="16"/>
      <c r="G311" s="11"/>
      <c r="H311" s="11">
        <f t="shared" si="1"/>
        <v>0</v>
      </c>
    </row>
    <row r="312" ht="15.75" customHeight="1">
      <c r="F312" s="16"/>
      <c r="G312" s="11"/>
      <c r="H312" s="11">
        <f t="shared" si="1"/>
        <v>0</v>
      </c>
    </row>
    <row r="313" ht="15.75" customHeight="1">
      <c r="F313" s="16"/>
      <c r="G313" s="11"/>
      <c r="H313" s="11">
        <f t="shared" si="1"/>
        <v>0</v>
      </c>
    </row>
    <row r="314" ht="15.75" customHeight="1">
      <c r="F314" s="16"/>
      <c r="G314" s="11"/>
      <c r="H314" s="11">
        <f t="shared" si="1"/>
        <v>0</v>
      </c>
    </row>
    <row r="315" ht="15.75" customHeight="1">
      <c r="F315" s="16"/>
      <c r="G315" s="11"/>
      <c r="H315" s="11">
        <f t="shared" si="1"/>
        <v>0</v>
      </c>
    </row>
    <row r="316" ht="15.75" customHeight="1">
      <c r="F316" s="16"/>
      <c r="G316" s="11"/>
      <c r="H316" s="11">
        <f t="shared" si="1"/>
        <v>0</v>
      </c>
    </row>
    <row r="317" ht="15.75" customHeight="1">
      <c r="F317" s="16"/>
      <c r="G317" s="11"/>
      <c r="H317" s="11">
        <f t="shared" si="1"/>
        <v>0</v>
      </c>
    </row>
    <row r="318" ht="15.75" customHeight="1">
      <c r="F318" s="16"/>
      <c r="G318" s="11"/>
      <c r="H318" s="11">
        <f t="shared" si="1"/>
        <v>0</v>
      </c>
    </row>
    <row r="319" ht="15.75" customHeight="1">
      <c r="F319" s="16"/>
      <c r="G319" s="11"/>
      <c r="H319" s="11">
        <f t="shared" si="1"/>
        <v>0</v>
      </c>
    </row>
    <row r="320" ht="15.75" customHeight="1">
      <c r="F320" s="16"/>
      <c r="G320" s="11"/>
      <c r="H320" s="11">
        <f t="shared" si="1"/>
        <v>0</v>
      </c>
    </row>
    <row r="321" ht="15.75" customHeight="1">
      <c r="F321" s="16"/>
      <c r="G321" s="11"/>
      <c r="H321" s="11">
        <f t="shared" si="1"/>
        <v>0</v>
      </c>
    </row>
    <row r="322" ht="15.75" customHeight="1">
      <c r="F322" s="16"/>
      <c r="G322" s="11"/>
      <c r="H322" s="11">
        <f t="shared" si="1"/>
        <v>0</v>
      </c>
    </row>
    <row r="323" ht="15.75" customHeight="1">
      <c r="F323" s="16"/>
      <c r="G323" s="11"/>
      <c r="H323" s="11">
        <f t="shared" si="1"/>
        <v>0</v>
      </c>
    </row>
    <row r="324" ht="15.75" customHeight="1">
      <c r="F324" s="16"/>
      <c r="G324" s="11"/>
      <c r="H324" s="11">
        <f t="shared" si="1"/>
        <v>0</v>
      </c>
    </row>
    <row r="325" ht="15.75" customHeight="1">
      <c r="F325" s="16"/>
      <c r="G325" s="11"/>
      <c r="H325" s="11">
        <f t="shared" si="1"/>
        <v>0</v>
      </c>
    </row>
    <row r="326" ht="15.75" customHeight="1">
      <c r="F326" s="16"/>
      <c r="G326" s="11"/>
      <c r="H326" s="11">
        <f t="shared" si="1"/>
        <v>0</v>
      </c>
    </row>
    <row r="327" ht="15.75" customHeight="1">
      <c r="F327" s="16"/>
      <c r="G327" s="11"/>
      <c r="H327" s="11">
        <f t="shared" si="1"/>
        <v>0</v>
      </c>
    </row>
    <row r="328" ht="15.75" customHeight="1">
      <c r="F328" s="16"/>
      <c r="G328" s="11"/>
      <c r="H328" s="11">
        <f t="shared" si="1"/>
        <v>0</v>
      </c>
    </row>
    <row r="329" ht="15.75" customHeight="1">
      <c r="F329" s="16"/>
      <c r="G329" s="11"/>
      <c r="H329" s="11">
        <f t="shared" si="1"/>
        <v>0</v>
      </c>
    </row>
    <row r="330" ht="15.75" customHeight="1">
      <c r="F330" s="16"/>
      <c r="G330" s="11"/>
      <c r="H330" s="11">
        <f t="shared" si="1"/>
        <v>0</v>
      </c>
    </row>
    <row r="331" ht="15.75" customHeight="1">
      <c r="F331" s="16"/>
      <c r="G331" s="11"/>
      <c r="H331" s="11">
        <f t="shared" si="1"/>
        <v>0</v>
      </c>
    </row>
    <row r="332" ht="15.75" customHeight="1">
      <c r="F332" s="16"/>
      <c r="G332" s="11"/>
      <c r="H332" s="11">
        <f t="shared" si="1"/>
        <v>0</v>
      </c>
    </row>
    <row r="333" ht="15.75" customHeight="1">
      <c r="F333" s="16"/>
      <c r="G333" s="11"/>
      <c r="H333" s="11">
        <f t="shared" si="1"/>
        <v>0</v>
      </c>
    </row>
    <row r="334" ht="15.75" customHeight="1">
      <c r="F334" s="16"/>
      <c r="G334" s="11"/>
      <c r="H334" s="11">
        <f t="shared" si="1"/>
        <v>0</v>
      </c>
    </row>
    <row r="335" ht="15.75" customHeight="1">
      <c r="F335" s="16"/>
      <c r="G335" s="11"/>
      <c r="H335" s="11">
        <f t="shared" si="1"/>
        <v>0</v>
      </c>
    </row>
    <row r="336" ht="15.75" customHeight="1">
      <c r="F336" s="16"/>
      <c r="G336" s="11"/>
      <c r="H336" s="11">
        <f t="shared" si="1"/>
        <v>0</v>
      </c>
    </row>
    <row r="337" ht="15.75" customHeight="1">
      <c r="F337" s="16"/>
      <c r="G337" s="11"/>
      <c r="H337" s="11">
        <f t="shared" si="1"/>
        <v>0</v>
      </c>
    </row>
    <row r="338" ht="15.75" customHeight="1">
      <c r="F338" s="16"/>
      <c r="G338" s="11"/>
      <c r="H338" s="11">
        <f t="shared" si="1"/>
        <v>0</v>
      </c>
    </row>
    <row r="339" ht="15.75" customHeight="1">
      <c r="F339" s="16"/>
      <c r="G339" s="11"/>
      <c r="H339" s="11">
        <f t="shared" si="1"/>
        <v>0</v>
      </c>
    </row>
    <row r="340" ht="15.75" customHeight="1">
      <c r="F340" s="16"/>
      <c r="G340" s="11"/>
      <c r="H340" s="11">
        <f t="shared" si="1"/>
        <v>0</v>
      </c>
    </row>
    <row r="341" ht="15.75" customHeight="1">
      <c r="F341" s="16"/>
      <c r="G341" s="11"/>
      <c r="H341" s="11">
        <f t="shared" si="1"/>
        <v>0</v>
      </c>
    </row>
    <row r="342" ht="15.75" customHeight="1">
      <c r="F342" s="16"/>
      <c r="G342" s="11"/>
      <c r="H342" s="11">
        <f t="shared" si="1"/>
        <v>0</v>
      </c>
    </row>
    <row r="343" ht="15.75" customHeight="1">
      <c r="F343" s="16"/>
      <c r="G343" s="11"/>
      <c r="H343" s="11">
        <f t="shared" si="1"/>
        <v>0</v>
      </c>
    </row>
    <row r="344" ht="15.75" customHeight="1">
      <c r="F344" s="16"/>
      <c r="G344" s="11"/>
      <c r="H344" s="11">
        <f t="shared" si="1"/>
        <v>0</v>
      </c>
    </row>
    <row r="345" ht="15.75" customHeight="1">
      <c r="F345" s="16"/>
      <c r="G345" s="11"/>
      <c r="H345" s="11">
        <f t="shared" si="1"/>
        <v>0</v>
      </c>
    </row>
    <row r="346" ht="15.75" customHeight="1">
      <c r="F346" s="16"/>
      <c r="G346" s="11"/>
      <c r="H346" s="11">
        <f t="shared" si="1"/>
        <v>0</v>
      </c>
    </row>
    <row r="347" ht="15.75" customHeight="1">
      <c r="F347" s="16"/>
      <c r="G347" s="11"/>
      <c r="H347" s="11">
        <f t="shared" si="1"/>
        <v>0</v>
      </c>
    </row>
    <row r="348" ht="15.75" customHeight="1">
      <c r="F348" s="16"/>
      <c r="G348" s="11"/>
      <c r="H348" s="11">
        <f t="shared" si="1"/>
        <v>0</v>
      </c>
    </row>
    <row r="349" ht="15.75" customHeight="1">
      <c r="F349" s="16"/>
      <c r="G349" s="11"/>
      <c r="H349" s="11">
        <f t="shared" si="1"/>
        <v>0</v>
      </c>
    </row>
    <row r="350" ht="15.75" customHeight="1">
      <c r="F350" s="16"/>
      <c r="G350" s="11"/>
      <c r="H350" s="11">
        <f t="shared" si="1"/>
        <v>0</v>
      </c>
    </row>
    <row r="351" ht="15.75" customHeight="1">
      <c r="F351" s="16"/>
      <c r="G351" s="11"/>
      <c r="H351" s="11">
        <f t="shared" si="1"/>
        <v>0</v>
      </c>
    </row>
    <row r="352" ht="15.75" customHeight="1">
      <c r="F352" s="16"/>
      <c r="G352" s="11"/>
      <c r="H352" s="11">
        <f t="shared" si="1"/>
        <v>0</v>
      </c>
    </row>
    <row r="353" ht="15.75" customHeight="1">
      <c r="F353" s="16"/>
      <c r="G353" s="11"/>
      <c r="H353" s="11">
        <f t="shared" si="1"/>
        <v>0</v>
      </c>
    </row>
    <row r="354" ht="15.75" customHeight="1">
      <c r="F354" s="16"/>
      <c r="G354" s="11"/>
      <c r="H354" s="11">
        <f t="shared" si="1"/>
        <v>0</v>
      </c>
    </row>
    <row r="355" ht="15.75" customHeight="1">
      <c r="F355" s="16"/>
      <c r="G355" s="11"/>
      <c r="H355" s="11">
        <f t="shared" si="1"/>
        <v>0</v>
      </c>
    </row>
    <row r="356" ht="15.75" customHeight="1">
      <c r="F356" s="16"/>
      <c r="G356" s="11"/>
      <c r="H356" s="11">
        <f t="shared" si="1"/>
        <v>0</v>
      </c>
    </row>
    <row r="357" ht="15.75" customHeight="1">
      <c r="F357" s="16"/>
      <c r="G357" s="11"/>
      <c r="H357" s="11">
        <f t="shared" si="1"/>
        <v>0</v>
      </c>
    </row>
    <row r="358" ht="15.75" customHeight="1">
      <c r="F358" s="16"/>
      <c r="G358" s="11"/>
      <c r="H358" s="11">
        <f t="shared" si="1"/>
        <v>0</v>
      </c>
    </row>
    <row r="359" ht="15.75" customHeight="1">
      <c r="F359" s="16"/>
      <c r="G359" s="11"/>
      <c r="H359" s="11">
        <f t="shared" si="1"/>
        <v>0</v>
      </c>
    </row>
    <row r="360" ht="15.75" customHeight="1">
      <c r="F360" s="16"/>
      <c r="G360" s="11"/>
      <c r="H360" s="11">
        <f t="shared" si="1"/>
        <v>0</v>
      </c>
    </row>
    <row r="361" ht="15.75" customHeight="1">
      <c r="F361" s="16"/>
      <c r="G361" s="11"/>
      <c r="H361" s="11">
        <f t="shared" si="1"/>
        <v>0</v>
      </c>
    </row>
    <row r="362" ht="15.75" customHeight="1">
      <c r="F362" s="16"/>
      <c r="G362" s="11"/>
      <c r="H362" s="11">
        <f t="shared" si="1"/>
        <v>0</v>
      </c>
    </row>
    <row r="363" ht="15.75" customHeight="1">
      <c r="F363" s="16"/>
      <c r="G363" s="11"/>
      <c r="H363" s="11">
        <f t="shared" si="1"/>
        <v>0</v>
      </c>
    </row>
    <row r="364" ht="15.75" customHeight="1">
      <c r="F364" s="16"/>
      <c r="G364" s="11"/>
      <c r="H364" s="11">
        <f t="shared" si="1"/>
        <v>0</v>
      </c>
    </row>
    <row r="365" ht="15.75" customHeight="1">
      <c r="F365" s="16"/>
      <c r="G365" s="11"/>
      <c r="H365" s="11">
        <f t="shared" si="1"/>
        <v>0</v>
      </c>
    </row>
    <row r="366" ht="15.75" customHeight="1">
      <c r="F366" s="16"/>
      <c r="G366" s="11"/>
      <c r="H366" s="11">
        <f t="shared" si="1"/>
        <v>0</v>
      </c>
    </row>
    <row r="367" ht="15.75" customHeight="1">
      <c r="F367" s="16"/>
      <c r="G367" s="11"/>
      <c r="H367" s="11">
        <f t="shared" si="1"/>
        <v>0</v>
      </c>
    </row>
    <row r="368" ht="15.75" customHeight="1">
      <c r="F368" s="16"/>
      <c r="G368" s="11"/>
      <c r="H368" s="11">
        <f t="shared" si="1"/>
        <v>0</v>
      </c>
    </row>
    <row r="369" ht="15.75" customHeight="1">
      <c r="F369" s="16"/>
      <c r="G369" s="11"/>
      <c r="H369" s="11">
        <f t="shared" si="1"/>
        <v>0</v>
      </c>
    </row>
    <row r="370" ht="15.75" customHeight="1">
      <c r="F370" s="16"/>
      <c r="G370" s="11"/>
      <c r="H370" s="11">
        <f t="shared" si="1"/>
        <v>0</v>
      </c>
    </row>
    <row r="371" ht="15.75" customHeight="1">
      <c r="F371" s="16"/>
      <c r="G371" s="11"/>
      <c r="H371" s="11">
        <f t="shared" si="1"/>
        <v>0</v>
      </c>
    </row>
    <row r="372" ht="15.75" customHeight="1">
      <c r="F372" s="16"/>
      <c r="G372" s="11"/>
      <c r="H372" s="11">
        <f t="shared" si="1"/>
        <v>0</v>
      </c>
    </row>
    <row r="373" ht="15.75" customHeight="1">
      <c r="F373" s="16"/>
      <c r="G373" s="11"/>
      <c r="H373" s="11">
        <f t="shared" si="1"/>
        <v>0</v>
      </c>
    </row>
    <row r="374" ht="15.75" customHeight="1">
      <c r="F374" s="16"/>
      <c r="G374" s="11"/>
      <c r="H374" s="11">
        <f t="shared" si="1"/>
        <v>0</v>
      </c>
    </row>
    <row r="375" ht="15.75" customHeight="1">
      <c r="F375" s="16"/>
      <c r="G375" s="11"/>
      <c r="H375" s="11">
        <f t="shared" si="1"/>
        <v>0</v>
      </c>
    </row>
    <row r="376" ht="15.75" customHeight="1">
      <c r="F376" s="16"/>
      <c r="G376" s="11"/>
      <c r="H376" s="11">
        <f t="shared" si="1"/>
        <v>0</v>
      </c>
    </row>
    <row r="377" ht="15.75" customHeight="1">
      <c r="F377" s="16"/>
      <c r="G377" s="11"/>
      <c r="H377" s="11">
        <f t="shared" si="1"/>
        <v>0</v>
      </c>
    </row>
    <row r="378" ht="15.75" customHeight="1">
      <c r="F378" s="16"/>
      <c r="G378" s="11"/>
      <c r="H378" s="11">
        <f t="shared" si="1"/>
        <v>0</v>
      </c>
    </row>
    <row r="379" ht="15.75" customHeight="1">
      <c r="F379" s="16"/>
      <c r="G379" s="11"/>
      <c r="H379" s="11">
        <f t="shared" si="1"/>
        <v>0</v>
      </c>
    </row>
    <row r="380" ht="15.75" customHeight="1">
      <c r="F380" s="16"/>
      <c r="G380" s="11"/>
      <c r="H380" s="11">
        <f t="shared" si="1"/>
        <v>0</v>
      </c>
    </row>
    <row r="381" ht="15.75" customHeight="1">
      <c r="F381" s="16"/>
      <c r="G381" s="11"/>
      <c r="H381" s="11">
        <f t="shared" si="1"/>
        <v>0</v>
      </c>
    </row>
    <row r="382" ht="15.75" customHeight="1">
      <c r="F382" s="16"/>
      <c r="G382" s="11"/>
      <c r="H382" s="11">
        <f t="shared" si="1"/>
        <v>0</v>
      </c>
    </row>
    <row r="383" ht="15.75" customHeight="1">
      <c r="F383" s="16"/>
      <c r="G383" s="11"/>
      <c r="H383" s="11">
        <f t="shared" si="1"/>
        <v>0</v>
      </c>
    </row>
    <row r="384" ht="15.75" customHeight="1">
      <c r="F384" s="16"/>
      <c r="G384" s="11"/>
      <c r="H384" s="11">
        <f t="shared" si="1"/>
        <v>0</v>
      </c>
    </row>
    <row r="385" ht="15.75" customHeight="1">
      <c r="F385" s="16"/>
      <c r="G385" s="11"/>
      <c r="H385" s="11">
        <f t="shared" si="1"/>
        <v>0</v>
      </c>
    </row>
    <row r="386" ht="15.75" customHeight="1">
      <c r="F386" s="16"/>
      <c r="G386" s="11"/>
      <c r="H386" s="11">
        <f t="shared" si="1"/>
        <v>0</v>
      </c>
    </row>
    <row r="387" ht="15.75" customHeight="1">
      <c r="F387" s="16"/>
      <c r="G387" s="11"/>
      <c r="H387" s="11">
        <f t="shared" si="1"/>
        <v>0</v>
      </c>
    </row>
    <row r="388" ht="15.75" customHeight="1">
      <c r="F388" s="16"/>
      <c r="G388" s="11"/>
      <c r="H388" s="11">
        <f t="shared" si="1"/>
        <v>0</v>
      </c>
    </row>
    <row r="389" ht="15.75" customHeight="1">
      <c r="F389" s="16"/>
      <c r="G389" s="11"/>
      <c r="H389" s="11">
        <f t="shared" si="1"/>
        <v>0</v>
      </c>
    </row>
    <row r="390" ht="15.75" customHeight="1">
      <c r="F390" s="16"/>
      <c r="G390" s="11"/>
      <c r="H390" s="11">
        <f t="shared" si="1"/>
        <v>0</v>
      </c>
    </row>
    <row r="391" ht="15.75" customHeight="1">
      <c r="F391" s="16"/>
      <c r="G391" s="11"/>
      <c r="H391" s="11">
        <f t="shared" si="1"/>
        <v>0</v>
      </c>
    </row>
    <row r="392" ht="15.75" customHeight="1">
      <c r="F392" s="16"/>
      <c r="G392" s="11"/>
      <c r="H392" s="11">
        <f t="shared" si="1"/>
        <v>0</v>
      </c>
    </row>
    <row r="393" ht="15.75" customHeight="1">
      <c r="F393" s="16"/>
      <c r="G393" s="11"/>
      <c r="H393" s="11">
        <f t="shared" si="1"/>
        <v>0</v>
      </c>
    </row>
    <row r="394" ht="15.75" customHeight="1">
      <c r="F394" s="16"/>
      <c r="G394" s="11"/>
      <c r="H394" s="11">
        <f t="shared" si="1"/>
        <v>0</v>
      </c>
    </row>
    <row r="395" ht="15.75" customHeight="1">
      <c r="F395" s="16"/>
      <c r="G395" s="11"/>
      <c r="H395" s="11">
        <f t="shared" si="1"/>
        <v>0</v>
      </c>
    </row>
    <row r="396" ht="15.75" customHeight="1">
      <c r="F396" s="16"/>
      <c r="G396" s="11"/>
      <c r="H396" s="11">
        <f t="shared" si="1"/>
        <v>0</v>
      </c>
    </row>
    <row r="397" ht="15.75" customHeight="1">
      <c r="F397" s="16"/>
      <c r="G397" s="11"/>
      <c r="H397" s="11">
        <f t="shared" si="1"/>
        <v>0</v>
      </c>
    </row>
    <row r="398" ht="15.75" customHeight="1">
      <c r="F398" s="16"/>
      <c r="G398" s="11"/>
      <c r="H398" s="11">
        <f t="shared" si="1"/>
        <v>0</v>
      </c>
    </row>
    <row r="399" ht="15.75" customHeight="1">
      <c r="F399" s="16"/>
      <c r="G399" s="11"/>
      <c r="H399" s="11">
        <f t="shared" si="1"/>
        <v>0</v>
      </c>
    </row>
    <row r="400" ht="15.75" customHeight="1">
      <c r="F400" s="16"/>
      <c r="G400" s="11"/>
      <c r="H400" s="11">
        <f t="shared" si="1"/>
        <v>0</v>
      </c>
    </row>
    <row r="401" ht="15.75" customHeight="1">
      <c r="F401" s="16"/>
      <c r="G401" s="11"/>
      <c r="H401" s="11">
        <f t="shared" si="1"/>
        <v>0</v>
      </c>
    </row>
    <row r="402" ht="15.75" customHeight="1">
      <c r="F402" s="16"/>
      <c r="G402" s="11"/>
      <c r="H402" s="11">
        <f t="shared" si="1"/>
        <v>0</v>
      </c>
    </row>
    <row r="403" ht="15.75" customHeight="1">
      <c r="F403" s="16"/>
      <c r="G403" s="11"/>
      <c r="H403" s="11">
        <f t="shared" si="1"/>
        <v>0</v>
      </c>
    </row>
    <row r="404" ht="15.75" customHeight="1">
      <c r="F404" s="16"/>
      <c r="G404" s="11"/>
      <c r="H404" s="11">
        <f t="shared" si="1"/>
        <v>0</v>
      </c>
    </row>
    <row r="405" ht="15.75" customHeight="1">
      <c r="F405" s="16"/>
      <c r="G405" s="11"/>
      <c r="H405" s="11">
        <f t="shared" si="1"/>
        <v>0</v>
      </c>
    </row>
    <row r="406" ht="15.75" customHeight="1">
      <c r="F406" s="16"/>
      <c r="G406" s="11"/>
      <c r="H406" s="11">
        <f t="shared" si="1"/>
        <v>0</v>
      </c>
    </row>
    <row r="407" ht="15.75" customHeight="1">
      <c r="F407" s="16"/>
      <c r="G407" s="11"/>
      <c r="H407" s="11">
        <f t="shared" si="1"/>
        <v>0</v>
      </c>
    </row>
    <row r="408" ht="15.75" customHeight="1">
      <c r="F408" s="16"/>
      <c r="G408" s="11"/>
      <c r="H408" s="11">
        <f t="shared" si="1"/>
        <v>0</v>
      </c>
    </row>
    <row r="409" ht="15.75" customHeight="1">
      <c r="F409" s="16"/>
      <c r="G409" s="11"/>
      <c r="H409" s="11">
        <f t="shared" si="1"/>
        <v>0</v>
      </c>
    </row>
    <row r="410" ht="15.75" customHeight="1">
      <c r="F410" s="16"/>
      <c r="G410" s="11"/>
      <c r="H410" s="11">
        <f t="shared" si="1"/>
        <v>0</v>
      </c>
    </row>
    <row r="411" ht="15.75" customHeight="1">
      <c r="F411" s="16"/>
      <c r="G411" s="11"/>
      <c r="H411" s="11">
        <f t="shared" si="1"/>
        <v>0</v>
      </c>
    </row>
    <row r="412" ht="15.75" customHeight="1">
      <c r="F412" s="16"/>
      <c r="G412" s="11"/>
      <c r="H412" s="11">
        <f t="shared" si="1"/>
        <v>0</v>
      </c>
    </row>
    <row r="413" ht="15.75" customHeight="1">
      <c r="F413" s="16"/>
      <c r="G413" s="11"/>
      <c r="H413" s="11">
        <f t="shared" si="1"/>
        <v>0</v>
      </c>
    </row>
    <row r="414" ht="15.75" customHeight="1">
      <c r="F414" s="16"/>
      <c r="G414" s="11"/>
      <c r="H414" s="11">
        <f t="shared" si="1"/>
        <v>0</v>
      </c>
    </row>
    <row r="415" ht="15.75" customHeight="1">
      <c r="F415" s="16"/>
      <c r="G415" s="11"/>
      <c r="H415" s="11">
        <f t="shared" si="1"/>
        <v>0</v>
      </c>
    </row>
    <row r="416" ht="15.75" customHeight="1">
      <c r="F416" s="16"/>
      <c r="G416" s="11"/>
      <c r="H416" s="11">
        <f t="shared" si="1"/>
        <v>0</v>
      </c>
    </row>
    <row r="417" ht="15.75" customHeight="1">
      <c r="F417" s="16"/>
      <c r="G417" s="11"/>
      <c r="H417" s="11">
        <f t="shared" si="1"/>
        <v>0</v>
      </c>
    </row>
    <row r="418" ht="15.75" customHeight="1">
      <c r="F418" s="16"/>
      <c r="G418" s="11"/>
      <c r="H418" s="11">
        <f t="shared" si="1"/>
        <v>0</v>
      </c>
    </row>
    <row r="419" ht="15.75" customHeight="1">
      <c r="F419" s="16"/>
      <c r="G419" s="11"/>
      <c r="H419" s="11">
        <f t="shared" si="1"/>
        <v>0</v>
      </c>
    </row>
    <row r="420" ht="15.75" customHeight="1">
      <c r="F420" s="16"/>
      <c r="G420" s="11"/>
      <c r="H420" s="11">
        <f t="shared" si="1"/>
        <v>0</v>
      </c>
    </row>
    <row r="421" ht="15.75" customHeight="1">
      <c r="F421" s="16"/>
      <c r="G421" s="11"/>
      <c r="H421" s="11">
        <f t="shared" si="1"/>
        <v>0</v>
      </c>
    </row>
    <row r="422" ht="15.75" customHeight="1">
      <c r="F422" s="16"/>
      <c r="G422" s="11"/>
      <c r="H422" s="11">
        <f t="shared" si="1"/>
        <v>0</v>
      </c>
    </row>
    <row r="423" ht="15.75" customHeight="1">
      <c r="F423" s="16"/>
      <c r="G423" s="11"/>
      <c r="H423" s="11">
        <f t="shared" si="1"/>
        <v>0</v>
      </c>
    </row>
    <row r="424" ht="15.75" customHeight="1">
      <c r="F424" s="16"/>
      <c r="G424" s="11"/>
      <c r="H424" s="11">
        <f t="shared" si="1"/>
        <v>0</v>
      </c>
    </row>
    <row r="425" ht="15.75" customHeight="1">
      <c r="F425" s="16"/>
      <c r="G425" s="11"/>
      <c r="H425" s="11">
        <f t="shared" si="1"/>
        <v>0</v>
      </c>
    </row>
    <row r="426" ht="15.75" customHeight="1">
      <c r="F426" s="16"/>
      <c r="G426" s="11"/>
      <c r="H426" s="11">
        <f t="shared" si="1"/>
        <v>0</v>
      </c>
    </row>
    <row r="427" ht="15.75" customHeight="1">
      <c r="F427" s="16"/>
      <c r="G427" s="11"/>
      <c r="H427" s="11">
        <f t="shared" si="1"/>
        <v>0</v>
      </c>
    </row>
    <row r="428" ht="15.75" customHeight="1">
      <c r="F428" s="16"/>
      <c r="G428" s="11"/>
      <c r="H428" s="11">
        <f t="shared" si="1"/>
        <v>0</v>
      </c>
    </row>
    <row r="429" ht="15.75" customHeight="1">
      <c r="F429" s="16"/>
      <c r="G429" s="11"/>
      <c r="H429" s="11">
        <f t="shared" si="1"/>
        <v>0</v>
      </c>
    </row>
    <row r="430" ht="15.75" customHeight="1">
      <c r="F430" s="16"/>
      <c r="G430" s="11"/>
      <c r="H430" s="11">
        <f t="shared" si="1"/>
        <v>0</v>
      </c>
    </row>
    <row r="431" ht="15.75" customHeight="1">
      <c r="F431" s="16"/>
      <c r="G431" s="11"/>
      <c r="H431" s="11">
        <f t="shared" si="1"/>
        <v>0</v>
      </c>
    </row>
    <row r="432" ht="15.75" customHeight="1">
      <c r="F432" s="16"/>
      <c r="G432" s="11"/>
      <c r="H432" s="11">
        <f t="shared" si="1"/>
        <v>0</v>
      </c>
    </row>
    <row r="433" ht="15.75" customHeight="1">
      <c r="F433" s="16"/>
      <c r="G433" s="11"/>
      <c r="H433" s="11">
        <f t="shared" si="1"/>
        <v>0</v>
      </c>
    </row>
    <row r="434" ht="15.75" customHeight="1">
      <c r="F434" s="16"/>
      <c r="G434" s="11"/>
      <c r="H434" s="11">
        <f t="shared" si="1"/>
        <v>0</v>
      </c>
    </row>
    <row r="435" ht="15.75" customHeight="1">
      <c r="F435" s="16"/>
      <c r="G435" s="11"/>
      <c r="H435" s="11">
        <f t="shared" si="1"/>
        <v>0</v>
      </c>
    </row>
    <row r="436" ht="15.75" customHeight="1">
      <c r="F436" s="16"/>
      <c r="G436" s="11"/>
      <c r="H436" s="11">
        <f t="shared" si="1"/>
        <v>0</v>
      </c>
    </row>
    <row r="437" ht="15.75" customHeight="1">
      <c r="F437" s="16"/>
      <c r="G437" s="11"/>
      <c r="H437" s="11">
        <f t="shared" si="1"/>
        <v>0</v>
      </c>
    </row>
    <row r="438" ht="15.75" customHeight="1">
      <c r="F438" s="16"/>
      <c r="G438" s="11"/>
      <c r="H438" s="11">
        <f t="shared" si="1"/>
        <v>0</v>
      </c>
    </row>
    <row r="439" ht="15.75" customHeight="1">
      <c r="F439" s="16"/>
      <c r="G439" s="11"/>
      <c r="H439" s="11">
        <f t="shared" si="1"/>
        <v>0</v>
      </c>
    </row>
    <row r="440" ht="15.75" customHeight="1">
      <c r="F440" s="16"/>
      <c r="G440" s="11"/>
      <c r="H440" s="11">
        <f t="shared" si="1"/>
        <v>0</v>
      </c>
    </row>
    <row r="441" ht="15.75" customHeight="1">
      <c r="F441" s="16"/>
      <c r="G441" s="11"/>
      <c r="H441" s="11">
        <f t="shared" si="1"/>
        <v>0</v>
      </c>
    </row>
    <row r="442" ht="15.75" customHeight="1">
      <c r="F442" s="16"/>
      <c r="G442" s="11"/>
      <c r="H442" s="11">
        <f t="shared" si="1"/>
        <v>0</v>
      </c>
    </row>
    <row r="443" ht="15.75" customHeight="1">
      <c r="F443" s="16"/>
      <c r="G443" s="11"/>
      <c r="H443" s="11">
        <f t="shared" si="1"/>
        <v>0</v>
      </c>
    </row>
    <row r="444" ht="15.75" customHeight="1">
      <c r="F444" s="16"/>
      <c r="G444" s="11"/>
      <c r="H444" s="11">
        <f t="shared" si="1"/>
        <v>0</v>
      </c>
    </row>
    <row r="445" ht="15.75" customHeight="1">
      <c r="F445" s="16"/>
      <c r="G445" s="11"/>
      <c r="H445" s="11">
        <f t="shared" si="1"/>
        <v>0</v>
      </c>
    </row>
    <row r="446" ht="15.75" customHeight="1">
      <c r="F446" s="16"/>
      <c r="G446" s="11"/>
      <c r="H446" s="11">
        <f t="shared" si="1"/>
        <v>0</v>
      </c>
    </row>
    <row r="447" ht="15.75" customHeight="1">
      <c r="F447" s="16"/>
      <c r="G447" s="11"/>
      <c r="H447" s="11">
        <f t="shared" si="1"/>
        <v>0</v>
      </c>
    </row>
    <row r="448" ht="15.75" customHeight="1">
      <c r="F448" s="16"/>
      <c r="G448" s="11"/>
      <c r="H448" s="11">
        <f t="shared" si="1"/>
        <v>0</v>
      </c>
    </row>
    <row r="449" ht="15.75" customHeight="1">
      <c r="F449" s="16"/>
      <c r="G449" s="11"/>
      <c r="H449" s="11">
        <f t="shared" si="1"/>
        <v>0</v>
      </c>
    </row>
    <row r="450" ht="15.75" customHeight="1">
      <c r="F450" s="16"/>
      <c r="G450" s="11"/>
      <c r="H450" s="11">
        <f t="shared" si="1"/>
        <v>0</v>
      </c>
    </row>
    <row r="451" ht="15.75" customHeight="1">
      <c r="F451" s="16"/>
      <c r="G451" s="11"/>
      <c r="H451" s="11">
        <f t="shared" si="1"/>
        <v>0</v>
      </c>
    </row>
    <row r="452" ht="15.75" customHeight="1">
      <c r="F452" s="16"/>
      <c r="G452" s="11"/>
      <c r="H452" s="11">
        <f t="shared" si="1"/>
        <v>0</v>
      </c>
    </row>
    <row r="453" ht="15.75" customHeight="1">
      <c r="F453" s="16"/>
      <c r="G453" s="11"/>
      <c r="H453" s="11">
        <f t="shared" si="1"/>
        <v>0</v>
      </c>
    </row>
    <row r="454" ht="15.75" customHeight="1">
      <c r="F454" s="16"/>
      <c r="G454" s="11"/>
      <c r="H454" s="11">
        <f t="shared" si="1"/>
        <v>0</v>
      </c>
    </row>
    <row r="455" ht="15.75" customHeight="1">
      <c r="F455" s="16"/>
      <c r="G455" s="11"/>
      <c r="H455" s="11">
        <f t="shared" si="1"/>
        <v>0</v>
      </c>
    </row>
    <row r="456" ht="15.75" customHeight="1">
      <c r="F456" s="16"/>
      <c r="G456" s="11"/>
      <c r="H456" s="11">
        <f t="shared" si="1"/>
        <v>0</v>
      </c>
    </row>
    <row r="457" ht="15.75" customHeight="1">
      <c r="F457" s="16"/>
      <c r="G457" s="11"/>
      <c r="H457" s="11">
        <f t="shared" si="1"/>
        <v>0</v>
      </c>
    </row>
    <row r="458" ht="15.75" customHeight="1">
      <c r="F458" s="16"/>
      <c r="G458" s="11"/>
      <c r="H458" s="11">
        <f t="shared" si="1"/>
        <v>0</v>
      </c>
    </row>
    <row r="459" ht="15.75" customHeight="1">
      <c r="F459" s="16"/>
      <c r="G459" s="11"/>
      <c r="H459" s="11">
        <f t="shared" si="1"/>
        <v>0</v>
      </c>
    </row>
    <row r="460" ht="15.75" customHeight="1">
      <c r="F460" s="16"/>
      <c r="G460" s="11"/>
      <c r="H460" s="11">
        <f t="shared" si="1"/>
        <v>0</v>
      </c>
    </row>
    <row r="461" ht="15.75" customHeight="1">
      <c r="F461" s="16"/>
      <c r="G461" s="11"/>
      <c r="H461" s="11">
        <f t="shared" si="1"/>
        <v>0</v>
      </c>
    </row>
    <row r="462" ht="15.75" customHeight="1">
      <c r="F462" s="16"/>
      <c r="G462" s="11"/>
      <c r="H462" s="11">
        <f t="shared" si="1"/>
        <v>0</v>
      </c>
    </row>
    <row r="463" ht="15.75" customHeight="1">
      <c r="F463" s="16"/>
      <c r="G463" s="11"/>
      <c r="H463" s="11">
        <f t="shared" si="1"/>
        <v>0</v>
      </c>
    </row>
    <row r="464" ht="15.75" customHeight="1">
      <c r="F464" s="16"/>
      <c r="G464" s="11"/>
      <c r="H464" s="11">
        <f t="shared" si="1"/>
        <v>0</v>
      </c>
    </row>
    <row r="465" ht="15.75" customHeight="1">
      <c r="F465" s="16"/>
      <c r="G465" s="11"/>
      <c r="H465" s="11">
        <f t="shared" si="1"/>
        <v>0</v>
      </c>
    </row>
    <row r="466" ht="15.75" customHeight="1">
      <c r="F466" s="16"/>
      <c r="G466" s="11"/>
      <c r="H466" s="11">
        <f t="shared" si="1"/>
        <v>0</v>
      </c>
    </row>
    <row r="467" ht="15.75" customHeight="1">
      <c r="F467" s="16"/>
      <c r="G467" s="11"/>
      <c r="H467" s="11">
        <f t="shared" si="1"/>
        <v>0</v>
      </c>
    </row>
    <row r="468" ht="15.75" customHeight="1">
      <c r="F468" s="16"/>
      <c r="G468" s="11"/>
      <c r="H468" s="11">
        <f t="shared" si="1"/>
        <v>0</v>
      </c>
    </row>
    <row r="469" ht="15.75" customHeight="1">
      <c r="F469" s="16"/>
      <c r="G469" s="11"/>
      <c r="H469" s="11">
        <f t="shared" si="1"/>
        <v>0</v>
      </c>
    </row>
    <row r="470" ht="15.75" customHeight="1">
      <c r="F470" s="16"/>
      <c r="G470" s="11"/>
      <c r="H470" s="11">
        <f t="shared" si="1"/>
        <v>0</v>
      </c>
    </row>
    <row r="471" ht="15.75" customHeight="1">
      <c r="F471" s="16"/>
      <c r="G471" s="11"/>
      <c r="H471" s="11">
        <f t="shared" si="1"/>
        <v>0</v>
      </c>
    </row>
    <row r="472" ht="15.75" customHeight="1">
      <c r="F472" s="16"/>
      <c r="G472" s="11"/>
      <c r="H472" s="11">
        <f t="shared" si="1"/>
        <v>0</v>
      </c>
    </row>
    <row r="473" ht="15.75" customHeight="1">
      <c r="F473" s="16"/>
      <c r="G473" s="11"/>
      <c r="H473" s="11">
        <f t="shared" si="1"/>
        <v>0</v>
      </c>
    </row>
    <row r="474" ht="15.75" customHeight="1">
      <c r="F474" s="16"/>
      <c r="G474" s="11"/>
      <c r="H474" s="11">
        <f t="shared" si="1"/>
        <v>0</v>
      </c>
    </row>
    <row r="475" ht="15.75" customHeight="1">
      <c r="F475" s="16"/>
      <c r="G475" s="11"/>
      <c r="H475" s="11">
        <f t="shared" si="1"/>
        <v>0</v>
      </c>
    </row>
    <row r="476" ht="15.75" customHeight="1">
      <c r="F476" s="16"/>
      <c r="G476" s="11"/>
      <c r="H476" s="11">
        <f t="shared" si="1"/>
        <v>0</v>
      </c>
    </row>
    <row r="477" ht="15.75" customHeight="1">
      <c r="F477" s="16"/>
      <c r="G477" s="11"/>
      <c r="H477" s="11">
        <f t="shared" si="1"/>
        <v>0</v>
      </c>
    </row>
    <row r="478" ht="15.75" customHeight="1">
      <c r="F478" s="16"/>
      <c r="G478" s="11"/>
      <c r="H478" s="11">
        <f t="shared" si="1"/>
        <v>0</v>
      </c>
    </row>
    <row r="479" ht="15.75" customHeight="1">
      <c r="F479" s="16"/>
      <c r="G479" s="11"/>
      <c r="H479" s="11">
        <f t="shared" si="1"/>
        <v>0</v>
      </c>
    </row>
    <row r="480" ht="15.75" customHeight="1">
      <c r="F480" s="16"/>
      <c r="G480" s="11"/>
      <c r="H480" s="11">
        <f t="shared" si="1"/>
        <v>0</v>
      </c>
    </row>
    <row r="481" ht="15.75" customHeight="1">
      <c r="F481" s="16"/>
      <c r="G481" s="11"/>
      <c r="H481" s="11">
        <f t="shared" si="1"/>
        <v>0</v>
      </c>
    </row>
    <row r="482" ht="15.75" customHeight="1">
      <c r="F482" s="16"/>
      <c r="G482" s="11"/>
      <c r="H482" s="11">
        <f t="shared" si="1"/>
        <v>0</v>
      </c>
    </row>
    <row r="483" ht="15.75" customHeight="1">
      <c r="F483" s="16"/>
      <c r="G483" s="11"/>
      <c r="H483" s="11">
        <f t="shared" si="1"/>
        <v>0</v>
      </c>
    </row>
    <row r="484" ht="15.75" customHeight="1">
      <c r="F484" s="16"/>
      <c r="G484" s="11"/>
      <c r="H484" s="11">
        <f t="shared" si="1"/>
        <v>0</v>
      </c>
    </row>
    <row r="485" ht="15.75" customHeight="1">
      <c r="F485" s="16"/>
      <c r="G485" s="11"/>
      <c r="H485" s="11">
        <f t="shared" si="1"/>
        <v>0</v>
      </c>
    </row>
    <row r="486" ht="15.75" customHeight="1">
      <c r="F486" s="16"/>
      <c r="G486" s="11"/>
      <c r="H486" s="11">
        <f t="shared" si="1"/>
        <v>0</v>
      </c>
    </row>
    <row r="487" ht="15.75" customHeight="1">
      <c r="F487" s="16"/>
      <c r="G487" s="11"/>
      <c r="H487" s="11">
        <f t="shared" si="1"/>
        <v>0</v>
      </c>
    </row>
    <row r="488" ht="15.75" customHeight="1">
      <c r="F488" s="16"/>
      <c r="G488" s="11"/>
      <c r="H488" s="11">
        <f t="shared" si="1"/>
        <v>0</v>
      </c>
    </row>
    <row r="489" ht="15.75" customHeight="1">
      <c r="F489" s="16"/>
      <c r="G489" s="11"/>
      <c r="H489" s="11">
        <f t="shared" si="1"/>
        <v>0</v>
      </c>
    </row>
    <row r="490" ht="15.75" customHeight="1">
      <c r="F490" s="16"/>
      <c r="G490" s="11"/>
      <c r="H490" s="11">
        <f t="shared" si="1"/>
        <v>0</v>
      </c>
    </row>
    <row r="491" ht="15.75" customHeight="1">
      <c r="F491" s="16"/>
      <c r="G491" s="11"/>
      <c r="H491" s="11">
        <f t="shared" si="1"/>
        <v>0</v>
      </c>
    </row>
    <row r="492" ht="15.75" customHeight="1">
      <c r="F492" s="16"/>
      <c r="G492" s="11"/>
      <c r="H492" s="11">
        <f t="shared" si="1"/>
        <v>0</v>
      </c>
    </row>
    <row r="493" ht="15.75" customHeight="1">
      <c r="F493" s="16"/>
      <c r="G493" s="11"/>
      <c r="H493" s="11">
        <f t="shared" si="1"/>
        <v>0</v>
      </c>
    </row>
    <row r="494" ht="15.75" customHeight="1">
      <c r="F494" s="16"/>
      <c r="G494" s="11"/>
      <c r="H494" s="11">
        <f t="shared" si="1"/>
        <v>0</v>
      </c>
    </row>
    <row r="495" ht="15.75" customHeight="1">
      <c r="F495" s="16"/>
      <c r="G495" s="11"/>
      <c r="H495" s="11">
        <f t="shared" si="1"/>
        <v>0</v>
      </c>
    </row>
    <row r="496" ht="15.75" customHeight="1">
      <c r="F496" s="16"/>
      <c r="G496" s="11"/>
      <c r="H496" s="11">
        <f t="shared" si="1"/>
        <v>0</v>
      </c>
    </row>
    <row r="497" ht="15.75" customHeight="1">
      <c r="F497" s="16"/>
      <c r="G497" s="11"/>
      <c r="H497" s="11">
        <f t="shared" si="1"/>
        <v>0</v>
      </c>
    </row>
    <row r="498" ht="15.75" customHeight="1">
      <c r="F498" s="16"/>
      <c r="G498" s="11"/>
      <c r="H498" s="11">
        <f t="shared" si="1"/>
        <v>0</v>
      </c>
    </row>
    <row r="499" ht="15.75" customHeight="1">
      <c r="F499" s="16"/>
      <c r="G499" s="11"/>
      <c r="H499" s="11">
        <f t="shared" si="1"/>
        <v>0</v>
      </c>
    </row>
    <row r="500" ht="15.75" customHeight="1">
      <c r="F500" s="16"/>
      <c r="G500" s="11"/>
      <c r="H500" s="11">
        <f t="shared" si="1"/>
        <v>0</v>
      </c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F2:F500">
      <formula1>Listas!$A$2:$A$6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15.38"/>
    <col customWidth="1" min="3" max="3" width="26.0"/>
    <col customWidth="1" min="4" max="4" width="12.5"/>
    <col customWidth="1" min="5" max="5" width="13.75"/>
    <col customWidth="1" min="6" max="6" width="14.75"/>
    <col customWidth="1" min="7" max="7" width="40.0"/>
  </cols>
  <sheetData>
    <row r="1" ht="30.0" customHeight="1">
      <c r="A1" s="13" t="s">
        <v>85</v>
      </c>
      <c r="B1" s="13" t="s">
        <v>86</v>
      </c>
      <c r="C1" s="13" t="s">
        <v>87</v>
      </c>
      <c r="D1" s="13" t="s">
        <v>70</v>
      </c>
      <c r="E1" s="13" t="s">
        <v>71</v>
      </c>
      <c r="F1" s="13" t="s">
        <v>2</v>
      </c>
      <c r="G1" s="13" t="s">
        <v>25</v>
      </c>
    </row>
    <row r="2">
      <c r="A2" s="17" t="s">
        <v>88</v>
      </c>
      <c r="B2" s="3" t="s">
        <v>89</v>
      </c>
      <c r="C2" s="17" t="s">
        <v>90</v>
      </c>
      <c r="D2" s="3" t="s">
        <v>91</v>
      </c>
      <c r="E2" s="22">
        <v>200.0</v>
      </c>
      <c r="F2" s="3" t="s">
        <v>15</v>
      </c>
      <c r="G2" s="3" t="s">
        <v>92</v>
      </c>
    </row>
    <row r="3">
      <c r="A3" s="3" t="s">
        <v>93</v>
      </c>
      <c r="B3" s="3" t="s">
        <v>94</v>
      </c>
      <c r="C3" s="3" t="s">
        <v>95</v>
      </c>
      <c r="D3" s="3" t="s">
        <v>91</v>
      </c>
      <c r="E3" s="23">
        <v>150.0</v>
      </c>
      <c r="F3" s="3" t="s">
        <v>15</v>
      </c>
      <c r="G3" s="3" t="s">
        <v>96</v>
      </c>
    </row>
    <row r="4">
      <c r="A4" s="17" t="s">
        <v>97</v>
      </c>
      <c r="B4" s="3" t="s">
        <v>98</v>
      </c>
      <c r="C4" s="17" t="s">
        <v>99</v>
      </c>
      <c r="D4" s="3" t="s">
        <v>91</v>
      </c>
      <c r="E4" s="22">
        <v>4000.0</v>
      </c>
      <c r="F4" s="3" t="s">
        <v>15</v>
      </c>
      <c r="G4" s="3" t="s">
        <v>100</v>
      </c>
    </row>
    <row r="5">
      <c r="A5" s="17" t="s">
        <v>101</v>
      </c>
      <c r="B5" s="3" t="s">
        <v>98</v>
      </c>
      <c r="C5" s="17" t="s">
        <v>99</v>
      </c>
      <c r="D5" s="3" t="s">
        <v>91</v>
      </c>
      <c r="E5" s="22">
        <v>3000.0</v>
      </c>
      <c r="F5" s="3" t="s">
        <v>15</v>
      </c>
      <c r="G5" s="3" t="s">
        <v>100</v>
      </c>
    </row>
    <row r="6">
      <c r="A6" s="17" t="s">
        <v>102</v>
      </c>
      <c r="B6" s="3" t="s">
        <v>98</v>
      </c>
      <c r="C6" s="17" t="s">
        <v>103</v>
      </c>
      <c r="D6" s="3" t="s">
        <v>91</v>
      </c>
      <c r="E6" s="22">
        <v>1000.0</v>
      </c>
      <c r="F6" s="3" t="s">
        <v>15</v>
      </c>
      <c r="G6" s="3" t="s">
        <v>100</v>
      </c>
    </row>
    <row r="7">
      <c r="A7" s="3" t="s">
        <v>104</v>
      </c>
      <c r="B7" s="3" t="s">
        <v>105</v>
      </c>
      <c r="C7" s="3" t="s">
        <v>106</v>
      </c>
      <c r="D7" s="3" t="s">
        <v>91</v>
      </c>
      <c r="E7" s="23">
        <v>900.0</v>
      </c>
      <c r="F7" s="3" t="s">
        <v>15</v>
      </c>
      <c r="G7" s="3" t="s">
        <v>107</v>
      </c>
    </row>
    <row r="8">
      <c r="A8" s="7" t="s">
        <v>108</v>
      </c>
      <c r="B8" s="21" t="s">
        <v>105</v>
      </c>
      <c r="C8" s="7" t="s">
        <v>109</v>
      </c>
      <c r="D8" s="21" t="s">
        <v>91</v>
      </c>
      <c r="E8" s="24">
        <v>30.0</v>
      </c>
      <c r="F8" s="7" t="s">
        <v>110</v>
      </c>
      <c r="G8" s="7" t="s">
        <v>111</v>
      </c>
    </row>
    <row r="9">
      <c r="A9" s="7" t="s">
        <v>112</v>
      </c>
      <c r="B9" s="21" t="s">
        <v>105</v>
      </c>
      <c r="C9" s="7" t="s">
        <v>113</v>
      </c>
      <c r="D9" s="21" t="s">
        <v>91</v>
      </c>
      <c r="E9" s="24">
        <v>300.0</v>
      </c>
      <c r="F9" s="7" t="s">
        <v>114</v>
      </c>
      <c r="G9" s="7" t="s">
        <v>111</v>
      </c>
    </row>
    <row r="10">
      <c r="A10" s="7" t="s">
        <v>115</v>
      </c>
      <c r="B10" s="21" t="s">
        <v>98</v>
      </c>
      <c r="C10" s="7" t="s">
        <v>116</v>
      </c>
      <c r="D10" s="21" t="s">
        <v>91</v>
      </c>
      <c r="E10" s="24">
        <v>100.0</v>
      </c>
      <c r="F10" s="7" t="s">
        <v>117</v>
      </c>
      <c r="G10" s="7" t="s">
        <v>118</v>
      </c>
    </row>
    <row r="11">
      <c r="A11" s="7" t="s">
        <v>119</v>
      </c>
      <c r="B11" s="21" t="s">
        <v>98</v>
      </c>
      <c r="C11" s="7" t="s">
        <v>120</v>
      </c>
      <c r="D11" s="21" t="s">
        <v>91</v>
      </c>
      <c r="E11" s="24">
        <v>2000.0</v>
      </c>
      <c r="F11" s="7" t="s">
        <v>121</v>
      </c>
      <c r="G11" s="7" t="s">
        <v>122</v>
      </c>
    </row>
    <row r="12">
      <c r="A12" s="7" t="s">
        <v>123</v>
      </c>
      <c r="B12" s="21" t="s">
        <v>124</v>
      </c>
      <c r="D12" s="21" t="s">
        <v>91</v>
      </c>
      <c r="E12" s="25">
        <f>Velas!X12</f>
        <v>722.6749729</v>
      </c>
    </row>
    <row r="13">
      <c r="A13" s="7" t="s">
        <v>125</v>
      </c>
      <c r="B13" s="21" t="s">
        <v>124</v>
      </c>
      <c r="D13" s="21" t="s">
        <v>91</v>
      </c>
      <c r="E13" s="26">
        <f>Velas!X14</f>
        <v>554.7524377</v>
      </c>
    </row>
    <row r="14">
      <c r="A14" s="7" t="s">
        <v>126</v>
      </c>
      <c r="B14" s="21" t="s">
        <v>124</v>
      </c>
      <c r="D14" s="21" t="s">
        <v>91</v>
      </c>
      <c r="E14" s="26">
        <f>Velas!X15</f>
        <v>1138.258397</v>
      </c>
    </row>
    <row r="15">
      <c r="A15" s="7" t="s">
        <v>127</v>
      </c>
      <c r="B15" s="21" t="s">
        <v>94</v>
      </c>
      <c r="C15" s="7" t="s">
        <v>128</v>
      </c>
      <c r="D15" s="21" t="s">
        <v>129</v>
      </c>
      <c r="E15" s="24">
        <v>17.0</v>
      </c>
    </row>
    <row r="16">
      <c r="A16" s="7" t="s">
        <v>130</v>
      </c>
      <c r="B16" s="21" t="s">
        <v>98</v>
      </c>
      <c r="C16" s="7" t="s">
        <v>131</v>
      </c>
      <c r="D16" s="21" t="s">
        <v>91</v>
      </c>
      <c r="E16" s="24">
        <v>500.0</v>
      </c>
    </row>
    <row r="17">
      <c r="A17" s="7" t="s">
        <v>132</v>
      </c>
      <c r="B17" s="21" t="s">
        <v>94</v>
      </c>
      <c r="C17" s="7" t="s">
        <v>133</v>
      </c>
      <c r="D17" s="21" t="s">
        <v>129</v>
      </c>
      <c r="E17" s="24">
        <v>7.0</v>
      </c>
    </row>
    <row r="18">
      <c r="A18" s="7" t="s">
        <v>134</v>
      </c>
      <c r="B18" s="21" t="s">
        <v>94</v>
      </c>
      <c r="C18" s="7" t="s">
        <v>135</v>
      </c>
      <c r="D18" s="21" t="s">
        <v>91</v>
      </c>
      <c r="E18" s="24">
        <v>20.0</v>
      </c>
    </row>
    <row r="19">
      <c r="A19" s="7" t="s">
        <v>136</v>
      </c>
      <c r="B19" s="21" t="s">
        <v>94</v>
      </c>
      <c r="C19" s="7" t="s">
        <v>137</v>
      </c>
      <c r="D19" s="21" t="s">
        <v>91</v>
      </c>
      <c r="E19" s="24">
        <v>180.0</v>
      </c>
    </row>
    <row r="20">
      <c r="A20" s="7" t="s">
        <v>138</v>
      </c>
      <c r="B20" s="21" t="s">
        <v>94</v>
      </c>
      <c r="C20" s="7" t="s">
        <v>139</v>
      </c>
      <c r="D20" s="21" t="s">
        <v>91</v>
      </c>
      <c r="E20" s="24">
        <v>120.0</v>
      </c>
    </row>
    <row r="21">
      <c r="A21" s="7" t="s">
        <v>140</v>
      </c>
      <c r="B21" s="21" t="s">
        <v>141</v>
      </c>
      <c r="C21" s="7" t="s">
        <v>142</v>
      </c>
      <c r="D21" s="21" t="s">
        <v>91</v>
      </c>
      <c r="E21" s="24">
        <v>3500.0</v>
      </c>
    </row>
    <row r="22">
      <c r="A22" s="7" t="s">
        <v>143</v>
      </c>
      <c r="B22" s="21" t="s">
        <v>98</v>
      </c>
      <c r="C22" s="7" t="s">
        <v>143</v>
      </c>
      <c r="D22" s="21" t="s">
        <v>91</v>
      </c>
      <c r="E22" s="24">
        <v>100.0</v>
      </c>
    </row>
    <row r="23" ht="15.75" customHeight="1">
      <c r="A23" s="7" t="s">
        <v>144</v>
      </c>
      <c r="B23" s="21" t="s">
        <v>141</v>
      </c>
      <c r="C23" s="7" t="s">
        <v>145</v>
      </c>
      <c r="D23" s="21" t="s">
        <v>91</v>
      </c>
      <c r="E23" s="24">
        <v>3600.0</v>
      </c>
    </row>
    <row r="24" ht="15.75" customHeight="1">
      <c r="A24" s="7" t="s">
        <v>146</v>
      </c>
      <c r="B24" s="21" t="s">
        <v>124</v>
      </c>
      <c r="C24" s="7" t="s">
        <v>147</v>
      </c>
      <c r="D24" s="21" t="s">
        <v>91</v>
      </c>
      <c r="E24" s="26">
        <f>Velas!X23</f>
        <v>1895.117551</v>
      </c>
    </row>
    <row r="25" ht="15.75" customHeight="1">
      <c r="A25" s="7" t="s">
        <v>148</v>
      </c>
      <c r="B25" s="21" t="s">
        <v>105</v>
      </c>
      <c r="C25" s="7" t="s">
        <v>149</v>
      </c>
      <c r="D25" s="21" t="s">
        <v>91</v>
      </c>
      <c r="E25" s="24">
        <v>5000.0</v>
      </c>
    </row>
    <row r="26" ht="15.75" customHeight="1">
      <c r="A26" s="7" t="s">
        <v>150</v>
      </c>
      <c r="B26" s="21" t="s">
        <v>94</v>
      </c>
      <c r="C26" s="7" t="s">
        <v>151</v>
      </c>
      <c r="D26" s="21" t="s">
        <v>91</v>
      </c>
      <c r="E26" s="24">
        <v>500.0</v>
      </c>
    </row>
    <row r="27" ht="15.75" customHeight="1">
      <c r="A27" s="7" t="s">
        <v>152</v>
      </c>
      <c r="B27" s="21" t="s">
        <v>94</v>
      </c>
      <c r="C27" s="7" t="s">
        <v>133</v>
      </c>
      <c r="D27" s="21" t="s">
        <v>129</v>
      </c>
      <c r="E27" s="24">
        <v>2.0</v>
      </c>
    </row>
    <row r="28" ht="15.75" customHeight="1">
      <c r="A28" s="7" t="s">
        <v>153</v>
      </c>
      <c r="B28" s="21" t="s">
        <v>141</v>
      </c>
      <c r="C28" s="7" t="s">
        <v>153</v>
      </c>
      <c r="D28" s="21" t="s">
        <v>91</v>
      </c>
      <c r="E28" s="24">
        <v>83.0</v>
      </c>
    </row>
    <row r="29" ht="15.75" customHeight="1">
      <c r="A29" s="7" t="s">
        <v>154</v>
      </c>
      <c r="B29" s="21" t="s">
        <v>141</v>
      </c>
      <c r="C29" s="7" t="s">
        <v>155</v>
      </c>
      <c r="D29" s="21" t="s">
        <v>156</v>
      </c>
      <c r="E29" s="24">
        <v>2200.0</v>
      </c>
    </row>
    <row r="30" ht="15.75" customHeight="1">
      <c r="B30" s="16"/>
      <c r="D30" s="16"/>
      <c r="E30" s="26"/>
    </row>
    <row r="31" ht="15.75" customHeight="1">
      <c r="B31" s="16"/>
      <c r="D31" s="16"/>
      <c r="E31" s="26"/>
    </row>
    <row r="32" ht="15.75" customHeight="1">
      <c r="B32" s="16"/>
      <c r="D32" s="16"/>
      <c r="E32" s="26"/>
    </row>
    <row r="33" ht="15.75" customHeight="1">
      <c r="B33" s="16"/>
      <c r="D33" s="16"/>
      <c r="E33" s="26"/>
    </row>
    <row r="34" ht="15.75" customHeight="1">
      <c r="B34" s="16"/>
      <c r="D34" s="16"/>
      <c r="E34" s="26"/>
    </row>
    <row r="35" ht="15.75" customHeight="1">
      <c r="B35" s="16"/>
      <c r="D35" s="16"/>
      <c r="E35" s="26"/>
    </row>
    <row r="36" ht="15.75" customHeight="1">
      <c r="B36" s="16"/>
      <c r="D36" s="16"/>
      <c r="E36" s="26"/>
    </row>
    <row r="37" ht="15.75" customHeight="1">
      <c r="B37" s="16"/>
      <c r="D37" s="16"/>
      <c r="E37" s="26"/>
    </row>
    <row r="38" ht="15.75" customHeight="1">
      <c r="B38" s="16"/>
      <c r="D38" s="16"/>
      <c r="E38" s="26"/>
    </row>
    <row r="39" ht="15.75" customHeight="1">
      <c r="B39" s="16"/>
      <c r="D39" s="16"/>
      <c r="E39" s="26"/>
    </row>
    <row r="40" ht="15.75" customHeight="1">
      <c r="B40" s="16"/>
      <c r="D40" s="16"/>
      <c r="E40" s="26"/>
    </row>
    <row r="41" ht="15.75" customHeight="1">
      <c r="B41" s="16"/>
      <c r="D41" s="16"/>
      <c r="E41" s="26"/>
    </row>
    <row r="42" ht="15.75" customHeight="1">
      <c r="B42" s="16"/>
      <c r="D42" s="16"/>
      <c r="E42" s="26"/>
    </row>
    <row r="43" ht="15.75" customHeight="1">
      <c r="B43" s="16"/>
      <c r="D43" s="16"/>
      <c r="E43" s="26"/>
    </row>
    <row r="44" ht="15.75" customHeight="1">
      <c r="B44" s="16"/>
      <c r="D44" s="16"/>
      <c r="E44" s="26"/>
    </row>
    <row r="45" ht="15.75" customHeight="1">
      <c r="B45" s="16"/>
      <c r="D45" s="16"/>
      <c r="E45" s="26"/>
    </row>
    <row r="46" ht="15.75" customHeight="1">
      <c r="B46" s="16"/>
      <c r="D46" s="16"/>
      <c r="E46" s="26"/>
    </row>
    <row r="47" ht="15.75" customHeight="1">
      <c r="B47" s="16"/>
      <c r="D47" s="16"/>
      <c r="E47" s="26"/>
    </row>
    <row r="48" ht="15.75" customHeight="1">
      <c r="B48" s="16"/>
      <c r="D48" s="16"/>
      <c r="E48" s="26"/>
    </row>
    <row r="49" ht="15.75" customHeight="1">
      <c r="B49" s="16"/>
      <c r="D49" s="16"/>
      <c r="E49" s="26"/>
    </row>
    <row r="50" ht="15.75" customHeight="1">
      <c r="B50" s="16"/>
      <c r="D50" s="16"/>
      <c r="E50" s="26"/>
    </row>
    <row r="51" ht="15.75" customHeight="1">
      <c r="B51" s="16"/>
      <c r="D51" s="16"/>
      <c r="E51" s="26"/>
    </row>
    <row r="52" ht="15.75" customHeight="1">
      <c r="B52" s="16"/>
      <c r="D52" s="16"/>
      <c r="E52" s="26"/>
    </row>
    <row r="53" ht="15.75" customHeight="1">
      <c r="B53" s="16"/>
      <c r="D53" s="16"/>
      <c r="E53" s="26"/>
    </row>
    <row r="54" ht="15.75" customHeight="1">
      <c r="B54" s="16"/>
      <c r="D54" s="16"/>
      <c r="E54" s="26"/>
    </row>
    <row r="55" ht="15.75" customHeight="1">
      <c r="B55" s="16"/>
      <c r="D55" s="16"/>
      <c r="E55" s="26"/>
    </row>
    <row r="56" ht="15.75" customHeight="1">
      <c r="B56" s="16"/>
      <c r="D56" s="16"/>
      <c r="E56" s="26"/>
    </row>
    <row r="57" ht="15.75" customHeight="1">
      <c r="B57" s="16"/>
      <c r="D57" s="16"/>
      <c r="E57" s="26"/>
    </row>
    <row r="58" ht="15.75" customHeight="1">
      <c r="B58" s="16"/>
      <c r="D58" s="16"/>
      <c r="E58" s="26"/>
    </row>
    <row r="59" ht="15.75" customHeight="1">
      <c r="B59" s="16"/>
      <c r="D59" s="16"/>
      <c r="E59" s="26"/>
    </row>
    <row r="60" ht="15.75" customHeight="1">
      <c r="B60" s="16"/>
      <c r="D60" s="16"/>
      <c r="E60" s="26"/>
    </row>
    <row r="61" ht="15.75" customHeight="1">
      <c r="B61" s="16"/>
      <c r="D61" s="16"/>
      <c r="E61" s="26"/>
    </row>
    <row r="62" ht="15.75" customHeight="1">
      <c r="B62" s="16"/>
      <c r="D62" s="16"/>
      <c r="E62" s="26"/>
    </row>
    <row r="63" ht="15.75" customHeight="1">
      <c r="B63" s="16"/>
      <c r="D63" s="16"/>
      <c r="E63" s="26"/>
    </row>
    <row r="64" ht="15.75" customHeight="1">
      <c r="B64" s="16"/>
      <c r="D64" s="16"/>
      <c r="E64" s="26"/>
    </row>
    <row r="65" ht="15.75" customHeight="1">
      <c r="B65" s="16"/>
      <c r="D65" s="16"/>
      <c r="E65" s="26"/>
    </row>
    <row r="66" ht="15.75" customHeight="1">
      <c r="B66" s="16"/>
      <c r="D66" s="16"/>
      <c r="E66" s="26"/>
    </row>
    <row r="67" ht="15.75" customHeight="1">
      <c r="B67" s="16"/>
      <c r="D67" s="16"/>
      <c r="E67" s="26"/>
    </row>
    <row r="68" ht="15.75" customHeight="1">
      <c r="B68" s="16"/>
      <c r="D68" s="16"/>
      <c r="E68" s="26"/>
    </row>
    <row r="69" ht="15.75" customHeight="1">
      <c r="B69" s="16"/>
      <c r="D69" s="16"/>
      <c r="E69" s="26"/>
    </row>
    <row r="70" ht="15.75" customHeight="1">
      <c r="B70" s="16"/>
      <c r="D70" s="16"/>
      <c r="E70" s="26"/>
    </row>
    <row r="71" ht="15.75" customHeight="1">
      <c r="B71" s="16"/>
      <c r="D71" s="16"/>
      <c r="E71" s="26"/>
    </row>
    <row r="72" ht="15.75" customHeight="1">
      <c r="B72" s="16"/>
      <c r="D72" s="16"/>
      <c r="E72" s="26"/>
    </row>
    <row r="73" ht="15.75" customHeight="1">
      <c r="B73" s="16"/>
      <c r="D73" s="16"/>
      <c r="E73" s="26"/>
    </row>
    <row r="74" ht="15.75" customHeight="1">
      <c r="B74" s="16"/>
      <c r="D74" s="16"/>
      <c r="E74" s="26"/>
    </row>
    <row r="75" ht="15.75" customHeight="1">
      <c r="B75" s="16"/>
      <c r="D75" s="16"/>
      <c r="E75" s="26"/>
    </row>
    <row r="76" ht="15.75" customHeight="1">
      <c r="B76" s="16"/>
      <c r="D76" s="16"/>
      <c r="E76" s="26"/>
    </row>
    <row r="77" ht="15.75" customHeight="1">
      <c r="B77" s="16"/>
      <c r="D77" s="16"/>
      <c r="E77" s="26"/>
    </row>
    <row r="78" ht="15.75" customHeight="1">
      <c r="B78" s="16"/>
      <c r="D78" s="16"/>
      <c r="E78" s="26"/>
    </row>
    <row r="79" ht="15.75" customHeight="1">
      <c r="B79" s="16"/>
      <c r="D79" s="16"/>
      <c r="E79" s="26"/>
    </row>
    <row r="80" ht="15.75" customHeight="1">
      <c r="B80" s="16"/>
      <c r="D80" s="16"/>
      <c r="E80" s="26"/>
    </row>
    <row r="81" ht="15.75" customHeight="1">
      <c r="B81" s="16"/>
      <c r="D81" s="16"/>
      <c r="E81" s="26"/>
    </row>
    <row r="82" ht="15.75" customHeight="1">
      <c r="B82" s="16"/>
      <c r="D82" s="16"/>
      <c r="E82" s="26"/>
    </row>
    <row r="83" ht="15.75" customHeight="1">
      <c r="B83" s="16"/>
      <c r="D83" s="16"/>
      <c r="E83" s="26"/>
    </row>
    <row r="84" ht="15.75" customHeight="1">
      <c r="B84" s="16"/>
      <c r="D84" s="16"/>
      <c r="E84" s="26"/>
    </row>
    <row r="85" ht="15.75" customHeight="1">
      <c r="B85" s="16"/>
      <c r="D85" s="16"/>
      <c r="E85" s="26"/>
    </row>
    <row r="86" ht="15.75" customHeight="1">
      <c r="B86" s="16"/>
      <c r="D86" s="16"/>
      <c r="E86" s="26"/>
    </row>
    <row r="87" ht="15.75" customHeight="1">
      <c r="B87" s="16"/>
      <c r="D87" s="16"/>
      <c r="E87" s="26"/>
    </row>
    <row r="88" ht="15.75" customHeight="1">
      <c r="B88" s="16"/>
      <c r="D88" s="16"/>
      <c r="E88" s="26"/>
    </row>
    <row r="89" ht="15.75" customHeight="1">
      <c r="B89" s="16"/>
      <c r="D89" s="16"/>
      <c r="E89" s="26"/>
    </row>
    <row r="90" ht="15.75" customHeight="1">
      <c r="B90" s="16"/>
      <c r="D90" s="16"/>
      <c r="E90" s="26"/>
    </row>
    <row r="91" ht="15.75" customHeight="1">
      <c r="B91" s="16"/>
      <c r="D91" s="16"/>
      <c r="E91" s="26"/>
    </row>
    <row r="92" ht="15.75" customHeight="1">
      <c r="B92" s="16"/>
      <c r="D92" s="16"/>
      <c r="E92" s="26"/>
    </row>
    <row r="93" ht="15.75" customHeight="1">
      <c r="B93" s="16"/>
      <c r="D93" s="16"/>
      <c r="E93" s="26"/>
    </row>
    <row r="94" ht="15.75" customHeight="1">
      <c r="B94" s="16"/>
      <c r="D94" s="16"/>
      <c r="E94" s="26"/>
    </row>
    <row r="95" ht="15.75" customHeight="1">
      <c r="B95" s="16"/>
      <c r="D95" s="16"/>
      <c r="E95" s="26"/>
    </row>
    <row r="96" ht="15.75" customHeight="1">
      <c r="B96" s="16"/>
      <c r="D96" s="16"/>
      <c r="E96" s="26"/>
    </row>
    <row r="97" ht="15.75" customHeight="1">
      <c r="B97" s="16"/>
      <c r="D97" s="16"/>
      <c r="E97" s="26"/>
    </row>
    <row r="98" ht="15.75" customHeight="1">
      <c r="B98" s="16"/>
      <c r="D98" s="16"/>
      <c r="E98" s="26"/>
    </row>
    <row r="99" ht="15.75" customHeight="1">
      <c r="B99" s="16"/>
      <c r="D99" s="16"/>
      <c r="E99" s="26"/>
    </row>
    <row r="100" ht="15.75" customHeight="1">
      <c r="B100" s="16"/>
      <c r="D100" s="16"/>
      <c r="E100" s="26"/>
    </row>
    <row r="101" ht="15.75" customHeight="1">
      <c r="B101" s="16"/>
      <c r="D101" s="16"/>
      <c r="E101" s="26"/>
    </row>
    <row r="102" ht="15.75" customHeight="1">
      <c r="B102" s="16"/>
      <c r="D102" s="16"/>
      <c r="E102" s="26"/>
    </row>
    <row r="103" ht="15.75" customHeight="1">
      <c r="B103" s="16"/>
      <c r="D103" s="16"/>
      <c r="E103" s="26"/>
    </row>
    <row r="104" ht="15.75" customHeight="1">
      <c r="B104" s="16"/>
      <c r="D104" s="16"/>
      <c r="E104" s="26"/>
    </row>
    <row r="105" ht="15.75" customHeight="1">
      <c r="B105" s="16"/>
      <c r="D105" s="16"/>
      <c r="E105" s="26"/>
    </row>
    <row r="106" ht="15.75" customHeight="1">
      <c r="B106" s="16"/>
      <c r="D106" s="16"/>
      <c r="E106" s="26"/>
    </row>
    <row r="107" ht="15.75" customHeight="1">
      <c r="B107" s="16"/>
      <c r="D107" s="16"/>
      <c r="E107" s="26"/>
    </row>
    <row r="108" ht="15.75" customHeight="1">
      <c r="B108" s="16"/>
      <c r="D108" s="16"/>
      <c r="E108" s="26"/>
    </row>
    <row r="109" ht="15.75" customHeight="1">
      <c r="B109" s="16"/>
      <c r="D109" s="16"/>
      <c r="E109" s="26"/>
    </row>
    <row r="110" ht="15.75" customHeight="1">
      <c r="B110" s="16"/>
      <c r="D110" s="16"/>
      <c r="E110" s="26"/>
    </row>
    <row r="111" ht="15.75" customHeight="1">
      <c r="B111" s="16"/>
      <c r="D111" s="16"/>
      <c r="E111" s="26"/>
    </row>
    <row r="112" ht="15.75" customHeight="1">
      <c r="B112" s="16"/>
      <c r="D112" s="16"/>
      <c r="E112" s="26"/>
    </row>
    <row r="113" ht="15.75" customHeight="1">
      <c r="B113" s="16"/>
      <c r="D113" s="16"/>
      <c r="E113" s="26"/>
    </row>
    <row r="114" ht="15.75" customHeight="1">
      <c r="B114" s="16"/>
      <c r="D114" s="16"/>
      <c r="E114" s="26"/>
    </row>
    <row r="115" ht="15.75" customHeight="1">
      <c r="B115" s="16"/>
      <c r="D115" s="16"/>
      <c r="E115" s="26"/>
    </row>
    <row r="116" ht="15.75" customHeight="1">
      <c r="B116" s="16"/>
      <c r="D116" s="16"/>
      <c r="E116" s="26"/>
    </row>
    <row r="117" ht="15.75" customHeight="1">
      <c r="B117" s="16"/>
      <c r="D117" s="16"/>
      <c r="E117" s="26"/>
    </row>
    <row r="118" ht="15.75" customHeight="1">
      <c r="B118" s="16"/>
      <c r="D118" s="16"/>
      <c r="E118" s="26"/>
    </row>
    <row r="119" ht="15.75" customHeight="1">
      <c r="B119" s="16"/>
      <c r="D119" s="16"/>
      <c r="E119" s="26"/>
    </row>
    <row r="120" ht="15.75" customHeight="1">
      <c r="B120" s="16"/>
      <c r="D120" s="16"/>
      <c r="E120" s="26"/>
    </row>
    <row r="121" ht="15.75" customHeight="1">
      <c r="B121" s="16"/>
      <c r="D121" s="16"/>
      <c r="E121" s="26"/>
    </row>
    <row r="122" ht="15.75" customHeight="1">
      <c r="B122" s="16"/>
      <c r="D122" s="16"/>
      <c r="E122" s="26"/>
    </row>
    <row r="123" ht="15.75" customHeight="1">
      <c r="B123" s="16"/>
      <c r="D123" s="16"/>
      <c r="E123" s="26"/>
    </row>
    <row r="124" ht="15.75" customHeight="1">
      <c r="B124" s="16"/>
      <c r="D124" s="16"/>
      <c r="E124" s="26"/>
    </row>
    <row r="125" ht="15.75" customHeight="1">
      <c r="B125" s="16"/>
      <c r="D125" s="16"/>
      <c r="E125" s="26"/>
    </row>
    <row r="126" ht="15.75" customHeight="1">
      <c r="B126" s="16"/>
      <c r="D126" s="16"/>
      <c r="E126" s="26"/>
    </row>
    <row r="127" ht="15.75" customHeight="1">
      <c r="B127" s="16"/>
      <c r="D127" s="16"/>
      <c r="E127" s="26"/>
    </row>
    <row r="128" ht="15.75" customHeight="1">
      <c r="B128" s="16"/>
      <c r="D128" s="16"/>
      <c r="E128" s="26"/>
    </row>
    <row r="129" ht="15.75" customHeight="1">
      <c r="B129" s="16"/>
      <c r="D129" s="16"/>
      <c r="E129" s="26"/>
    </row>
    <row r="130" ht="15.75" customHeight="1">
      <c r="B130" s="16"/>
      <c r="D130" s="16"/>
      <c r="E130" s="26"/>
    </row>
    <row r="131" ht="15.75" customHeight="1">
      <c r="B131" s="16"/>
      <c r="D131" s="16"/>
      <c r="E131" s="26"/>
    </row>
    <row r="132" ht="15.75" customHeight="1">
      <c r="B132" s="16"/>
      <c r="D132" s="16"/>
      <c r="E132" s="26"/>
    </row>
    <row r="133" ht="15.75" customHeight="1">
      <c r="B133" s="16"/>
      <c r="D133" s="16"/>
      <c r="E133" s="26"/>
    </row>
    <row r="134" ht="15.75" customHeight="1">
      <c r="B134" s="16"/>
      <c r="D134" s="16"/>
      <c r="E134" s="26"/>
    </row>
    <row r="135" ht="15.75" customHeight="1">
      <c r="B135" s="16"/>
      <c r="D135" s="16"/>
      <c r="E135" s="26"/>
    </row>
    <row r="136" ht="15.75" customHeight="1">
      <c r="B136" s="16"/>
      <c r="D136" s="16"/>
      <c r="E136" s="26"/>
    </row>
    <row r="137" ht="15.75" customHeight="1">
      <c r="B137" s="16"/>
      <c r="D137" s="16"/>
      <c r="E137" s="26"/>
    </row>
    <row r="138" ht="15.75" customHeight="1">
      <c r="B138" s="16"/>
      <c r="D138" s="16"/>
      <c r="E138" s="26"/>
    </row>
    <row r="139" ht="15.75" customHeight="1">
      <c r="B139" s="16"/>
      <c r="D139" s="16"/>
      <c r="E139" s="26"/>
    </row>
    <row r="140" ht="15.75" customHeight="1">
      <c r="B140" s="16"/>
      <c r="D140" s="16"/>
      <c r="E140" s="26"/>
    </row>
    <row r="141" ht="15.75" customHeight="1">
      <c r="B141" s="16"/>
      <c r="D141" s="16"/>
      <c r="E141" s="26"/>
    </row>
    <row r="142" ht="15.75" customHeight="1">
      <c r="B142" s="16"/>
      <c r="D142" s="16"/>
      <c r="E142" s="26"/>
    </row>
    <row r="143" ht="15.75" customHeight="1">
      <c r="B143" s="16"/>
      <c r="D143" s="16"/>
      <c r="E143" s="26"/>
    </row>
    <row r="144" ht="15.75" customHeight="1">
      <c r="B144" s="16"/>
      <c r="D144" s="16"/>
      <c r="E144" s="26"/>
    </row>
    <row r="145" ht="15.75" customHeight="1">
      <c r="B145" s="16"/>
      <c r="D145" s="16"/>
      <c r="E145" s="26"/>
    </row>
    <row r="146" ht="15.75" customHeight="1">
      <c r="B146" s="16"/>
      <c r="D146" s="16"/>
      <c r="E146" s="26"/>
    </row>
    <row r="147" ht="15.75" customHeight="1">
      <c r="B147" s="16"/>
      <c r="D147" s="16"/>
      <c r="E147" s="26"/>
    </row>
    <row r="148" ht="15.75" customHeight="1">
      <c r="B148" s="16"/>
      <c r="D148" s="16"/>
      <c r="E148" s="26"/>
    </row>
    <row r="149" ht="15.75" customHeight="1">
      <c r="B149" s="16"/>
      <c r="D149" s="16"/>
      <c r="E149" s="26"/>
    </row>
    <row r="150" ht="15.75" customHeight="1">
      <c r="B150" s="16"/>
      <c r="D150" s="16"/>
      <c r="E150" s="26"/>
    </row>
    <row r="151" ht="15.75" customHeight="1">
      <c r="B151" s="16"/>
      <c r="D151" s="16"/>
      <c r="E151" s="26"/>
    </row>
    <row r="152" ht="15.75" customHeight="1">
      <c r="B152" s="16"/>
      <c r="D152" s="16"/>
      <c r="E152" s="26"/>
    </row>
    <row r="153" ht="15.75" customHeight="1">
      <c r="B153" s="16"/>
      <c r="D153" s="16"/>
      <c r="E153" s="26"/>
    </row>
    <row r="154" ht="15.75" customHeight="1">
      <c r="B154" s="16"/>
      <c r="D154" s="16"/>
      <c r="E154" s="26"/>
    </row>
    <row r="155" ht="15.75" customHeight="1">
      <c r="B155" s="16"/>
      <c r="D155" s="16"/>
      <c r="E155" s="26"/>
    </row>
    <row r="156" ht="15.75" customHeight="1">
      <c r="B156" s="16"/>
      <c r="D156" s="16"/>
      <c r="E156" s="26"/>
    </row>
    <row r="157" ht="15.75" customHeight="1">
      <c r="B157" s="16"/>
      <c r="D157" s="16"/>
      <c r="E157" s="26"/>
    </row>
    <row r="158" ht="15.75" customHeight="1">
      <c r="B158" s="16"/>
      <c r="D158" s="16"/>
      <c r="E158" s="26"/>
    </row>
    <row r="159" ht="15.75" customHeight="1">
      <c r="B159" s="16"/>
      <c r="D159" s="16"/>
      <c r="E159" s="26"/>
    </row>
    <row r="160" ht="15.75" customHeight="1">
      <c r="B160" s="16"/>
      <c r="D160" s="16"/>
      <c r="E160" s="26"/>
    </row>
    <row r="161" ht="15.75" customHeight="1">
      <c r="B161" s="16"/>
      <c r="D161" s="16"/>
      <c r="E161" s="26"/>
    </row>
    <row r="162" ht="15.75" customHeight="1">
      <c r="B162" s="16"/>
      <c r="D162" s="16"/>
      <c r="E162" s="26"/>
    </row>
    <row r="163" ht="15.75" customHeight="1">
      <c r="B163" s="16"/>
      <c r="D163" s="16"/>
      <c r="E163" s="26"/>
    </row>
    <row r="164" ht="15.75" customHeight="1">
      <c r="B164" s="16"/>
      <c r="D164" s="16"/>
      <c r="E164" s="26"/>
    </row>
    <row r="165" ht="15.75" customHeight="1">
      <c r="B165" s="16"/>
      <c r="D165" s="16"/>
      <c r="E165" s="26"/>
    </row>
    <row r="166" ht="15.75" customHeight="1">
      <c r="B166" s="16"/>
      <c r="D166" s="16"/>
      <c r="E166" s="26"/>
    </row>
    <row r="167" ht="15.75" customHeight="1">
      <c r="B167" s="16"/>
      <c r="D167" s="16"/>
      <c r="E167" s="26"/>
    </row>
    <row r="168" ht="15.75" customHeight="1">
      <c r="B168" s="16"/>
      <c r="D168" s="16"/>
      <c r="E168" s="26"/>
    </row>
    <row r="169" ht="15.75" customHeight="1">
      <c r="B169" s="16"/>
      <c r="D169" s="16"/>
      <c r="E169" s="26"/>
    </row>
    <row r="170" ht="15.75" customHeight="1">
      <c r="B170" s="16"/>
      <c r="D170" s="16"/>
      <c r="E170" s="26"/>
    </row>
    <row r="171" ht="15.75" customHeight="1">
      <c r="B171" s="16"/>
      <c r="D171" s="16"/>
      <c r="E171" s="26"/>
    </row>
    <row r="172" ht="15.75" customHeight="1">
      <c r="B172" s="16"/>
      <c r="D172" s="16"/>
      <c r="E172" s="26"/>
    </row>
    <row r="173" ht="15.75" customHeight="1">
      <c r="B173" s="16"/>
      <c r="D173" s="16"/>
      <c r="E173" s="26"/>
    </row>
    <row r="174" ht="15.75" customHeight="1">
      <c r="B174" s="16"/>
      <c r="D174" s="16"/>
      <c r="E174" s="26"/>
    </row>
    <row r="175" ht="15.75" customHeight="1">
      <c r="B175" s="16"/>
      <c r="D175" s="16"/>
      <c r="E175" s="26"/>
    </row>
    <row r="176" ht="15.75" customHeight="1">
      <c r="B176" s="16"/>
      <c r="D176" s="16"/>
      <c r="E176" s="26"/>
    </row>
    <row r="177" ht="15.75" customHeight="1">
      <c r="B177" s="16"/>
      <c r="D177" s="16"/>
      <c r="E177" s="26"/>
    </row>
    <row r="178" ht="15.75" customHeight="1">
      <c r="B178" s="16"/>
      <c r="D178" s="16"/>
      <c r="E178" s="26"/>
    </row>
    <row r="179" ht="15.75" customHeight="1">
      <c r="B179" s="16"/>
      <c r="D179" s="16"/>
      <c r="E179" s="26"/>
    </row>
    <row r="180" ht="15.75" customHeight="1">
      <c r="B180" s="16"/>
      <c r="D180" s="16"/>
      <c r="E180" s="26"/>
    </row>
    <row r="181" ht="15.75" customHeight="1">
      <c r="B181" s="16"/>
      <c r="D181" s="16"/>
      <c r="E181" s="26"/>
    </row>
    <row r="182" ht="15.75" customHeight="1">
      <c r="B182" s="16"/>
      <c r="D182" s="16"/>
      <c r="E182" s="26"/>
    </row>
    <row r="183" ht="15.75" customHeight="1">
      <c r="B183" s="16"/>
      <c r="D183" s="16"/>
      <c r="E183" s="26"/>
    </row>
    <row r="184" ht="15.75" customHeight="1">
      <c r="B184" s="16"/>
      <c r="D184" s="16"/>
      <c r="E184" s="26"/>
    </row>
    <row r="185" ht="15.75" customHeight="1">
      <c r="B185" s="16"/>
      <c r="D185" s="16"/>
      <c r="E185" s="26"/>
    </row>
    <row r="186" ht="15.75" customHeight="1">
      <c r="B186" s="16"/>
      <c r="D186" s="16"/>
      <c r="E186" s="26"/>
    </row>
    <row r="187" ht="15.75" customHeight="1">
      <c r="B187" s="16"/>
      <c r="D187" s="16"/>
      <c r="E187" s="26"/>
    </row>
    <row r="188" ht="15.75" customHeight="1">
      <c r="B188" s="16"/>
      <c r="D188" s="16"/>
      <c r="E188" s="26"/>
    </row>
    <row r="189" ht="15.75" customHeight="1">
      <c r="B189" s="16"/>
      <c r="D189" s="16"/>
      <c r="E189" s="26"/>
    </row>
    <row r="190" ht="15.75" customHeight="1">
      <c r="B190" s="16"/>
      <c r="D190" s="16"/>
      <c r="E190" s="26"/>
    </row>
    <row r="191" ht="15.75" customHeight="1">
      <c r="B191" s="16"/>
      <c r="D191" s="16"/>
      <c r="E191" s="26"/>
    </row>
    <row r="192" ht="15.75" customHeight="1">
      <c r="B192" s="16"/>
      <c r="D192" s="16"/>
      <c r="E192" s="26"/>
    </row>
    <row r="193" ht="15.75" customHeight="1">
      <c r="B193" s="16"/>
      <c r="D193" s="16"/>
      <c r="E193" s="26"/>
    </row>
    <row r="194" ht="15.75" customHeight="1">
      <c r="B194" s="16"/>
      <c r="D194" s="16"/>
      <c r="E194" s="26"/>
    </row>
    <row r="195" ht="15.75" customHeight="1">
      <c r="B195" s="16"/>
      <c r="D195" s="16"/>
      <c r="E195" s="26"/>
    </row>
    <row r="196" ht="15.75" customHeight="1">
      <c r="B196" s="16"/>
      <c r="D196" s="16"/>
      <c r="E196" s="26"/>
    </row>
    <row r="197" ht="15.75" customHeight="1">
      <c r="B197" s="16"/>
      <c r="D197" s="16"/>
      <c r="E197" s="26"/>
    </row>
    <row r="198" ht="15.75" customHeight="1">
      <c r="B198" s="16"/>
      <c r="D198" s="16"/>
      <c r="E198" s="26"/>
    </row>
    <row r="199" ht="15.75" customHeight="1">
      <c r="B199" s="16"/>
      <c r="D199" s="16"/>
      <c r="E199" s="26"/>
    </row>
    <row r="200" ht="15.75" customHeight="1">
      <c r="B200" s="16"/>
      <c r="D200" s="16"/>
      <c r="E200" s="26"/>
    </row>
    <row r="201" ht="15.75" customHeight="1">
      <c r="B201" s="16"/>
      <c r="D201" s="16"/>
      <c r="E201" s="26"/>
    </row>
    <row r="202" ht="15.75" customHeight="1">
      <c r="B202" s="16"/>
      <c r="D202" s="16"/>
      <c r="E202" s="26"/>
    </row>
    <row r="203" ht="15.75" customHeight="1">
      <c r="B203" s="16"/>
      <c r="D203" s="16"/>
      <c r="E203" s="26"/>
    </row>
    <row r="204" ht="15.75" customHeight="1">
      <c r="B204" s="16"/>
      <c r="D204" s="16"/>
      <c r="E204" s="26"/>
    </row>
    <row r="205" ht="15.75" customHeight="1">
      <c r="B205" s="16"/>
      <c r="D205" s="16"/>
      <c r="E205" s="26"/>
    </row>
    <row r="206" ht="15.75" customHeight="1">
      <c r="B206" s="16"/>
      <c r="D206" s="16"/>
      <c r="E206" s="26"/>
    </row>
    <row r="207" ht="15.75" customHeight="1">
      <c r="B207" s="16"/>
      <c r="D207" s="16"/>
      <c r="E207" s="26"/>
    </row>
    <row r="208" ht="15.75" customHeight="1">
      <c r="B208" s="16"/>
      <c r="D208" s="16"/>
      <c r="E208" s="26"/>
    </row>
    <row r="209" ht="15.75" customHeight="1">
      <c r="B209" s="16"/>
      <c r="D209" s="16"/>
      <c r="E209" s="26"/>
    </row>
    <row r="210" ht="15.75" customHeight="1">
      <c r="B210" s="16"/>
      <c r="D210" s="16"/>
      <c r="E210" s="26"/>
    </row>
    <row r="211" ht="15.75" customHeight="1">
      <c r="B211" s="16"/>
      <c r="D211" s="16"/>
      <c r="E211" s="26"/>
    </row>
    <row r="212" ht="15.75" customHeight="1">
      <c r="B212" s="16"/>
      <c r="D212" s="16"/>
      <c r="E212" s="26"/>
    </row>
    <row r="213" ht="15.75" customHeight="1">
      <c r="B213" s="16"/>
      <c r="D213" s="16"/>
      <c r="E213" s="26"/>
    </row>
    <row r="214" ht="15.75" customHeight="1">
      <c r="B214" s="16"/>
      <c r="D214" s="16"/>
      <c r="E214" s="26"/>
    </row>
    <row r="215" ht="15.75" customHeight="1">
      <c r="B215" s="16"/>
      <c r="D215" s="16"/>
      <c r="E215" s="26"/>
    </row>
    <row r="216" ht="15.75" customHeight="1">
      <c r="B216" s="16"/>
      <c r="D216" s="16"/>
      <c r="E216" s="26"/>
    </row>
    <row r="217" ht="15.75" customHeight="1">
      <c r="B217" s="16"/>
      <c r="D217" s="16"/>
      <c r="E217" s="26"/>
    </row>
    <row r="218" ht="15.75" customHeight="1">
      <c r="B218" s="16"/>
      <c r="D218" s="16"/>
      <c r="E218" s="26"/>
    </row>
    <row r="219" ht="15.75" customHeight="1">
      <c r="B219" s="16"/>
      <c r="D219" s="16"/>
      <c r="E219" s="26"/>
    </row>
    <row r="220" ht="15.75" customHeight="1">
      <c r="B220" s="16"/>
      <c r="D220" s="16"/>
      <c r="E220" s="26"/>
    </row>
    <row r="221" ht="15.75" customHeight="1">
      <c r="B221" s="16"/>
      <c r="D221" s="16"/>
      <c r="E221" s="26"/>
    </row>
    <row r="222" ht="15.75" customHeight="1">
      <c r="B222" s="16"/>
      <c r="D222" s="16"/>
      <c r="E222" s="26"/>
    </row>
    <row r="223" ht="15.75" customHeight="1">
      <c r="B223" s="27"/>
      <c r="D223" s="27"/>
    </row>
    <row r="224" ht="15.75" customHeight="1">
      <c r="B224" s="27"/>
      <c r="D224" s="27"/>
    </row>
    <row r="225" ht="15.75" customHeight="1">
      <c r="B225" s="27"/>
      <c r="D225" s="27"/>
    </row>
    <row r="226" ht="15.75" customHeight="1">
      <c r="B226" s="27"/>
      <c r="D226" s="27"/>
    </row>
    <row r="227" ht="15.75" customHeight="1">
      <c r="B227" s="27"/>
      <c r="D227" s="27"/>
    </row>
    <row r="228" ht="15.75" customHeight="1">
      <c r="B228" s="27"/>
      <c r="D228" s="27"/>
    </row>
    <row r="229" ht="15.75" customHeight="1">
      <c r="B229" s="27"/>
      <c r="D229" s="27"/>
    </row>
    <row r="230" ht="15.75" customHeight="1">
      <c r="B230" s="27"/>
      <c r="D230" s="27"/>
    </row>
    <row r="231" ht="15.75" customHeight="1">
      <c r="B231" s="27"/>
      <c r="D231" s="27"/>
    </row>
    <row r="232" ht="15.75" customHeight="1">
      <c r="B232" s="27"/>
      <c r="D232" s="27"/>
    </row>
    <row r="233" ht="15.75" customHeight="1">
      <c r="B233" s="27"/>
      <c r="D233" s="27"/>
    </row>
    <row r="234" ht="15.75" customHeight="1">
      <c r="B234" s="27"/>
      <c r="D234" s="27"/>
    </row>
    <row r="235" ht="15.75" customHeight="1">
      <c r="B235" s="27"/>
      <c r="D235" s="27"/>
    </row>
    <row r="236" ht="15.75" customHeight="1">
      <c r="B236" s="27"/>
      <c r="D236" s="27"/>
    </row>
    <row r="237" ht="15.75" customHeight="1">
      <c r="B237" s="27"/>
      <c r="D237" s="27"/>
    </row>
    <row r="238" ht="15.75" customHeight="1">
      <c r="B238" s="27"/>
      <c r="D238" s="27"/>
    </row>
    <row r="239" ht="15.75" customHeight="1">
      <c r="B239" s="27"/>
      <c r="D239" s="27"/>
    </row>
    <row r="240" ht="15.75" customHeight="1">
      <c r="B240" s="27"/>
      <c r="D240" s="27"/>
    </row>
    <row r="241" ht="15.75" customHeight="1">
      <c r="B241" s="27"/>
      <c r="D241" s="27"/>
    </row>
    <row r="242" ht="15.75" customHeight="1">
      <c r="B242" s="27"/>
      <c r="D242" s="27"/>
    </row>
    <row r="243" ht="15.75" customHeight="1">
      <c r="B243" s="27"/>
      <c r="D243" s="27"/>
    </row>
    <row r="244" ht="15.75" customHeight="1">
      <c r="B244" s="27"/>
      <c r="D244" s="27"/>
    </row>
    <row r="245" ht="15.75" customHeight="1">
      <c r="B245" s="27"/>
      <c r="D245" s="27"/>
    </row>
    <row r="246" ht="15.75" customHeight="1">
      <c r="B246" s="27"/>
      <c r="D246" s="27"/>
    </row>
    <row r="247" ht="15.75" customHeight="1">
      <c r="B247" s="27"/>
      <c r="D247" s="27"/>
    </row>
    <row r="248" ht="15.75" customHeight="1">
      <c r="B248" s="27"/>
      <c r="D248" s="27"/>
    </row>
    <row r="249" ht="15.75" customHeight="1">
      <c r="B249" s="27"/>
      <c r="D249" s="27"/>
    </row>
    <row r="250" ht="15.75" customHeight="1">
      <c r="B250" s="27"/>
      <c r="D250" s="27"/>
    </row>
    <row r="251" ht="15.75" customHeight="1">
      <c r="B251" s="27"/>
      <c r="D251" s="27"/>
    </row>
    <row r="252" ht="15.75" customHeight="1">
      <c r="B252" s="27"/>
      <c r="D252" s="27"/>
    </row>
    <row r="253" ht="15.75" customHeight="1">
      <c r="B253" s="27"/>
      <c r="D253" s="27"/>
    </row>
    <row r="254" ht="15.75" customHeight="1">
      <c r="B254" s="27"/>
      <c r="D254" s="27"/>
    </row>
    <row r="255" ht="15.75" customHeight="1">
      <c r="B255" s="27"/>
      <c r="D255" s="27"/>
    </row>
    <row r="256" ht="15.75" customHeight="1">
      <c r="B256" s="27"/>
      <c r="D256" s="27"/>
    </row>
    <row r="257" ht="15.75" customHeight="1">
      <c r="B257" s="27"/>
      <c r="D257" s="27"/>
    </row>
    <row r="258" ht="15.75" customHeight="1">
      <c r="B258" s="27"/>
      <c r="D258" s="27"/>
    </row>
    <row r="259" ht="15.75" customHeight="1">
      <c r="B259" s="27"/>
      <c r="D259" s="27"/>
    </row>
    <row r="260" ht="15.75" customHeight="1">
      <c r="B260" s="27"/>
      <c r="D260" s="27"/>
    </row>
    <row r="261" ht="15.75" customHeight="1">
      <c r="B261" s="27"/>
      <c r="D261" s="27"/>
    </row>
    <row r="262" ht="15.75" customHeight="1">
      <c r="B262" s="27"/>
      <c r="D262" s="27"/>
    </row>
    <row r="263" ht="15.75" customHeight="1">
      <c r="B263" s="27"/>
      <c r="D263" s="27"/>
    </row>
    <row r="264" ht="15.75" customHeight="1">
      <c r="B264" s="27"/>
      <c r="D264" s="27"/>
    </row>
    <row r="265" ht="15.75" customHeight="1">
      <c r="B265" s="27"/>
      <c r="D265" s="27"/>
    </row>
    <row r="266" ht="15.75" customHeight="1">
      <c r="B266" s="27"/>
      <c r="D266" s="27"/>
    </row>
    <row r="267" ht="15.75" customHeight="1">
      <c r="B267" s="27"/>
      <c r="D267" s="27"/>
    </row>
    <row r="268" ht="15.75" customHeight="1">
      <c r="B268" s="27"/>
      <c r="D268" s="27"/>
    </row>
    <row r="269" ht="15.75" customHeight="1">
      <c r="B269" s="27"/>
      <c r="D269" s="27"/>
    </row>
    <row r="270" ht="15.75" customHeight="1">
      <c r="B270" s="27"/>
      <c r="D270" s="27"/>
    </row>
    <row r="271" ht="15.75" customHeight="1">
      <c r="B271" s="27"/>
      <c r="D271" s="27"/>
    </row>
    <row r="272" ht="15.75" customHeight="1">
      <c r="B272" s="27"/>
      <c r="D272" s="27"/>
    </row>
    <row r="273" ht="15.75" customHeight="1">
      <c r="B273" s="27"/>
      <c r="D273" s="27"/>
    </row>
    <row r="274" ht="15.75" customHeight="1">
      <c r="B274" s="27"/>
      <c r="D274" s="27"/>
    </row>
    <row r="275" ht="15.75" customHeight="1">
      <c r="B275" s="27"/>
      <c r="D275" s="27"/>
    </row>
    <row r="276" ht="15.75" customHeight="1">
      <c r="B276" s="27"/>
      <c r="D276" s="27"/>
    </row>
    <row r="277" ht="15.75" customHeight="1">
      <c r="B277" s="27"/>
      <c r="D277" s="27"/>
    </row>
    <row r="278" ht="15.75" customHeight="1">
      <c r="B278" s="27"/>
      <c r="D278" s="27"/>
    </row>
    <row r="279" ht="15.75" customHeight="1">
      <c r="B279" s="27"/>
      <c r="D279" s="27"/>
    </row>
    <row r="280" ht="15.75" customHeight="1">
      <c r="B280" s="27"/>
      <c r="D280" s="27"/>
    </row>
    <row r="281" ht="15.75" customHeight="1">
      <c r="B281" s="27"/>
      <c r="D281" s="27"/>
    </row>
    <row r="282" ht="15.75" customHeight="1">
      <c r="B282" s="27"/>
      <c r="D282" s="27"/>
    </row>
    <row r="283" ht="15.75" customHeight="1">
      <c r="B283" s="27"/>
      <c r="D283" s="27"/>
    </row>
    <row r="284" ht="15.75" customHeight="1">
      <c r="B284" s="27"/>
      <c r="D284" s="27"/>
    </row>
    <row r="285" ht="15.75" customHeight="1">
      <c r="B285" s="27"/>
      <c r="D285" s="27"/>
    </row>
    <row r="286" ht="15.75" customHeight="1">
      <c r="B286" s="27"/>
      <c r="D286" s="27"/>
    </row>
    <row r="287" ht="15.75" customHeight="1">
      <c r="B287" s="27"/>
      <c r="D287" s="27"/>
    </row>
    <row r="288" ht="15.75" customHeight="1">
      <c r="B288" s="27"/>
      <c r="D288" s="27"/>
    </row>
    <row r="289" ht="15.75" customHeight="1">
      <c r="B289" s="27"/>
      <c r="D289" s="27"/>
    </row>
    <row r="290" ht="15.75" customHeight="1">
      <c r="B290" s="27"/>
      <c r="D290" s="27"/>
    </row>
    <row r="291" ht="15.75" customHeight="1">
      <c r="B291" s="27"/>
      <c r="D291" s="27"/>
    </row>
    <row r="292" ht="15.75" customHeight="1">
      <c r="B292" s="27"/>
      <c r="D292" s="27"/>
    </row>
    <row r="293" ht="15.75" customHeight="1">
      <c r="B293" s="27"/>
      <c r="D293" s="27"/>
    </row>
    <row r="294" ht="15.75" customHeight="1">
      <c r="B294" s="27"/>
      <c r="D294" s="27"/>
    </row>
    <row r="295" ht="15.75" customHeight="1">
      <c r="B295" s="27"/>
      <c r="D295" s="27"/>
    </row>
    <row r="296" ht="15.75" customHeight="1">
      <c r="B296" s="27"/>
      <c r="D296" s="27"/>
    </row>
    <row r="297" ht="15.75" customHeight="1">
      <c r="B297" s="27"/>
      <c r="D297" s="27"/>
    </row>
    <row r="298" ht="15.75" customHeight="1">
      <c r="B298" s="27"/>
      <c r="D298" s="27"/>
    </row>
    <row r="299" ht="15.75" customHeight="1">
      <c r="B299" s="27"/>
      <c r="D299" s="27"/>
    </row>
    <row r="300" ht="15.75" customHeight="1">
      <c r="B300" s="27"/>
      <c r="D300" s="27"/>
    </row>
    <row r="301" ht="15.75" customHeight="1">
      <c r="B301" s="27"/>
      <c r="D301" s="27"/>
    </row>
    <row r="302" ht="15.75" customHeight="1">
      <c r="B302" s="27"/>
      <c r="D302" s="27"/>
    </row>
    <row r="303" ht="15.75" customHeight="1">
      <c r="B303" s="27"/>
      <c r="D303" s="27"/>
    </row>
    <row r="304" ht="15.75" customHeight="1">
      <c r="B304" s="27"/>
      <c r="D304" s="27"/>
    </row>
    <row r="305" ht="15.75" customHeight="1">
      <c r="B305" s="27"/>
      <c r="D305" s="27"/>
    </row>
    <row r="306" ht="15.75" customHeight="1">
      <c r="B306" s="27"/>
      <c r="D306" s="27"/>
    </row>
    <row r="307" ht="15.75" customHeight="1">
      <c r="B307" s="27"/>
      <c r="D307" s="27"/>
    </row>
    <row r="308" ht="15.75" customHeight="1">
      <c r="B308" s="27"/>
      <c r="D308" s="27"/>
    </row>
    <row r="309" ht="15.75" customHeight="1">
      <c r="B309" s="27"/>
      <c r="D309" s="27"/>
    </row>
    <row r="310" ht="15.75" customHeight="1">
      <c r="B310" s="27"/>
      <c r="D310" s="27"/>
    </row>
    <row r="311" ht="15.75" customHeight="1">
      <c r="B311" s="27"/>
      <c r="D311" s="27"/>
    </row>
    <row r="312" ht="15.75" customHeight="1">
      <c r="B312" s="27"/>
      <c r="D312" s="27"/>
    </row>
    <row r="313" ht="15.75" customHeight="1">
      <c r="B313" s="27"/>
      <c r="D313" s="27"/>
    </row>
    <row r="314" ht="15.75" customHeight="1">
      <c r="B314" s="27"/>
      <c r="D314" s="27"/>
    </row>
    <row r="315" ht="15.75" customHeight="1">
      <c r="B315" s="27"/>
      <c r="D315" s="27"/>
    </row>
    <row r="316" ht="15.75" customHeight="1">
      <c r="B316" s="27"/>
      <c r="D316" s="27"/>
    </row>
    <row r="317" ht="15.75" customHeight="1">
      <c r="B317" s="27"/>
      <c r="D317" s="27"/>
    </row>
    <row r="318" ht="15.75" customHeight="1">
      <c r="B318" s="27"/>
      <c r="D318" s="27"/>
    </row>
    <row r="319" ht="15.75" customHeight="1">
      <c r="B319" s="27"/>
      <c r="D319" s="27"/>
    </row>
    <row r="320" ht="15.75" customHeight="1">
      <c r="B320" s="27"/>
      <c r="D320" s="27"/>
    </row>
    <row r="321" ht="15.75" customHeight="1">
      <c r="B321" s="27"/>
      <c r="D321" s="27"/>
    </row>
    <row r="322" ht="15.75" customHeight="1">
      <c r="B322" s="27"/>
      <c r="D322" s="27"/>
    </row>
    <row r="323" ht="15.75" customHeight="1">
      <c r="B323" s="27"/>
      <c r="D323" s="27"/>
    </row>
    <row r="324" ht="15.75" customHeight="1">
      <c r="B324" s="27"/>
      <c r="D324" s="27"/>
    </row>
    <row r="325" ht="15.75" customHeight="1">
      <c r="B325" s="27"/>
      <c r="D325" s="27"/>
    </row>
    <row r="326" ht="15.75" customHeight="1">
      <c r="B326" s="27"/>
      <c r="D326" s="27"/>
    </row>
    <row r="327" ht="15.75" customHeight="1">
      <c r="B327" s="27"/>
      <c r="D327" s="27"/>
    </row>
    <row r="328" ht="15.75" customHeight="1">
      <c r="B328" s="27"/>
      <c r="D328" s="27"/>
    </row>
    <row r="329" ht="15.75" customHeight="1">
      <c r="B329" s="27"/>
      <c r="D329" s="27"/>
    </row>
    <row r="330" ht="15.75" customHeight="1">
      <c r="B330" s="27"/>
      <c r="D330" s="27"/>
    </row>
    <row r="331" ht="15.75" customHeight="1">
      <c r="B331" s="27"/>
      <c r="D331" s="27"/>
    </row>
    <row r="332" ht="15.75" customHeight="1">
      <c r="B332" s="27"/>
      <c r="D332" s="27"/>
    </row>
    <row r="333" ht="15.75" customHeight="1">
      <c r="B333" s="27"/>
      <c r="D333" s="27"/>
    </row>
    <row r="334" ht="15.75" customHeight="1">
      <c r="B334" s="27"/>
      <c r="D334" s="27"/>
    </row>
    <row r="335" ht="15.75" customHeight="1">
      <c r="B335" s="27"/>
      <c r="D335" s="27"/>
    </row>
    <row r="336" ht="15.75" customHeight="1">
      <c r="B336" s="27"/>
      <c r="D336" s="27"/>
    </row>
    <row r="337" ht="15.75" customHeight="1">
      <c r="B337" s="27"/>
      <c r="D337" s="27"/>
    </row>
    <row r="338" ht="15.75" customHeight="1">
      <c r="B338" s="27"/>
      <c r="D338" s="27"/>
    </row>
    <row r="339" ht="15.75" customHeight="1">
      <c r="B339" s="27"/>
      <c r="D339" s="27"/>
    </row>
    <row r="340" ht="15.75" customHeight="1">
      <c r="B340" s="27"/>
      <c r="D340" s="27"/>
    </row>
    <row r="341" ht="15.75" customHeight="1">
      <c r="B341" s="27"/>
      <c r="D341" s="27"/>
    </row>
    <row r="342" ht="15.75" customHeight="1">
      <c r="B342" s="27"/>
      <c r="D342" s="27"/>
    </row>
    <row r="343" ht="15.75" customHeight="1">
      <c r="B343" s="27"/>
      <c r="D343" s="27"/>
    </row>
    <row r="344" ht="15.75" customHeight="1">
      <c r="B344" s="27"/>
      <c r="D344" s="27"/>
    </row>
    <row r="345" ht="15.75" customHeight="1">
      <c r="B345" s="27"/>
      <c r="D345" s="27"/>
    </row>
    <row r="346" ht="15.75" customHeight="1">
      <c r="B346" s="27"/>
      <c r="D346" s="27"/>
    </row>
    <row r="347" ht="15.75" customHeight="1">
      <c r="B347" s="27"/>
      <c r="D347" s="27"/>
    </row>
    <row r="348" ht="15.75" customHeight="1">
      <c r="B348" s="27"/>
      <c r="D348" s="27"/>
    </row>
    <row r="349" ht="15.75" customHeight="1">
      <c r="B349" s="27"/>
      <c r="D349" s="27"/>
    </row>
    <row r="350" ht="15.75" customHeight="1">
      <c r="B350" s="27"/>
      <c r="D350" s="27"/>
    </row>
    <row r="351" ht="15.75" customHeight="1">
      <c r="B351" s="27"/>
      <c r="D351" s="27"/>
    </row>
    <row r="352" ht="15.75" customHeight="1">
      <c r="B352" s="27"/>
      <c r="D352" s="27"/>
    </row>
    <row r="353" ht="15.75" customHeight="1">
      <c r="B353" s="27"/>
      <c r="D353" s="27"/>
    </row>
    <row r="354" ht="15.75" customHeight="1">
      <c r="B354" s="27"/>
      <c r="D354" s="27"/>
    </row>
    <row r="355" ht="15.75" customHeight="1">
      <c r="B355" s="27"/>
      <c r="D355" s="27"/>
    </row>
    <row r="356" ht="15.75" customHeight="1">
      <c r="B356" s="27"/>
      <c r="D356" s="27"/>
    </row>
    <row r="357" ht="15.75" customHeight="1">
      <c r="B357" s="27"/>
      <c r="D357" s="27"/>
    </row>
    <row r="358" ht="15.75" customHeight="1">
      <c r="B358" s="27"/>
      <c r="D358" s="27"/>
    </row>
    <row r="359" ht="15.75" customHeight="1">
      <c r="B359" s="27"/>
      <c r="D359" s="27"/>
    </row>
    <row r="360" ht="15.75" customHeight="1">
      <c r="B360" s="27"/>
      <c r="D360" s="27"/>
    </row>
    <row r="361" ht="15.75" customHeight="1">
      <c r="B361" s="27"/>
      <c r="D361" s="27"/>
    </row>
    <row r="362" ht="15.75" customHeight="1">
      <c r="B362" s="27"/>
      <c r="D362" s="27"/>
    </row>
    <row r="363" ht="15.75" customHeight="1">
      <c r="B363" s="27"/>
      <c r="D363" s="27"/>
    </row>
    <row r="364" ht="15.75" customHeight="1">
      <c r="B364" s="27"/>
      <c r="D364" s="27"/>
    </row>
    <row r="365" ht="15.75" customHeight="1">
      <c r="B365" s="27"/>
      <c r="D365" s="27"/>
    </row>
    <row r="366" ht="15.75" customHeight="1">
      <c r="B366" s="27"/>
      <c r="D366" s="27"/>
    </row>
    <row r="367" ht="15.75" customHeight="1">
      <c r="B367" s="27"/>
      <c r="D367" s="27"/>
    </row>
    <row r="368" ht="15.75" customHeight="1">
      <c r="B368" s="27"/>
      <c r="D368" s="27"/>
    </row>
    <row r="369" ht="15.75" customHeight="1">
      <c r="B369" s="27"/>
      <c r="D369" s="27"/>
    </row>
    <row r="370" ht="15.75" customHeight="1">
      <c r="B370" s="27"/>
      <c r="D370" s="27"/>
    </row>
    <row r="371" ht="15.75" customHeight="1">
      <c r="B371" s="27"/>
      <c r="D371" s="27"/>
    </row>
    <row r="372" ht="15.75" customHeight="1">
      <c r="B372" s="27"/>
      <c r="D372" s="27"/>
    </row>
    <row r="373" ht="15.75" customHeight="1">
      <c r="B373" s="27"/>
      <c r="D373" s="27"/>
    </row>
    <row r="374" ht="15.75" customHeight="1">
      <c r="B374" s="27"/>
      <c r="D374" s="27"/>
    </row>
    <row r="375" ht="15.75" customHeight="1">
      <c r="B375" s="27"/>
      <c r="D375" s="27"/>
    </row>
    <row r="376" ht="15.75" customHeight="1">
      <c r="B376" s="27"/>
      <c r="D376" s="27"/>
    </row>
    <row r="377" ht="15.75" customHeight="1">
      <c r="B377" s="27"/>
      <c r="D377" s="27"/>
    </row>
    <row r="378" ht="15.75" customHeight="1">
      <c r="B378" s="27"/>
      <c r="D378" s="27"/>
    </row>
    <row r="379" ht="15.75" customHeight="1">
      <c r="B379" s="27"/>
      <c r="D379" s="27"/>
    </row>
    <row r="380" ht="15.75" customHeight="1">
      <c r="B380" s="27"/>
      <c r="D380" s="27"/>
    </row>
    <row r="381" ht="15.75" customHeight="1">
      <c r="B381" s="27"/>
      <c r="D381" s="27"/>
    </row>
    <row r="382" ht="15.75" customHeight="1">
      <c r="B382" s="27"/>
      <c r="D382" s="27"/>
    </row>
    <row r="383" ht="15.75" customHeight="1">
      <c r="B383" s="27"/>
      <c r="D383" s="27"/>
    </row>
    <row r="384" ht="15.75" customHeight="1">
      <c r="B384" s="27"/>
      <c r="D384" s="27"/>
    </row>
    <row r="385" ht="15.75" customHeight="1">
      <c r="B385" s="27"/>
      <c r="D385" s="27"/>
    </row>
    <row r="386" ht="15.75" customHeight="1">
      <c r="B386" s="27"/>
      <c r="D386" s="27"/>
    </row>
    <row r="387" ht="15.75" customHeight="1">
      <c r="B387" s="27"/>
      <c r="D387" s="27"/>
    </row>
    <row r="388" ht="15.75" customHeight="1">
      <c r="B388" s="27"/>
      <c r="D388" s="27"/>
    </row>
    <row r="389" ht="15.75" customHeight="1">
      <c r="B389" s="27"/>
      <c r="D389" s="27"/>
    </row>
    <row r="390" ht="15.75" customHeight="1">
      <c r="B390" s="27"/>
      <c r="D390" s="27"/>
    </row>
    <row r="391" ht="15.75" customHeight="1">
      <c r="B391" s="27"/>
      <c r="D391" s="27"/>
    </row>
    <row r="392" ht="15.75" customHeight="1">
      <c r="B392" s="27"/>
      <c r="D392" s="27"/>
    </row>
    <row r="393" ht="15.75" customHeight="1">
      <c r="B393" s="27"/>
      <c r="D393" s="27"/>
    </row>
    <row r="394" ht="15.75" customHeight="1">
      <c r="B394" s="27"/>
      <c r="D394" s="27"/>
    </row>
    <row r="395" ht="15.75" customHeight="1">
      <c r="B395" s="27"/>
      <c r="D395" s="27"/>
    </row>
    <row r="396" ht="15.75" customHeight="1">
      <c r="B396" s="27"/>
      <c r="D396" s="27"/>
    </row>
    <row r="397" ht="15.75" customHeight="1">
      <c r="B397" s="27"/>
      <c r="D397" s="27"/>
    </row>
    <row r="398" ht="15.75" customHeight="1">
      <c r="B398" s="27"/>
      <c r="D398" s="27"/>
    </row>
    <row r="399" ht="15.75" customHeight="1">
      <c r="B399" s="27"/>
      <c r="D399" s="27"/>
    </row>
    <row r="400" ht="15.75" customHeight="1">
      <c r="B400" s="27"/>
      <c r="D400" s="27"/>
    </row>
    <row r="401" ht="15.75" customHeight="1">
      <c r="B401" s="27"/>
      <c r="D401" s="27"/>
    </row>
    <row r="402" ht="15.75" customHeight="1">
      <c r="B402" s="27"/>
      <c r="D402" s="27"/>
    </row>
    <row r="403" ht="15.75" customHeight="1">
      <c r="B403" s="27"/>
      <c r="D403" s="27"/>
    </row>
    <row r="404" ht="15.75" customHeight="1">
      <c r="B404" s="27"/>
      <c r="D404" s="27"/>
    </row>
    <row r="405" ht="15.75" customHeight="1">
      <c r="B405" s="27"/>
      <c r="D405" s="27"/>
    </row>
    <row r="406" ht="15.75" customHeight="1">
      <c r="B406" s="27"/>
      <c r="D406" s="27"/>
    </row>
    <row r="407" ht="15.75" customHeight="1">
      <c r="B407" s="27"/>
      <c r="D407" s="27"/>
    </row>
    <row r="408" ht="15.75" customHeight="1">
      <c r="B408" s="27"/>
      <c r="D408" s="27"/>
    </row>
    <row r="409" ht="15.75" customHeight="1">
      <c r="B409" s="27"/>
      <c r="D409" s="27"/>
    </row>
    <row r="410" ht="15.75" customHeight="1">
      <c r="B410" s="27"/>
      <c r="D410" s="27"/>
    </row>
    <row r="411" ht="15.75" customHeight="1">
      <c r="B411" s="27"/>
      <c r="D411" s="27"/>
    </row>
    <row r="412" ht="15.75" customHeight="1">
      <c r="B412" s="27"/>
      <c r="D412" s="27"/>
    </row>
    <row r="413" ht="15.75" customHeight="1">
      <c r="B413" s="27"/>
      <c r="D413" s="27"/>
    </row>
    <row r="414" ht="15.75" customHeight="1">
      <c r="B414" s="27"/>
      <c r="D414" s="27"/>
    </row>
    <row r="415" ht="15.75" customHeight="1">
      <c r="B415" s="27"/>
      <c r="D415" s="27"/>
    </row>
    <row r="416" ht="15.75" customHeight="1">
      <c r="B416" s="27"/>
      <c r="D416" s="27"/>
    </row>
    <row r="417" ht="15.75" customHeight="1">
      <c r="B417" s="27"/>
      <c r="D417" s="27"/>
    </row>
    <row r="418" ht="15.75" customHeight="1">
      <c r="B418" s="27"/>
      <c r="D418" s="27"/>
    </row>
    <row r="419" ht="15.75" customHeight="1">
      <c r="B419" s="27"/>
      <c r="D419" s="27"/>
    </row>
    <row r="420" ht="15.75" customHeight="1">
      <c r="B420" s="27"/>
      <c r="D420" s="27"/>
    </row>
    <row r="421" ht="15.75" customHeight="1">
      <c r="B421" s="27"/>
      <c r="D421" s="27"/>
    </row>
    <row r="422" ht="15.75" customHeight="1">
      <c r="B422" s="27"/>
      <c r="D422" s="27"/>
    </row>
    <row r="423" ht="15.75" customHeight="1">
      <c r="B423" s="27"/>
      <c r="D423" s="27"/>
    </row>
    <row r="424" ht="15.75" customHeight="1">
      <c r="B424" s="27"/>
      <c r="D424" s="27"/>
    </row>
    <row r="425" ht="15.75" customHeight="1">
      <c r="B425" s="27"/>
      <c r="D425" s="27"/>
    </row>
    <row r="426" ht="15.75" customHeight="1">
      <c r="B426" s="27"/>
      <c r="D426" s="27"/>
    </row>
    <row r="427" ht="15.75" customHeight="1">
      <c r="B427" s="27"/>
      <c r="D427" s="27"/>
    </row>
    <row r="428" ht="15.75" customHeight="1">
      <c r="B428" s="27"/>
      <c r="D428" s="27"/>
    </row>
    <row r="429" ht="15.75" customHeight="1">
      <c r="B429" s="27"/>
      <c r="D429" s="27"/>
    </row>
    <row r="430" ht="15.75" customHeight="1">
      <c r="B430" s="27"/>
      <c r="D430" s="27"/>
    </row>
    <row r="431" ht="15.75" customHeight="1">
      <c r="B431" s="27"/>
      <c r="D431" s="27"/>
    </row>
    <row r="432" ht="15.75" customHeight="1">
      <c r="B432" s="27"/>
      <c r="D432" s="27"/>
    </row>
    <row r="433" ht="15.75" customHeight="1">
      <c r="B433" s="27"/>
      <c r="D433" s="27"/>
    </row>
    <row r="434" ht="15.75" customHeight="1">
      <c r="B434" s="27"/>
      <c r="D434" s="27"/>
    </row>
    <row r="435" ht="15.75" customHeight="1">
      <c r="B435" s="27"/>
      <c r="D435" s="27"/>
    </row>
    <row r="436" ht="15.75" customHeight="1">
      <c r="B436" s="27"/>
      <c r="D436" s="27"/>
    </row>
    <row r="437" ht="15.75" customHeight="1">
      <c r="B437" s="27"/>
      <c r="D437" s="27"/>
    </row>
    <row r="438" ht="15.75" customHeight="1">
      <c r="B438" s="27"/>
      <c r="D438" s="27"/>
    </row>
    <row r="439" ht="15.75" customHeight="1">
      <c r="B439" s="27"/>
      <c r="D439" s="27"/>
    </row>
    <row r="440" ht="15.75" customHeight="1">
      <c r="B440" s="27"/>
      <c r="D440" s="27"/>
    </row>
    <row r="441" ht="15.75" customHeight="1">
      <c r="B441" s="27"/>
      <c r="D441" s="27"/>
    </row>
    <row r="442" ht="15.75" customHeight="1">
      <c r="B442" s="27"/>
      <c r="D442" s="27"/>
    </row>
    <row r="443" ht="15.75" customHeight="1">
      <c r="B443" s="27"/>
      <c r="D443" s="27"/>
    </row>
    <row r="444" ht="15.75" customHeight="1">
      <c r="B444" s="27"/>
      <c r="D444" s="27"/>
    </row>
    <row r="445" ht="15.75" customHeight="1">
      <c r="B445" s="27"/>
      <c r="D445" s="27"/>
    </row>
    <row r="446" ht="15.75" customHeight="1">
      <c r="B446" s="27"/>
      <c r="D446" s="27"/>
    </row>
    <row r="447" ht="15.75" customHeight="1">
      <c r="B447" s="27"/>
      <c r="D447" s="27"/>
    </row>
    <row r="448" ht="15.75" customHeight="1">
      <c r="B448" s="27"/>
      <c r="D448" s="27"/>
    </row>
    <row r="449" ht="15.75" customHeight="1">
      <c r="B449" s="27"/>
      <c r="D449" s="27"/>
    </row>
    <row r="450" ht="15.75" customHeight="1">
      <c r="B450" s="27"/>
      <c r="D450" s="27"/>
    </row>
    <row r="451" ht="15.75" customHeight="1">
      <c r="B451" s="27"/>
      <c r="D451" s="27"/>
    </row>
    <row r="452" ht="15.75" customHeight="1">
      <c r="B452" s="27"/>
      <c r="D452" s="27"/>
    </row>
    <row r="453" ht="15.75" customHeight="1">
      <c r="B453" s="27"/>
      <c r="D453" s="27"/>
    </row>
    <row r="454" ht="15.75" customHeight="1">
      <c r="B454" s="27"/>
      <c r="D454" s="27"/>
    </row>
    <row r="455" ht="15.75" customHeight="1">
      <c r="B455" s="27"/>
      <c r="D455" s="27"/>
    </row>
    <row r="456" ht="15.75" customHeight="1">
      <c r="B456" s="27"/>
      <c r="D456" s="27"/>
    </row>
    <row r="457" ht="15.75" customHeight="1">
      <c r="B457" s="27"/>
      <c r="D457" s="27"/>
    </row>
    <row r="458" ht="15.75" customHeight="1">
      <c r="B458" s="27"/>
      <c r="D458" s="27"/>
    </row>
    <row r="459" ht="15.75" customHeight="1">
      <c r="B459" s="27"/>
      <c r="D459" s="27"/>
    </row>
    <row r="460" ht="15.75" customHeight="1">
      <c r="B460" s="27"/>
      <c r="D460" s="27"/>
    </row>
    <row r="461" ht="15.75" customHeight="1">
      <c r="B461" s="27"/>
      <c r="D461" s="27"/>
    </row>
    <row r="462" ht="15.75" customHeight="1">
      <c r="B462" s="27"/>
      <c r="D462" s="27"/>
    </row>
    <row r="463" ht="15.75" customHeight="1">
      <c r="B463" s="27"/>
      <c r="D463" s="27"/>
    </row>
    <row r="464" ht="15.75" customHeight="1">
      <c r="B464" s="27"/>
      <c r="D464" s="27"/>
    </row>
    <row r="465" ht="15.75" customHeight="1">
      <c r="B465" s="27"/>
      <c r="D465" s="27"/>
    </row>
    <row r="466" ht="15.75" customHeight="1">
      <c r="B466" s="27"/>
      <c r="D466" s="27"/>
    </row>
    <row r="467" ht="15.75" customHeight="1">
      <c r="B467" s="27"/>
      <c r="D467" s="27"/>
    </row>
    <row r="468" ht="15.75" customHeight="1">
      <c r="B468" s="27"/>
      <c r="D468" s="27"/>
    </row>
    <row r="469" ht="15.75" customHeight="1">
      <c r="B469" s="27"/>
      <c r="D469" s="27"/>
    </row>
    <row r="470" ht="15.75" customHeight="1">
      <c r="B470" s="27"/>
      <c r="D470" s="27"/>
    </row>
    <row r="471" ht="15.75" customHeight="1">
      <c r="B471" s="27"/>
      <c r="D471" s="27"/>
    </row>
    <row r="472" ht="15.75" customHeight="1">
      <c r="B472" s="27"/>
      <c r="D472" s="27"/>
    </row>
    <row r="473" ht="15.75" customHeight="1">
      <c r="B473" s="27"/>
      <c r="D473" s="27"/>
    </row>
    <row r="474" ht="15.75" customHeight="1">
      <c r="B474" s="27"/>
      <c r="D474" s="27"/>
    </row>
    <row r="475" ht="15.75" customHeight="1">
      <c r="B475" s="27"/>
      <c r="D475" s="27"/>
    </row>
    <row r="476" ht="15.75" customHeight="1">
      <c r="B476" s="27"/>
      <c r="D476" s="27"/>
    </row>
    <row r="477" ht="15.75" customHeight="1">
      <c r="B477" s="27"/>
      <c r="D477" s="27"/>
    </row>
    <row r="478" ht="15.75" customHeight="1">
      <c r="B478" s="27"/>
      <c r="D478" s="27"/>
    </row>
    <row r="479" ht="15.75" customHeight="1">
      <c r="B479" s="27"/>
      <c r="D479" s="27"/>
    </row>
    <row r="480" ht="15.75" customHeight="1">
      <c r="B480" s="27"/>
      <c r="D480" s="27"/>
    </row>
    <row r="481" ht="15.75" customHeight="1">
      <c r="B481" s="27"/>
      <c r="D481" s="27"/>
    </row>
    <row r="482" ht="15.75" customHeight="1">
      <c r="B482" s="27"/>
      <c r="D482" s="27"/>
    </row>
    <row r="483" ht="15.75" customHeight="1">
      <c r="B483" s="27"/>
      <c r="D483" s="27"/>
    </row>
    <row r="484" ht="15.75" customHeight="1">
      <c r="B484" s="27"/>
      <c r="D484" s="27"/>
    </row>
    <row r="485" ht="15.75" customHeight="1">
      <c r="B485" s="27"/>
      <c r="D485" s="27"/>
    </row>
    <row r="486" ht="15.75" customHeight="1">
      <c r="B486" s="27"/>
      <c r="D486" s="27"/>
    </row>
    <row r="487" ht="15.75" customHeight="1">
      <c r="B487" s="27"/>
      <c r="D487" s="27"/>
    </row>
    <row r="488" ht="15.75" customHeight="1">
      <c r="B488" s="27"/>
      <c r="D488" s="27"/>
    </row>
    <row r="489" ht="15.75" customHeight="1">
      <c r="B489" s="27"/>
      <c r="D489" s="27"/>
    </row>
    <row r="490" ht="15.75" customHeight="1">
      <c r="B490" s="27"/>
      <c r="D490" s="27"/>
    </row>
    <row r="491" ht="15.75" customHeight="1">
      <c r="B491" s="27"/>
      <c r="D491" s="27"/>
    </row>
    <row r="492" ht="15.75" customHeight="1">
      <c r="B492" s="27"/>
      <c r="D492" s="27"/>
    </row>
    <row r="493" ht="15.75" customHeight="1">
      <c r="B493" s="27"/>
      <c r="D493" s="27"/>
    </row>
    <row r="494" ht="15.75" customHeight="1">
      <c r="B494" s="27"/>
      <c r="D494" s="27"/>
    </row>
    <row r="495" ht="15.75" customHeight="1">
      <c r="B495" s="27"/>
      <c r="D495" s="27"/>
    </row>
    <row r="496" ht="15.75" customHeight="1">
      <c r="B496" s="27"/>
      <c r="D496" s="27"/>
    </row>
    <row r="497" ht="15.75" customHeight="1">
      <c r="B497" s="27"/>
      <c r="D497" s="27"/>
    </row>
    <row r="498" ht="15.75" customHeight="1">
      <c r="B498" s="27"/>
      <c r="D498" s="27"/>
    </row>
    <row r="499" ht="15.75" customHeight="1">
      <c r="B499" s="27"/>
      <c r="D499" s="27"/>
    </row>
    <row r="500" ht="15.75" customHeight="1">
      <c r="B500" s="27"/>
      <c r="D500" s="27"/>
    </row>
    <row r="501" ht="15.75" customHeight="1">
      <c r="B501" s="27"/>
      <c r="D501" s="27"/>
    </row>
    <row r="502" ht="15.75" customHeight="1">
      <c r="B502" s="27"/>
      <c r="D502" s="27"/>
    </row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dataValidations>
    <dataValidation type="list" allowBlank="1" sqref="B2:B502">
      <formula1>Listas!$B$2:$B$8</formula1>
    </dataValidation>
    <dataValidation type="list" allowBlank="1" sqref="D2:D502">
      <formula1>Listas!$A$2:$A$6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1.75"/>
    <col customWidth="1" min="2" max="2" width="14.88"/>
  </cols>
  <sheetData>
    <row r="1">
      <c r="A1" s="7" t="s">
        <v>157</v>
      </c>
      <c r="B1" s="7" t="s">
        <v>158</v>
      </c>
      <c r="C1" s="7" t="s">
        <v>159</v>
      </c>
      <c r="D1" s="7" t="s">
        <v>160</v>
      </c>
      <c r="E1" s="7" t="s">
        <v>161</v>
      </c>
      <c r="F1" s="7" t="s">
        <v>162</v>
      </c>
      <c r="G1" s="28">
        <v>46215.0</v>
      </c>
    </row>
    <row r="2">
      <c r="A2" s="17" t="str">
        <f>Velas!A2</f>
        <v>Vela Margarita en yeso sin tapa</v>
      </c>
      <c r="B2" s="6">
        <f>Velas!X2</f>
        <v>7645.307692</v>
      </c>
      <c r="C2" s="29">
        <f>Velas!$AB2</f>
        <v>22935.92308</v>
      </c>
      <c r="D2" s="30">
        <f>Velas!AC2</f>
        <v>22000</v>
      </c>
      <c r="E2" s="25">
        <f>Velas!$AE2</f>
        <v>14354.69231</v>
      </c>
      <c r="F2" s="7">
        <v>0.0</v>
      </c>
      <c r="G2" s="7">
        <v>0.0</v>
      </c>
    </row>
    <row r="3">
      <c r="A3" s="17" t="str">
        <f>Velas!A3</f>
        <v>Vela Margarita en yeso con tapa</v>
      </c>
      <c r="B3" s="6">
        <f>Velas!X3</f>
        <v>8645.307692</v>
      </c>
      <c r="C3" s="29">
        <f>Velas!$AB3</f>
        <v>25935.92308</v>
      </c>
      <c r="D3" s="30">
        <f>Velas!AC3</f>
        <v>25000</v>
      </c>
      <c r="E3" s="25">
        <f>Velas!$AE3</f>
        <v>16354.69231</v>
      </c>
      <c r="F3" s="7">
        <v>0.0</v>
      </c>
      <c r="G3" s="7">
        <v>0.0</v>
      </c>
    </row>
    <row r="4">
      <c r="A4" s="17" t="str">
        <f>Velas!A4</f>
        <v>Vela Margarita sola</v>
      </c>
      <c r="B4" s="6">
        <f>Velas!X4</f>
        <v>814.1950163</v>
      </c>
      <c r="C4" s="29">
        <f>Velas!$AB4</f>
        <v>2442.585049</v>
      </c>
      <c r="D4" s="30">
        <f>Velas!AC4</f>
        <v>2500</v>
      </c>
      <c r="E4" s="25">
        <f>Velas!$AE4</f>
        <v>1685.804984</v>
      </c>
      <c r="F4" s="7">
        <v>1.0</v>
      </c>
      <c r="G4" s="7">
        <v>2.0</v>
      </c>
    </row>
    <row r="5">
      <c r="A5" s="17" t="str">
        <f>Velas!A5</f>
        <v>Vela Margarita en papel azucar</v>
      </c>
      <c r="B5" s="6">
        <f>Velas!X5</f>
        <v>1206.166847</v>
      </c>
      <c r="C5" s="29">
        <f>Velas!$AB5</f>
        <v>3618.500542</v>
      </c>
      <c r="D5" s="30">
        <f>Velas!AC5</f>
        <v>3500</v>
      </c>
      <c r="E5" s="25">
        <f>Velas!$AE5</f>
        <v>2293.833153</v>
      </c>
      <c r="F5" s="7">
        <v>0.0</v>
      </c>
      <c r="G5" s="7">
        <v>0.0</v>
      </c>
    </row>
    <row r="6">
      <c r="A6" s="17" t="str">
        <f>Velas!A6</f>
        <v>Vela Margarita en TUL</v>
      </c>
      <c r="B6" s="6">
        <f>Velas!X6</f>
        <v>1481.166847</v>
      </c>
      <c r="C6" s="29">
        <f>Velas!$AB6</f>
        <v>4443.500542</v>
      </c>
      <c r="D6" s="30">
        <f>Velas!AC6</f>
        <v>4000</v>
      </c>
      <c r="E6" s="25">
        <f>Velas!$AE6</f>
        <v>2518.833153</v>
      </c>
      <c r="F6" s="7">
        <v>0.0</v>
      </c>
      <c r="G6" s="7">
        <v>1.0</v>
      </c>
    </row>
    <row r="7">
      <c r="A7" s="17" t="str">
        <f>Velas!A7</f>
        <v>Velon corto con cara de rosas mediano</v>
      </c>
      <c r="B7" s="6">
        <f>Velas!X7</f>
        <v>1608.441495</v>
      </c>
      <c r="C7" s="29">
        <f>Velas!$AB7</f>
        <v>4825.324485</v>
      </c>
      <c r="D7" s="30">
        <f>Velas!AC7</f>
        <v>4500</v>
      </c>
      <c r="E7" s="25">
        <f>Velas!$AE7</f>
        <v>2891.558505</v>
      </c>
      <c r="F7" s="7">
        <v>0.0</v>
      </c>
      <c r="G7" s="7">
        <v>0.0</v>
      </c>
    </row>
    <row r="8">
      <c r="A8" s="17" t="str">
        <f>Velas!A8</f>
        <v>Vela bubble candle sola</v>
      </c>
      <c r="B8" s="6">
        <f>Velas!X8</f>
        <v>4701.307692</v>
      </c>
      <c r="C8" s="29">
        <f>Velas!$AB8</f>
        <v>14103.92308</v>
      </c>
      <c r="D8" s="30">
        <f>Velas!AC8</f>
        <v>14000</v>
      </c>
      <c r="E8" s="25">
        <f>Velas!$AE8</f>
        <v>9298.692308</v>
      </c>
      <c r="F8" s="7">
        <v>0.0</v>
      </c>
      <c r="G8" s="7">
        <v>1.0</v>
      </c>
    </row>
    <row r="9">
      <c r="A9" s="17" t="str">
        <f>Velas!A9</f>
        <v>Vela ramo de tulipanes</v>
      </c>
      <c r="B9" s="6">
        <f>Velas!X9</f>
        <v>3046.652763</v>
      </c>
      <c r="C9" s="29">
        <f>Velas!$AB9</f>
        <v>9139.958288</v>
      </c>
      <c r="D9" s="30">
        <f>Velas!AC9</f>
        <v>12000</v>
      </c>
      <c r="E9" s="25">
        <f>Velas!$AE9</f>
        <v>8953.347237</v>
      </c>
      <c r="F9" s="7">
        <v>0.0</v>
      </c>
      <c r="G9" s="7">
        <v>2.0</v>
      </c>
    </row>
    <row r="10">
      <c r="A10" s="17" t="str">
        <f>Velas!A10</f>
        <v>Vela Oso floreado</v>
      </c>
      <c r="B10" s="6">
        <f>Velas!X10</f>
        <v>2132.624594</v>
      </c>
      <c r="C10" s="29">
        <f>Velas!$AB10</f>
        <v>6397.873781</v>
      </c>
      <c r="D10" s="30">
        <f>Velas!AC10</f>
        <v>10000</v>
      </c>
      <c r="E10" s="25">
        <f>Velas!$AE10</f>
        <v>7867.375406</v>
      </c>
      <c r="F10" s="7">
        <v>1.0</v>
      </c>
      <c r="G10" s="7">
        <v>3.0</v>
      </c>
    </row>
    <row r="11">
      <c r="A11" s="17" t="str">
        <f>Velas!A11</f>
        <v>Vela Oso xs</v>
      </c>
      <c r="B11" s="6">
        <f>Velas!X11</f>
        <v>657.9214518</v>
      </c>
      <c r="C11" s="29">
        <f>Velas!$AB11</f>
        <v>1973.764355</v>
      </c>
      <c r="D11" s="30">
        <f>Velas!AC11</f>
        <v>4000</v>
      </c>
      <c r="E11" s="25">
        <f>Velas!$AE11</f>
        <v>3342.078548</v>
      </c>
      <c r="F11" s="7">
        <v>0.0</v>
      </c>
      <c r="G11" s="7">
        <v>6.0</v>
      </c>
    </row>
    <row r="12">
      <c r="A12" s="17" t="str">
        <f>Velas!A12</f>
        <v>Vela Repollo</v>
      </c>
      <c r="B12" s="6">
        <f>Velas!X12</f>
        <v>722.6749729</v>
      </c>
      <c r="C12" s="29">
        <f>Velas!$AB12</f>
        <v>2168.024919</v>
      </c>
      <c r="D12" s="30">
        <f>Velas!AC12</f>
        <v>2000</v>
      </c>
      <c r="E12" s="25">
        <f>Velas!$AE12</f>
        <v>1277.325027</v>
      </c>
      <c r="F12" s="7">
        <v>0.0</v>
      </c>
      <c r="G12" s="7">
        <v>0.0</v>
      </c>
    </row>
    <row r="13">
      <c r="A13" s="17" t="str">
        <f>Velas!A13</f>
        <v>Vela cactus mediana</v>
      </c>
      <c r="B13" s="6">
        <f>Velas!X13</f>
        <v>1336.1961</v>
      </c>
      <c r="C13" s="29">
        <f>Velas!$AB13</f>
        <v>4008.588299</v>
      </c>
      <c r="D13" s="30">
        <f>Velas!AC13</f>
        <v>4000</v>
      </c>
      <c r="E13" s="25">
        <f>Velas!$AE13</f>
        <v>2663.8039</v>
      </c>
      <c r="F13" s="7">
        <v>0.0</v>
      </c>
      <c r="G13" s="7">
        <v>1.0</v>
      </c>
    </row>
    <row r="14">
      <c r="A14" s="17" t="str">
        <f>Velas!A14</f>
        <v>Vela Peonia XS</v>
      </c>
      <c r="B14" s="6">
        <f>Velas!X14</f>
        <v>554.7524377</v>
      </c>
      <c r="C14" s="29">
        <f>Velas!$AB14</f>
        <v>1664.257313</v>
      </c>
      <c r="D14" s="30">
        <f>Velas!AC14</f>
        <v>2000</v>
      </c>
      <c r="E14" s="25">
        <f>Velas!$AE14</f>
        <v>1445.247562</v>
      </c>
      <c r="F14" s="7">
        <v>0.0</v>
      </c>
      <c r="G14" s="7">
        <v>0.0</v>
      </c>
    </row>
    <row r="15">
      <c r="A15" s="17" t="str">
        <f>Velas!A15</f>
        <v>Vela Peonia S</v>
      </c>
      <c r="B15" s="6">
        <f>Velas!X15</f>
        <v>1138.258397</v>
      </c>
      <c r="C15" s="29">
        <f>Velas!$AB15</f>
        <v>3414.77519</v>
      </c>
      <c r="D15" s="30">
        <f>Velas!AC15</f>
        <v>3500</v>
      </c>
      <c r="E15" s="25">
        <f>Velas!$AE15</f>
        <v>2361.741603</v>
      </c>
      <c r="F15" s="7">
        <v>0.0</v>
      </c>
      <c r="G15" s="7">
        <v>1.0</v>
      </c>
    </row>
    <row r="16">
      <c r="A16" s="17" t="str">
        <f>Velas!A16</f>
        <v>Vela Peonia M</v>
      </c>
      <c r="B16" s="6">
        <f>Velas!X16</f>
        <v>2826.483749</v>
      </c>
      <c r="C16" s="29">
        <f>Velas!$AB16</f>
        <v>8479.451246</v>
      </c>
      <c r="D16" s="30">
        <f>Velas!AC16</f>
        <v>8000</v>
      </c>
      <c r="E16" s="25">
        <f>Velas!$AE16</f>
        <v>5173.516251</v>
      </c>
      <c r="F16" s="7">
        <v>0.0</v>
      </c>
      <c r="G16" s="7">
        <v>4.0</v>
      </c>
    </row>
    <row r="17">
      <c r="A17" s="17" t="str">
        <f>Velas!A17</f>
        <v>Vela Leon</v>
      </c>
      <c r="B17" s="6">
        <f>Velas!X17</f>
        <v>988.3358613</v>
      </c>
      <c r="C17" s="29">
        <f>Velas!$AB17</f>
        <v>2965.007584</v>
      </c>
      <c r="D17" s="30">
        <f>Velas!AC17</f>
        <v>3000</v>
      </c>
      <c r="E17" s="25">
        <f>Velas!$AE17</f>
        <v>2011.664139</v>
      </c>
      <c r="F17" s="7">
        <v>0.0</v>
      </c>
      <c r="G17" s="7">
        <v>1.0</v>
      </c>
    </row>
    <row r="18">
      <c r="A18" s="17" t="str">
        <f>Velas!A18</f>
        <v>Vela Frutilla</v>
      </c>
      <c r="B18" s="6">
        <f>Velas!X18</f>
        <v>3494.167931</v>
      </c>
      <c r="C18" s="29">
        <f>Velas!$AB18</f>
        <v>10482.50379</v>
      </c>
      <c r="D18" s="30">
        <f>Velas!AC18</f>
        <v>6000</v>
      </c>
      <c r="E18" s="25">
        <f>Velas!$AE18</f>
        <v>2505.832069</v>
      </c>
      <c r="F18" s="7">
        <v>0.0</v>
      </c>
      <c r="G18" s="7">
        <v>1.0</v>
      </c>
    </row>
    <row r="19">
      <c r="A19" s="17" t="str">
        <f>Velas!A19</f>
        <v>Vela Cebolla</v>
      </c>
      <c r="B19" s="6">
        <f>Velas!X19</f>
        <v>3966.603467</v>
      </c>
      <c r="C19" s="29">
        <f>Velas!$AB19</f>
        <v>11899.8104</v>
      </c>
      <c r="D19" s="30">
        <f>Velas!AC19</f>
        <v>12000</v>
      </c>
      <c r="E19" s="25">
        <f>Velas!$AE19</f>
        <v>8033.396533</v>
      </c>
      <c r="F19" s="7">
        <v>0.0</v>
      </c>
      <c r="G19" s="7">
        <v>1.0</v>
      </c>
    </row>
    <row r="20">
      <c r="A20" s="17" t="str">
        <f>Velas!A20</f>
        <v>Vela Manzana geométrica</v>
      </c>
      <c r="B20" s="6">
        <f>Velas!X20</f>
        <v>2966.23727</v>
      </c>
      <c r="C20" s="29">
        <f>Velas!$AB20</f>
        <v>8898.711809</v>
      </c>
      <c r="D20" s="30">
        <f>Velas!AC20</f>
        <v>9000</v>
      </c>
      <c r="E20" s="25">
        <f>Velas!$AE20</f>
        <v>6033.76273</v>
      </c>
      <c r="F20" s="7">
        <v>0.0</v>
      </c>
      <c r="G20" s="7">
        <v>1.0</v>
      </c>
    </row>
    <row r="21">
      <c r="A21" s="17" t="str">
        <f>Velas!A21</f>
        <v/>
      </c>
      <c r="B21" s="6" t="str">
        <f>Velas!X21</f>
        <v/>
      </c>
      <c r="C21" s="29" t="str">
        <f>Velas!$AB21</f>
        <v/>
      </c>
      <c r="D21" s="30" t="str">
        <f>Velas!AC21</f>
        <v/>
      </c>
      <c r="E21" s="25" t="str">
        <f>Velas!$AE21</f>
        <v/>
      </c>
      <c r="F21" s="7">
        <v>0.0</v>
      </c>
      <c r="G21" s="7">
        <v>0.0</v>
      </c>
    </row>
    <row r="22">
      <c r="A22" s="17" t="str">
        <f>Velas!A22</f>
        <v>Vela rosa S</v>
      </c>
      <c r="B22" s="6">
        <f>Velas!X22</f>
        <v>756.25948</v>
      </c>
      <c r="C22" s="29">
        <f>Velas!$AB22</f>
        <v>2268.77844</v>
      </c>
      <c r="D22" s="30">
        <f>Velas!AC22</f>
        <v>2500</v>
      </c>
      <c r="E22" s="25">
        <f>Velas!$AE22</f>
        <v>1743.74052</v>
      </c>
      <c r="F22" s="7">
        <v>0.0</v>
      </c>
      <c r="G22" s="7">
        <v>0.0</v>
      </c>
    </row>
    <row r="23">
      <c r="A23" s="17" t="str">
        <f>Velas!A23</f>
        <v>Vela rosa M</v>
      </c>
      <c r="B23" s="6">
        <f>Velas!X23</f>
        <v>1895.117551</v>
      </c>
      <c r="C23" s="29">
        <f>Velas!$AB23</f>
        <v>5685.352654</v>
      </c>
      <c r="D23" s="30">
        <f>Velas!AC23</f>
        <v>5500</v>
      </c>
      <c r="E23" s="25">
        <f>Velas!$AE23</f>
        <v>3604.882449</v>
      </c>
      <c r="F23" s="7">
        <v>0.0</v>
      </c>
      <c r="G23" s="7">
        <v>1.0</v>
      </c>
    </row>
    <row r="24">
      <c r="A24" s="17" t="str">
        <f>Velas!A24</f>
        <v>Vela rosa L</v>
      </c>
      <c r="B24" s="6">
        <f>Velas!X24</f>
        <v>3201.328819</v>
      </c>
      <c r="C24" s="29">
        <f>Velas!$AB24</f>
        <v>9603.986457</v>
      </c>
      <c r="D24" s="30">
        <f>Velas!AC24</f>
        <v>9500</v>
      </c>
      <c r="E24" s="25">
        <f>Velas!$AE24</f>
        <v>6298.671181</v>
      </c>
      <c r="F24" s="7">
        <v>0.0</v>
      </c>
      <c r="G24" s="7">
        <v>1.0</v>
      </c>
    </row>
    <row r="25">
      <c r="A25" s="17" t="str">
        <f>Velas!A25</f>
        <v>Vela la Virgen Maria con bebé</v>
      </c>
      <c r="B25" s="6">
        <f>Velas!X25</f>
        <v>1089.089382</v>
      </c>
      <c r="C25" s="29">
        <f>Velas!$AB25</f>
        <v>3267.268147</v>
      </c>
      <c r="D25" s="30">
        <f>Velas!AC25</f>
        <v>3000</v>
      </c>
      <c r="E25" s="25">
        <f>Velas!$AE25</f>
        <v>1910.910618</v>
      </c>
      <c r="F25" s="7">
        <v>0.0</v>
      </c>
      <c r="G25" s="7">
        <v>0.0</v>
      </c>
    </row>
    <row r="26">
      <c r="A26" s="17" t="str">
        <f>Velas!A26</f>
        <v>Vela Mano Turca</v>
      </c>
      <c r="B26" s="6">
        <f>Velas!X26</f>
        <v>2623.223185</v>
      </c>
      <c r="C26" s="29">
        <f>Velas!$AB26</f>
        <v>7869.669556</v>
      </c>
      <c r="D26" s="30">
        <f>Velas!AC26</f>
        <v>8000</v>
      </c>
      <c r="E26" s="25">
        <f>Velas!$AE26</f>
        <v>5376.776815</v>
      </c>
      <c r="F26" s="7">
        <v>0.0</v>
      </c>
      <c r="G26" s="7">
        <v>0.0</v>
      </c>
    </row>
    <row r="27">
      <c r="A27" s="17" t="str">
        <f>Velas!A27</f>
        <v>Vela Zuculenta Punta M</v>
      </c>
      <c r="B27" s="6">
        <f>Velas!X27</f>
        <v>405.9837486</v>
      </c>
      <c r="C27" s="29">
        <f>Velas!$AB27</f>
        <v>1217.951246</v>
      </c>
      <c r="D27" s="30">
        <f>Velas!AC27</f>
        <v>1200</v>
      </c>
      <c r="E27" s="25">
        <f>Velas!$AE27</f>
        <v>794.0162514</v>
      </c>
      <c r="F27" s="7">
        <v>0.0</v>
      </c>
      <c r="G27" s="7">
        <v>0.0</v>
      </c>
    </row>
    <row r="28">
      <c r="A28" s="17" t="str">
        <f>Velas!A28</f>
        <v>Vela Zuculenta Punta S</v>
      </c>
      <c r="B28" s="6">
        <f>Velas!X28</f>
        <v>229.0612134</v>
      </c>
      <c r="C28" s="29">
        <f>Velas!$AB28</f>
        <v>687.1836403</v>
      </c>
      <c r="D28" s="30">
        <f>Velas!AC28</f>
        <v>500</v>
      </c>
      <c r="E28" s="25">
        <f>Velas!$AE28</f>
        <v>270.9387866</v>
      </c>
      <c r="F28" s="7">
        <v>0.0</v>
      </c>
      <c r="G28" s="7">
        <v>0.0</v>
      </c>
    </row>
    <row r="29">
      <c r="A29" s="17" t="str">
        <f>Velas!A29</f>
        <v>Vela zuculenta redonda S</v>
      </c>
      <c r="B29" s="6">
        <f>Velas!X29</f>
        <v>311.2453954</v>
      </c>
      <c r="C29" s="29">
        <f>Velas!$AB29</f>
        <v>933.7361863</v>
      </c>
      <c r="D29" s="30">
        <f>Velas!AC29</f>
        <v>900</v>
      </c>
      <c r="E29" s="25">
        <f>Velas!$AE29</f>
        <v>588.7546046</v>
      </c>
      <c r="F29" s="7">
        <v>0.0</v>
      </c>
      <c r="G29" s="7">
        <v>0.0</v>
      </c>
    </row>
    <row r="30">
      <c r="A30" s="17" t="str">
        <f>Velas!A30</f>
        <v>Vela zuculenta redonda M</v>
      </c>
      <c r="B30" s="6">
        <f>Velas!X30</f>
        <v>671.0904659</v>
      </c>
      <c r="C30" s="29">
        <f>Velas!$AB30</f>
        <v>2013.271398</v>
      </c>
      <c r="D30" s="30">
        <f>Velas!AC30</f>
        <v>2000</v>
      </c>
      <c r="E30" s="25">
        <f>Velas!$AE30</f>
        <v>1328.909534</v>
      </c>
      <c r="F30" s="7">
        <v>0.0</v>
      </c>
      <c r="G30" s="7">
        <v>0.0</v>
      </c>
    </row>
    <row r="31">
      <c r="A31" s="17" t="str">
        <f>Velas!A31</f>
        <v>Vela Zuculenta Pasto</v>
      </c>
      <c r="B31" s="6">
        <f>Velas!X31</f>
        <v>244.0763814</v>
      </c>
      <c r="C31" s="29">
        <f>Velas!$AB31</f>
        <v>732.2291441</v>
      </c>
      <c r="D31" s="30">
        <f>Velas!AC31</f>
        <v>500</v>
      </c>
      <c r="E31" s="25">
        <f>Velas!$AE31</f>
        <v>255.9236186</v>
      </c>
      <c r="F31" s="7">
        <v>0.0</v>
      </c>
      <c r="G31" s="7">
        <v>0.0</v>
      </c>
    </row>
    <row r="32">
      <c r="A32" s="17" t="str">
        <f>Velas!A32</f>
        <v>Vela Zuculenta rollo</v>
      </c>
      <c r="B32" s="6">
        <f>Velas!X32</f>
        <v>268.0763814</v>
      </c>
      <c r="C32" s="29">
        <f>Velas!$AB32</f>
        <v>804.2291441</v>
      </c>
      <c r="D32" s="30">
        <f>Velas!AC32</f>
        <v>500</v>
      </c>
      <c r="E32" s="25">
        <f>Velas!$AE32</f>
        <v>231.9236186</v>
      </c>
      <c r="F32" s="7">
        <v>0.0</v>
      </c>
      <c r="G32" s="7">
        <v>0.0</v>
      </c>
    </row>
    <row r="33">
      <c r="A33" s="17" t="str">
        <f>Velas!A33</f>
        <v>Vela carro</v>
      </c>
      <c r="B33" s="6">
        <f>Velas!X33</f>
        <v>1670.026002</v>
      </c>
      <c r="C33" s="29">
        <f>Velas!$AB33</f>
        <v>5010.078007</v>
      </c>
      <c r="D33" s="30">
        <f>Velas!AC33</f>
        <v>5000</v>
      </c>
      <c r="E33" s="25">
        <f>Velas!$AE33</f>
        <v>3329.973998</v>
      </c>
      <c r="F33" s="7">
        <v>0.0</v>
      </c>
      <c r="G33" s="7">
        <v>0.0</v>
      </c>
    </row>
    <row r="34">
      <c r="A34" s="17" t="str">
        <f>Velas!A34</f>
        <v>Vela elefante </v>
      </c>
      <c r="B34" s="6">
        <f>Velas!X34</f>
        <v>2799.483749</v>
      </c>
      <c r="C34" s="29">
        <f>Velas!$AB34</f>
        <v>8398.451246</v>
      </c>
      <c r="D34" s="30">
        <f>Velas!AC34</f>
        <v>8500</v>
      </c>
      <c r="E34" s="25">
        <f>Velas!$AE34</f>
        <v>5700.516251</v>
      </c>
      <c r="F34" s="7">
        <v>0.0</v>
      </c>
      <c r="G34" s="7">
        <v>0.0</v>
      </c>
    </row>
    <row r="35">
      <c r="A35" s="17" t="str">
        <f>Velas!A35</f>
        <v>Buquet Pequeño</v>
      </c>
      <c r="B35" s="6">
        <f>Velas!X35</f>
        <v>7036.865655</v>
      </c>
      <c r="C35" s="29">
        <f>Velas!$AB35</f>
        <v>21110.59697</v>
      </c>
      <c r="D35" s="30">
        <f>Velas!AC35</f>
        <v>23000</v>
      </c>
      <c r="E35" s="25">
        <f>Velas!$AE35</f>
        <v>15963.13434</v>
      </c>
      <c r="F35" s="7">
        <v>1.0</v>
      </c>
      <c r="G35" s="7">
        <v>0.0</v>
      </c>
    </row>
    <row r="36">
      <c r="A36" s="17" t="str">
        <f>Velas!A36</f>
        <v>Vela de postre</v>
      </c>
      <c r="B36" s="6">
        <f>Velas!X36</f>
        <v>8372.303359</v>
      </c>
      <c r="C36" s="29">
        <f>Velas!$AB36</f>
        <v>30116.91008</v>
      </c>
      <c r="D36" s="30">
        <f>Velas!AC36</f>
        <v>30000</v>
      </c>
      <c r="E36" s="25">
        <f>Velas!$AE36</f>
        <v>21627.69664</v>
      </c>
      <c r="F36" s="7">
        <v>0.0</v>
      </c>
      <c r="G36" s="7">
        <v>3.0</v>
      </c>
    </row>
    <row r="37">
      <c r="A37" s="17" t="str">
        <f>Velas!A37</f>
        <v>Vela tarrito de vidrio pequeño corcho</v>
      </c>
      <c r="B37" s="6">
        <f>Velas!X37</f>
        <v>6304</v>
      </c>
      <c r="C37" s="29">
        <f>Velas!$AB37</f>
        <v>18912</v>
      </c>
      <c r="D37" s="30">
        <f>Velas!AC37</f>
        <v>20000</v>
      </c>
      <c r="E37" s="25">
        <f>Velas!$AE37</f>
        <v>13696</v>
      </c>
      <c r="F37" s="7">
        <v>0.0</v>
      </c>
      <c r="G37" s="7">
        <v>0.0</v>
      </c>
    </row>
    <row r="38">
      <c r="A38" s="17" t="str">
        <f>Velas!A38</f>
        <v>Vela larga</v>
      </c>
      <c r="B38" s="6">
        <f>Velas!X38</f>
        <v>957.8076923</v>
      </c>
      <c r="C38" s="29">
        <f>Velas!$AB38</f>
        <v>2873.423077</v>
      </c>
      <c r="D38" s="30">
        <f>Velas!AC38</f>
        <v>2500</v>
      </c>
      <c r="E38" s="25">
        <f>Velas!$AE38</f>
        <v>1542.192308</v>
      </c>
      <c r="F38" s="7">
        <v>0.0</v>
      </c>
      <c r="G38" s="7">
        <v>0.0</v>
      </c>
    </row>
    <row r="39">
      <c r="A39" s="17" t="str">
        <f>Velas!A39</f>
        <v>Kit 4 Rosas M con empaque</v>
      </c>
      <c r="B39" s="6">
        <f>Velas!X39</f>
        <v>8080.470206</v>
      </c>
      <c r="C39" s="29">
        <f>Velas!$AB39</f>
        <v>29241.41062</v>
      </c>
      <c r="D39" s="30">
        <f>Velas!AC39</f>
        <v>30000</v>
      </c>
      <c r="E39" s="25">
        <f>Velas!$AE39</f>
        <v>21919.52979</v>
      </c>
      <c r="F39" s="7">
        <v>0.0</v>
      </c>
      <c r="G39" s="7">
        <v>0.0</v>
      </c>
    </row>
    <row r="40">
      <c r="A40" s="17" t="str">
        <f>Velas!A40</f>
        <v>Wax smell 30G</v>
      </c>
      <c r="B40" s="6">
        <f>Velas!X40</f>
        <v>1151.307692</v>
      </c>
      <c r="C40" s="29">
        <f>Velas!$AB40</f>
        <v>3453.923077</v>
      </c>
      <c r="D40" s="30">
        <f>Velas!AC40</f>
        <v>3000</v>
      </c>
      <c r="E40" s="25">
        <f>Velas!$AE40</f>
        <v>1848.692308</v>
      </c>
      <c r="F40" s="7">
        <v>0.0</v>
      </c>
      <c r="G40" s="7">
        <v>0.0</v>
      </c>
    </row>
    <row r="41">
      <c r="A41" s="17" t="str">
        <f>Velas!A41</f>
        <v>Wax smell 20G</v>
      </c>
      <c r="B41" s="6">
        <f>Velas!X41</f>
        <v>878.3076923</v>
      </c>
      <c r="C41" s="29">
        <f>Velas!$AB41</f>
        <v>2634.923077</v>
      </c>
      <c r="D41" s="30">
        <f>Velas!AC41</f>
        <v>2000</v>
      </c>
      <c r="E41" s="25">
        <f>Velas!$AE41</f>
        <v>1121.692308</v>
      </c>
      <c r="F41" s="7">
        <v>0.0</v>
      </c>
      <c r="G41" s="7">
        <v>1.0</v>
      </c>
    </row>
    <row r="42">
      <c r="A42" s="17" t="str">
        <f>Velas!A42</f>
        <v>Vela pebetero</v>
      </c>
      <c r="B42" s="6">
        <f>Velas!X42</f>
        <v>911.3076923</v>
      </c>
      <c r="C42" s="29">
        <f>Velas!$AB42</f>
        <v>0</v>
      </c>
      <c r="D42" s="30">
        <f>Velas!AC42</f>
        <v>30000</v>
      </c>
      <c r="E42" s="25">
        <f>Velas!$AE42</f>
        <v>29088.69231</v>
      </c>
      <c r="F42" s="7">
        <v>0.0</v>
      </c>
      <c r="G42" s="7">
        <v>0.0</v>
      </c>
    </row>
    <row r="43">
      <c r="A43" s="17" t="str">
        <f>Velas!A43</f>
        <v>Vela bautizo</v>
      </c>
      <c r="B43" s="6">
        <f>Velas!X43</f>
        <v>1602.856988</v>
      </c>
      <c r="C43" s="29">
        <f>Velas!$AB43</f>
        <v>4808.570964</v>
      </c>
      <c r="D43" s="30">
        <f>Velas!AC43</f>
        <v>5000</v>
      </c>
      <c r="E43" s="25">
        <f>Velas!$AE43</f>
        <v>3397.143012</v>
      </c>
      <c r="F43" s="7">
        <v>0.0</v>
      </c>
      <c r="G43" s="7">
        <v>0.0</v>
      </c>
    </row>
    <row r="44">
      <c r="A44" s="17" t="str">
        <f>Velas!A44</f>
        <v>Vela Virgen</v>
      </c>
      <c r="B44" s="6">
        <f>Velas!X44</f>
        <v>1065.504875</v>
      </c>
      <c r="C44" s="29">
        <f>Velas!$AB44</f>
        <v>3196.514626</v>
      </c>
      <c r="D44" s="30">
        <f>Velas!AC44</f>
        <v>3000</v>
      </c>
      <c r="E44" s="25">
        <f>Velas!$AE44</f>
        <v>1934.495125</v>
      </c>
      <c r="F44" s="7">
        <v>0.0</v>
      </c>
      <c r="G44" s="7">
        <v>0.0</v>
      </c>
    </row>
    <row r="45">
      <c r="A45" s="17" t="str">
        <f>Velas!A45</f>
        <v>Vela Perro</v>
      </c>
      <c r="B45" s="6">
        <f>Velas!X45</f>
        <v>931.1668472</v>
      </c>
      <c r="C45" s="29">
        <f>Velas!$AB45</f>
        <v>2793.500542</v>
      </c>
      <c r="D45" s="30">
        <f>Velas!AC45</f>
        <v>3000</v>
      </c>
      <c r="E45" s="25">
        <f>Velas!$AE45</f>
        <v>2068.833153</v>
      </c>
      <c r="F45" s="7">
        <v>0.0</v>
      </c>
      <c r="G45" s="7">
        <v>0.0</v>
      </c>
    </row>
    <row r="46">
      <c r="A46" s="17" t="str">
        <f>Velas!A46</f>
        <v/>
      </c>
    </row>
    <row r="47">
      <c r="A47" s="17" t="str">
        <f>Velas!A47</f>
        <v/>
      </c>
    </row>
    <row r="48">
      <c r="A48" s="17" t="str">
        <f>Velas!A48</f>
        <v/>
      </c>
    </row>
    <row r="49">
      <c r="A49" s="17" t="str">
        <f>Velas!A49</f>
        <v/>
      </c>
    </row>
    <row r="50">
      <c r="A50" s="17" t="str">
        <f>Velas!A50</f>
        <v/>
      </c>
    </row>
    <row r="51">
      <c r="A51" s="17" t="str">
        <f>Velas!A51</f>
        <v/>
      </c>
    </row>
    <row r="52">
      <c r="A52" s="17" t="str">
        <f>Velas!A52</f>
        <v/>
      </c>
    </row>
    <row r="53">
      <c r="A53" s="17" t="str">
        <f>Velas!A53</f>
        <v/>
      </c>
    </row>
    <row r="54">
      <c r="A54" s="17" t="str">
        <f>Velas!A54</f>
        <v/>
      </c>
    </row>
    <row r="55">
      <c r="A55" s="17" t="str">
        <f>Velas!A55</f>
        <v/>
      </c>
    </row>
    <row r="56">
      <c r="A56" s="17" t="str">
        <f>Velas!A56</f>
        <v/>
      </c>
    </row>
    <row r="57">
      <c r="A57" s="17" t="str">
        <f>Velas!A57</f>
        <v/>
      </c>
    </row>
    <row r="58">
      <c r="A58" s="17" t="str">
        <f>Velas!A58</f>
        <v/>
      </c>
    </row>
    <row r="59">
      <c r="A59" s="17" t="str">
        <f>Velas!A59</f>
        <v/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30.38"/>
    <col customWidth="1" min="2" max="2" width="18.63"/>
    <col customWidth="1" min="3" max="5" width="12.0"/>
    <col customWidth="1" min="6" max="17" width="16.0"/>
    <col customWidth="1" min="18" max="23" width="22.0"/>
    <col customWidth="1" min="24" max="24" width="20.0"/>
    <col customWidth="1" min="25" max="25" width="22.38"/>
    <col customWidth="1" min="26" max="31" width="18.0"/>
    <col customWidth="1" min="32" max="32" width="20.25"/>
  </cols>
  <sheetData>
    <row r="1" ht="42.0" customHeight="1">
      <c r="A1" s="13" t="s">
        <v>163</v>
      </c>
      <c r="B1" s="13" t="s">
        <v>164</v>
      </c>
      <c r="C1" s="13" t="s">
        <v>165</v>
      </c>
      <c r="D1" s="13" t="s">
        <v>166</v>
      </c>
      <c r="E1" s="13" t="s">
        <v>167</v>
      </c>
      <c r="F1" s="13" t="s">
        <v>168</v>
      </c>
      <c r="G1" s="13" t="s">
        <v>169</v>
      </c>
      <c r="H1" s="31" t="s">
        <v>170</v>
      </c>
      <c r="I1" s="13" t="s">
        <v>171</v>
      </c>
      <c r="J1" s="13" t="s">
        <v>172</v>
      </c>
      <c r="K1" s="13" t="s">
        <v>173</v>
      </c>
      <c r="L1" s="13" t="s">
        <v>174</v>
      </c>
      <c r="M1" s="13" t="s">
        <v>175</v>
      </c>
      <c r="N1" s="13" t="s">
        <v>176</v>
      </c>
      <c r="O1" s="13" t="s">
        <v>177</v>
      </c>
      <c r="P1" s="13" t="s">
        <v>178</v>
      </c>
      <c r="Q1" s="13" t="s">
        <v>179</v>
      </c>
      <c r="R1" s="13" t="s">
        <v>89</v>
      </c>
      <c r="S1" s="13" t="s">
        <v>180</v>
      </c>
      <c r="T1" s="13" t="s">
        <v>94</v>
      </c>
      <c r="U1" s="13" t="s">
        <v>181</v>
      </c>
      <c r="V1" s="13" t="s">
        <v>182</v>
      </c>
      <c r="W1" s="13" t="s">
        <v>183</v>
      </c>
      <c r="X1" s="32" t="s">
        <v>184</v>
      </c>
      <c r="Y1" s="33" t="s">
        <v>185</v>
      </c>
      <c r="Z1" s="34" t="s">
        <v>186</v>
      </c>
      <c r="AA1" s="35" t="s">
        <v>187</v>
      </c>
      <c r="AB1" s="36" t="s">
        <v>188</v>
      </c>
      <c r="AC1" s="35" t="s">
        <v>189</v>
      </c>
      <c r="AD1" s="35" t="s">
        <v>190</v>
      </c>
      <c r="AE1" s="31" t="s">
        <v>161</v>
      </c>
      <c r="AF1" s="37" t="s">
        <v>191</v>
      </c>
    </row>
    <row r="2" ht="15.75" customHeight="1">
      <c r="A2" s="17" t="s">
        <v>192</v>
      </c>
      <c r="B2" s="3" t="s">
        <v>16</v>
      </c>
      <c r="C2" s="38">
        <v>1.0</v>
      </c>
      <c r="D2" s="3"/>
      <c r="E2" s="38"/>
      <c r="F2" s="18">
        <v>74.0</v>
      </c>
      <c r="G2" s="5">
        <f t="array" ref="G2">IF($A2="","",IFERROR($F2*(N($C2)*XLOOKUP($B2,Ceras!$A$2:$A$500,Ceras!$G$2:$G$500,0)+IF($D2="",0,N($E2)*XLOOKUP($D2,Ceras!$A$2:$A$500,Ceras!$G$2:$G$500,0))),"Revisar cera"))</f>
        <v>1332</v>
      </c>
      <c r="H2" s="5">
        <f t="shared" ref="H2:H20" si="1">F2*1.5</f>
        <v>111</v>
      </c>
      <c r="I2" s="17" t="s">
        <v>34</v>
      </c>
      <c r="J2" s="18">
        <v>3.0</v>
      </c>
      <c r="K2" s="5">
        <f t="array" ref="K2">IF($A2="","",IFERROR($J2*XLOOKUP($I2,Pabilos!$A$2:$A$500,Pabilos!$H$2:$H$500,0),"Revisar pabilo"))</f>
        <v>60</v>
      </c>
      <c r="L2" s="3" t="s">
        <v>38</v>
      </c>
      <c r="M2" s="18">
        <f t="shared" ref="M2:M3" si="2">F2/10</f>
        <v>7.4</v>
      </c>
      <c r="N2" s="5">
        <f t="array" ref="N2">IF($A2="","",IFERROR($M2*XLOOKUP($L2,Esencias!$A$2:$A$501,Esencias!$G$2:$G$501,0),"Revisar esencia"))</f>
        <v>1850</v>
      </c>
      <c r="O2" s="3" t="s">
        <v>78</v>
      </c>
      <c r="P2" s="18">
        <v>1.0</v>
      </c>
      <c r="Q2" s="5">
        <f t="array" ref="Q2">IF($A2="","",IFERROR(IF($P2="",1,$P2)*XLOOKUP($O2,Colores!$A$2:$A$500,Colores!$H$2:$H$500,0),"Revisar color"))</f>
        <v>92.30769231</v>
      </c>
      <c r="R2" s="3"/>
      <c r="S2" s="5">
        <f t="array" ref="S2">IF($A2="","",IF($R2="",0,IFERROR(VLOOKUP(LEFT(TRIM(MID(SUBSTITUTE($R2,";",REPT(" ",99)),1,99)),FIND(":",TRIM(MID(SUBSTITUTE($R2,";",REPT(" ",99)),1,99)))-1),Materiales!$A$2:$E$502,5,FALSE)*VALUE(MID(TRIM(MID(SUBSTITUTE($R2,";",REPT(" ",99)),1,99)),FIND(":",TRIM(MID(SUBSTITUTE($R2,";",REPT(" ",99)),1,99)))+1,99)),0) + IFERROR(VLOOKUP(LEFT(TRIM(MID(SUBSTITUTE($R2,";",REPT(" ",99)),100,99)),FIND(":",TRIM(MID(SUBSTITUTE($R2,";",REPT(" ",99)),100,99)))-1),Materiales!$A$2:$E$502,5,FALSE)*VALUE(MID(TRIM(MID(SUBSTITUTE($R2,";",REPT(" ",99)),100,99)),FIND(":",TRIM(MID(SUBSTITUTE($R2,";",REPT(" ",99)),100,99)))+1,99)),0) + IFERROR(VLOOKUP(LEFT(TRIM(MID(SUBSTITUTE($R2,";",REPT(" ",99)),199,99)),FIND(":",TRIM(MID(SUBSTITUTE($R2,";",REPT(" ",99)),199,99)))-1),Materiales!$A$2:$E$502,5,FALSE)*VALUE(MID(TRIM(MID(SUBSTITUTE($R2,";",REPT(" ",99)),199,99)),FIND(":",TRIM(MID(SUBSTITUTE($R2,";",REPT(" ",99)),199,99)))+1,99)),0) + IFERROR(VLOOKUP(LEFT(TRIM(MID(SUBSTITUTE($R2,";",REPT(" ",99)),298,99)),FIND(":",TRIM(MID(SUBSTITUTE($R2,";",REPT(" ",99)),298,99)))-1),Materiales!$A$2:$E$502,5,FALSE)*VALUE(MID(TRIM(MID(SUBSTITUTE($R2,";",REPT(" ",99)),298,99)),FIND(":",TRIM(MID(SUBSTITUTE($R2,";",REPT(" ",99)),298,99)))+1,99)),0) + IFERROR(VLOOKUP(LEFT(TRIM(MID(SUBSTITUTE($R2,";",REPT(" ",99)),397,99)),FIND(":",TRIM(MID(SUBSTITUTE($R2,";",REPT(" ",99)),397,99)))-1),Materiales!$A$2:$E$502,5,FALSE)*VALUE(MID(TRIM(MID(SUBSTITUTE($R2,";",REPT(" ",99)),397,99)),FIND(":",TRIM(MID(SUBSTITUTE($R2,";",REPT(" ",99)),397,99)))+1,99)),0) + IFERROR(VLOOKUP(LEFT(TRIM(MID(SUBSTITUTE($R2,";",REPT(" ",99)),496,99)),FIND(":",TRIM(MID(SUBSTITUTE($R2,";",REPT(" ",99)),496,99)))-1),Materiales!$A$2:$E$502,5,FALSE)*VALUE(MID(TRIM(MID(SUBSTITUTE($R2,";",REPT(" ",99)),496,99)),FIND(":",TRIM(MID(SUBSTITUTE($R2,";",REPT(" ",99)),496,99)))+1,99)),0) + IFERROR(VLOOKUP(LEFT(TRIM(MID(SUBSTITUTE($R2,";",REPT(" ",99)),595,99)),FIND(":",TRIM(MID(SUBSTITUTE($R2,";",REPT(" ",99)),595,99)))-1),Materiales!$A$2:$E$502,5,FALSE)*VALUE(MID(TRIM(MID(SUBSTITUTE($R2,";",REPT(" ",99)),595,99)),FIND(":",TRIM(MID(SUBSTITUTE($R2,";",REPT(" ",99)),595,99)))+1,99)),0) + IFERROR(VLOOKUP(LEFT(TRIM(MID(SUBSTITUTE($R2,";",REPT(" ",99)),694,99)),FIND(":",TRIM(MID(SUBSTITUTE($R2,";",REPT(" ",99)),694,99)))-1),Materiales!$A$2:$E$502,5,FALSE)*VALUE(MID(TRIM(MID(SUBSTITUTE($R2,";",REPT(" ",99)),694,99)),FIND(":",TRIM(MID(SUBSTITUTE($R2,";",REPT(" ",99)),694,99)))+1,99)),0) + IFERROR(VLOOKUP(LEFT(TRIM(MID(SUBSTITUTE($R2,";",REPT(" ",99)),793,99)),FIND(":",TRIM(MID(SUBSTITUTE($R2,";",REPT(" ",99)),793,99)))-1),Materiales!$A$2:$E$502,5,FALSE)*VALUE(MID(TRIM(MID(SUBSTITUTE($R2,";",REPT(" ",99)),793,99)),FIND(":",TRIM(MID(SUBSTITUTE($R2,";",REPT(" ",99)),793,99)))+1,99)),0) + IFERROR(VLOOKUP(LEFT(TRIM(MID(SUBSTITUTE($R2,";",REPT(" ",99)),892,99)),FIND(":",TRIM(MID(SUBSTITUTE($R2,";",REPT(" ",99)),892,99)))-1),Materiales!$A$2:$E$502,5,FALSE)*VALUE(MID(TRIM(MID(SUBSTITUTE($R2,";",REPT(" ",99)),892,99)),FIND(":",TRIM(MID(SUBSTITUTE($R2,";",REPT(" ",99)),892,99)))+1,99)),0)))</f>
        <v>0</v>
      </c>
      <c r="T2" s="17" t="s">
        <v>193</v>
      </c>
      <c r="U2" s="5">
        <f t="array" ref="U2">IF($A2="","",IF($T2="",0,IFERROR(VLOOKUP(LEFT(TRIM(MID(SUBSTITUTE($T2,";",REPT(" ",99)),1,99)),FIND(":",TRIM(MID(SUBSTITUTE($T2,";",REPT(" ",99)),1,99)))-1),Materiales!$A$2:$E$502,5,FALSE)*VALUE(MID(TRIM(MID(SUBSTITUTE($T2,";",REPT(" ",99)),1,99)),FIND(":",TRIM(MID(SUBSTITUTE($T2,";",REPT(" ",99)),1,99)))+1,99)),0) + IFERROR(VLOOKUP(LEFT(TRIM(MID(SUBSTITUTE($T2,";",REPT(" ",99)),100,99)),FIND(":",TRIM(MID(SUBSTITUTE($T2,";",REPT(" ",99)),100,99)))-1),Materiales!$A$2:$E$502,5,FALSE)*VALUE(MID(TRIM(MID(SUBSTITUTE($T2,";",REPT(" ",99)),100,99)),FIND(":",TRIM(MID(SUBSTITUTE($T2,";",REPT(" ",99)),100,99)))+1,99)),0) + IFERROR(VLOOKUP(LEFT(TRIM(MID(SUBSTITUTE($T2,";",REPT(" ",99)),199,99)),FIND(":",TRIM(MID(SUBSTITUTE($T2,";",REPT(" ",99)),199,99)))-1),Materiales!$A$2:$E$502,5,FALSE)*VALUE(MID(TRIM(MID(SUBSTITUTE($T2,";",REPT(" ",99)),199,99)),FIND(":",TRIM(MID(SUBSTITUTE($T2,";",REPT(" ",99)),199,99)))+1,99)),0) + IFERROR(VLOOKUP(LEFT(TRIM(MID(SUBSTITUTE($T2,";",REPT(" ",99)),298,99)),FIND(":",TRIM(MID(SUBSTITUTE($T2,";",REPT(" ",99)),298,99)))-1),Materiales!$A$2:$E$502,5,FALSE)*VALUE(MID(TRIM(MID(SUBSTITUTE($T2,";",REPT(" ",99)),298,99)),FIND(":",TRIM(MID(SUBSTITUTE($T2,";",REPT(" ",99)),298,99)))+1,99)),0) + IFERROR(VLOOKUP(LEFT(TRIM(MID(SUBSTITUTE($T2,";",REPT(" ",99)),397,99)),FIND(":",TRIM(MID(SUBSTITUTE($T2,";",REPT(" ",99)),397,99)))-1),Materiales!$A$2:$E$502,5,FALSE)*VALUE(MID(TRIM(MID(SUBSTITUTE($T2,";",REPT(" ",99)),397,99)),FIND(":",TRIM(MID(SUBSTITUTE($T2,";",REPT(" ",99)),397,99)))+1,99)),0) + IFERROR(VLOOKUP(LEFT(TRIM(MID(SUBSTITUTE($T2,";",REPT(" ",99)),496,99)),FIND(":",TRIM(MID(SUBSTITUTE($T2,";",REPT(" ",99)),496,99)))-1),Materiales!$A$2:$E$502,5,FALSE)*VALUE(MID(TRIM(MID(SUBSTITUTE($T2,";",REPT(" ",99)),496,99)),FIND(":",TRIM(MID(SUBSTITUTE($T2,";",REPT(" ",99)),496,99)))+1,99)),0) + IFERROR(VLOOKUP(LEFT(TRIM(MID(SUBSTITUTE($T2,";",REPT(" ",99)),595,99)),FIND(":",TRIM(MID(SUBSTITUTE($T2,";",REPT(" ",99)),595,99)))-1),Materiales!$A$2:$E$502,5,FALSE)*VALUE(MID(TRIM(MID(SUBSTITUTE($T2,";",REPT(" ",99)),595,99)),FIND(":",TRIM(MID(SUBSTITUTE($T2,";",REPT(" ",99)),595,99)))+1,99)),0) + IFERROR(VLOOKUP(LEFT(TRIM(MID(SUBSTITUTE($T2,";",REPT(" ",99)),694,99)),FIND(":",TRIM(MID(SUBSTITUTE($T2,";",REPT(" ",99)),694,99)))-1),Materiales!$A$2:$E$502,5,FALSE)*VALUE(MID(TRIM(MID(SUBSTITUTE($T2,";",REPT(" ",99)),694,99)),FIND(":",TRIM(MID(SUBSTITUTE($T2,";",REPT(" ",99)),694,99)))+1,99)),0) + IFERROR(VLOOKUP(LEFT(TRIM(MID(SUBSTITUTE($T2,";",REPT(" ",99)),793,99)),FIND(":",TRIM(MID(SUBSTITUTE($T2,";",REPT(" ",99)),793,99)))-1),Materiales!$A$2:$E$502,5,FALSE)*VALUE(MID(TRIM(MID(SUBSTITUTE($T2,";",REPT(" ",99)),793,99)),FIND(":",TRIM(MID(SUBSTITUTE($T2,";",REPT(" ",99)),793,99)))+1,99)),0) + IFERROR(VLOOKUP(LEFT(TRIM(MID(SUBSTITUTE($T2,";",REPT(" ",99)),892,99)),FIND(":",TRIM(MID(SUBSTITUTE($T2,";",REPT(" ",99)),892,99)))-1),Materiales!$A$2:$E$502,5,FALSE)*VALUE(MID(TRIM(MID(SUBSTITUTE($T2,";",REPT(" ",99)),892,99)),FIND(":",TRIM(MID(SUBSTITUTE($T2,";",REPT(" ",99)),892,99)))+1,99)),0)))</f>
        <v>200</v>
      </c>
      <c r="V2" s="17" t="s">
        <v>194</v>
      </c>
      <c r="W2" s="5">
        <f t="array" ref="W2">IF($A2="","",IF($V2="",0,IFERROR(VLOOKUP(LEFT(TRIM(MID(SUBSTITUTE($V2,";",REPT(" ",99)),1,99)),FIND(":",TRIM(MID(SUBSTITUTE($V2,";",REPT(" ",99)),1,99)))-1),Materiales!$A$2:$E$502,5,FALSE)*VALUE(MID(TRIM(MID(SUBSTITUTE($V2,";",REPT(" ",99)),1,99)),FIND(":",TRIM(MID(SUBSTITUTE($V2,";",REPT(" ",99)),1,99)))+1,99)),0) + IFERROR(VLOOKUP(LEFT(TRIM(MID(SUBSTITUTE($V2,";",REPT(" ",99)),100,99)),FIND(":",TRIM(MID(SUBSTITUTE($V2,";",REPT(" ",99)),100,99)))-1),Materiales!$A$2:$E$502,5,FALSE)*VALUE(MID(TRIM(MID(SUBSTITUTE($V2,";",REPT(" ",99)),100,99)),FIND(":",TRIM(MID(SUBSTITUTE($V2,";",REPT(" ",99)),100,99)))+1,99)),0) + IFERROR(VLOOKUP(LEFT(TRIM(MID(SUBSTITUTE($V2,";",REPT(" ",99)),199,99)),FIND(":",TRIM(MID(SUBSTITUTE($V2,";",REPT(" ",99)),199,99)))-1),Materiales!$A$2:$E$502,5,FALSE)*VALUE(MID(TRIM(MID(SUBSTITUTE($V2,";",REPT(" ",99)),199,99)),FIND(":",TRIM(MID(SUBSTITUTE($V2,";",REPT(" ",99)),199,99)))+1,99)),0) + IFERROR(VLOOKUP(LEFT(TRIM(MID(SUBSTITUTE($V2,";",REPT(" ",99)),298,99)),FIND(":",TRIM(MID(SUBSTITUTE($V2,";",REPT(" ",99)),298,99)))-1),Materiales!$A$2:$E$502,5,FALSE)*VALUE(MID(TRIM(MID(SUBSTITUTE($V2,";",REPT(" ",99)),298,99)),FIND(":",TRIM(MID(SUBSTITUTE($V2,";",REPT(" ",99)),298,99)))+1,99)),0) + IFERROR(VLOOKUP(LEFT(TRIM(MID(SUBSTITUTE($V2,";",REPT(" ",99)),397,99)),FIND(":",TRIM(MID(SUBSTITUTE($V2,";",REPT(" ",99)),397,99)))-1),Materiales!$A$2:$E$502,5,FALSE)*VALUE(MID(TRIM(MID(SUBSTITUTE($V2,";",REPT(" ",99)),397,99)),FIND(":",TRIM(MID(SUBSTITUTE($V2,";",REPT(" ",99)),397,99)))+1,99)),0) + IFERROR(VLOOKUP(LEFT(TRIM(MID(SUBSTITUTE($V2,";",REPT(" ",99)),496,99)),FIND(":",TRIM(MID(SUBSTITUTE($V2,";",REPT(" ",99)),496,99)))-1),Materiales!$A$2:$E$502,5,FALSE)*VALUE(MID(TRIM(MID(SUBSTITUTE($V2,";",REPT(" ",99)),496,99)),FIND(":",TRIM(MID(SUBSTITUTE($V2,";",REPT(" ",99)),496,99)))+1,99)),0) + IFERROR(VLOOKUP(LEFT(TRIM(MID(SUBSTITUTE($V2,";",REPT(" ",99)),595,99)),FIND(":",TRIM(MID(SUBSTITUTE($V2,";",REPT(" ",99)),595,99)))-1),Materiales!$A$2:$E$502,5,FALSE)*VALUE(MID(TRIM(MID(SUBSTITUTE($V2,";",REPT(" ",99)),595,99)),FIND(":",TRIM(MID(SUBSTITUTE($V2,";",REPT(" ",99)),595,99)))+1,99)),0) + IFERROR(VLOOKUP(LEFT(TRIM(MID(SUBSTITUTE($V2,";",REPT(" ",99)),694,99)),FIND(":",TRIM(MID(SUBSTITUTE($V2,";",REPT(" ",99)),694,99)))-1),Materiales!$A$2:$E$502,5,FALSE)*VALUE(MID(TRIM(MID(SUBSTITUTE($V2,";",REPT(" ",99)),694,99)),FIND(":",TRIM(MID(SUBSTITUTE($V2,";",REPT(" ",99)),694,99)))+1,99)),0) + IFERROR(VLOOKUP(LEFT(TRIM(MID(SUBSTITUTE($V2,";",REPT(" ",99)),793,99)),FIND(":",TRIM(MID(SUBSTITUTE($V2,";",REPT(" ",99)),793,99)))-1),Materiales!$A$2:$E$502,5,FALSE)*VALUE(MID(TRIM(MID(SUBSTITUTE($V2,";",REPT(" ",99)),793,99)),FIND(":",TRIM(MID(SUBSTITUTE($V2,";",REPT(" ",99)),793,99)))+1,99)),0) + IFERROR(VLOOKUP(LEFT(TRIM(MID(SUBSTITUTE($V2,";",REPT(" ",99)),892,99)),FIND(":",TRIM(MID(SUBSTITUTE($V2,";",REPT(" ",99)),892,99)))-1),Materiales!$A$2:$E$502,5,FALSE)*VALUE(MID(TRIM(MID(SUBSTITUTE($V2,";",REPT(" ",99)),892,99)),FIND(":",TRIM(MID(SUBSTITUTE($V2,";",REPT(" ",99)),892,99)))+1,99)),0)))</f>
        <v>4000</v>
      </c>
      <c r="X2" s="39">
        <f t="shared" ref="X2:X20" si="3">IF($A2="","",SUM($G2,$H2,$K2,$N2,$Q2,$S2,$U2,$W2))</f>
        <v>7645.307692</v>
      </c>
      <c r="Y2" s="40" t="s">
        <v>195</v>
      </c>
      <c r="Z2" s="41">
        <f t="shared" ref="Z2:Z20" si="4">X2*Y2</f>
        <v>22935.92308</v>
      </c>
      <c r="AA2" s="42">
        <v>0.0</v>
      </c>
      <c r="AB2" s="18">
        <f t="shared" ref="AB2:AB20" si="5">AA2+Z2</f>
        <v>22935.92308</v>
      </c>
      <c r="AC2" s="43">
        <v>22000.0</v>
      </c>
      <c r="AD2" s="42">
        <f t="shared" ref="AD2:AD20" si="6">AB2-X2</f>
        <v>15290.61538</v>
      </c>
      <c r="AE2" s="44">
        <f t="shared" ref="AE2:AE20" si="7">AC2-X2</f>
        <v>14354.69231</v>
      </c>
      <c r="AF2" s="45">
        <f t="shared" ref="AF2:AF20" si="8">AE2/AD2</f>
        <v>0.9387910131</v>
      </c>
    </row>
    <row r="3" ht="15.75" customHeight="1">
      <c r="A3" s="17" t="s">
        <v>196</v>
      </c>
      <c r="B3" s="3" t="s">
        <v>16</v>
      </c>
      <c r="C3" s="38">
        <v>1.0</v>
      </c>
      <c r="D3" s="3"/>
      <c r="E3" s="38"/>
      <c r="F3" s="18">
        <v>74.0</v>
      </c>
      <c r="G3" s="5">
        <f t="array" ref="G3">IF($A3="","",IFERROR($F3*(N($C3)*XLOOKUP($B3,Ceras!$A$2:$A$500,Ceras!$G$2:$G$500,0)+IF($D3="",0,N($E3)*XLOOKUP($D3,Ceras!$A$2:$A$500,Ceras!$G$2:$G$500,0))),"Revisar cera"))</f>
        <v>1332</v>
      </c>
      <c r="H3" s="5">
        <f t="shared" si="1"/>
        <v>111</v>
      </c>
      <c r="I3" s="17" t="s">
        <v>34</v>
      </c>
      <c r="J3" s="18">
        <v>3.0</v>
      </c>
      <c r="K3" s="5">
        <f t="array" ref="K3">IF($A3="","",IFERROR($J3*XLOOKUP($I3,Pabilos!$A$2:$A$500,Pabilos!$H$2:$H$500,0),"Revisar pabilo"))</f>
        <v>60</v>
      </c>
      <c r="L3" s="3" t="s">
        <v>38</v>
      </c>
      <c r="M3" s="18">
        <f t="shared" si="2"/>
        <v>7.4</v>
      </c>
      <c r="N3" s="5">
        <f t="array" ref="N3">IF($A3="","",IFERROR($M3*XLOOKUP($L3,Esencias!$A$2:$A$501,Esencias!$G$2:$G$501,0),"Revisar esencia"))</f>
        <v>1850</v>
      </c>
      <c r="O3" s="3" t="s">
        <v>78</v>
      </c>
      <c r="P3" s="18">
        <v>1.0</v>
      </c>
      <c r="Q3" s="5">
        <f t="array" ref="Q3">IF($A3="","",IFERROR(IF($P3="",1,$P3)*XLOOKUP($O3,Colores!$A$2:$A$500,Colores!$H$2:$H$500,0),"Revisar color"))</f>
        <v>92.30769231</v>
      </c>
      <c r="R3" s="3"/>
      <c r="S3" s="5">
        <f t="array" ref="S3">IF($A3="","",IF($R3="",0,IFERROR(VLOOKUP(LEFT(TRIM(MID(SUBSTITUTE($R3,";",REPT(" ",99)),1,99)),FIND(":",TRIM(MID(SUBSTITUTE($R3,";",REPT(" ",99)),1,99)))-1),Materiales!$A$2:$E$502,5,FALSE)*VALUE(MID(TRIM(MID(SUBSTITUTE($R3,";",REPT(" ",99)),1,99)),FIND(":",TRIM(MID(SUBSTITUTE($R3,";",REPT(" ",99)),1,99)))+1,99)),0) + IFERROR(VLOOKUP(LEFT(TRIM(MID(SUBSTITUTE($R3,";",REPT(" ",99)),100,99)),FIND(":",TRIM(MID(SUBSTITUTE($R3,";",REPT(" ",99)),100,99)))-1),Materiales!$A$2:$E$502,5,FALSE)*VALUE(MID(TRIM(MID(SUBSTITUTE($R3,";",REPT(" ",99)),100,99)),FIND(":",TRIM(MID(SUBSTITUTE($R3,";",REPT(" ",99)),100,99)))+1,99)),0) + IFERROR(VLOOKUP(LEFT(TRIM(MID(SUBSTITUTE($R3,";",REPT(" ",99)),199,99)),FIND(":",TRIM(MID(SUBSTITUTE($R3,";",REPT(" ",99)),199,99)))-1),Materiales!$A$2:$E$502,5,FALSE)*VALUE(MID(TRIM(MID(SUBSTITUTE($R3,";",REPT(" ",99)),199,99)),FIND(":",TRIM(MID(SUBSTITUTE($R3,";",REPT(" ",99)),199,99)))+1,99)),0) + IFERROR(VLOOKUP(LEFT(TRIM(MID(SUBSTITUTE($R3,";",REPT(" ",99)),298,99)),FIND(":",TRIM(MID(SUBSTITUTE($R3,";",REPT(" ",99)),298,99)))-1),Materiales!$A$2:$E$502,5,FALSE)*VALUE(MID(TRIM(MID(SUBSTITUTE($R3,";",REPT(" ",99)),298,99)),FIND(":",TRIM(MID(SUBSTITUTE($R3,";",REPT(" ",99)),298,99)))+1,99)),0) + IFERROR(VLOOKUP(LEFT(TRIM(MID(SUBSTITUTE($R3,";",REPT(" ",99)),397,99)),FIND(":",TRIM(MID(SUBSTITUTE($R3,";",REPT(" ",99)),397,99)))-1),Materiales!$A$2:$E$502,5,FALSE)*VALUE(MID(TRIM(MID(SUBSTITUTE($R3,";",REPT(" ",99)),397,99)),FIND(":",TRIM(MID(SUBSTITUTE($R3,";",REPT(" ",99)),397,99)))+1,99)),0) + IFERROR(VLOOKUP(LEFT(TRIM(MID(SUBSTITUTE($R3,";",REPT(" ",99)),496,99)),FIND(":",TRIM(MID(SUBSTITUTE($R3,";",REPT(" ",99)),496,99)))-1),Materiales!$A$2:$E$502,5,FALSE)*VALUE(MID(TRIM(MID(SUBSTITUTE($R3,";",REPT(" ",99)),496,99)),FIND(":",TRIM(MID(SUBSTITUTE($R3,";",REPT(" ",99)),496,99)))+1,99)),0) + IFERROR(VLOOKUP(LEFT(TRIM(MID(SUBSTITUTE($R3,";",REPT(" ",99)),595,99)),FIND(":",TRIM(MID(SUBSTITUTE($R3,";",REPT(" ",99)),595,99)))-1),Materiales!$A$2:$E$502,5,FALSE)*VALUE(MID(TRIM(MID(SUBSTITUTE($R3,";",REPT(" ",99)),595,99)),FIND(":",TRIM(MID(SUBSTITUTE($R3,";",REPT(" ",99)),595,99)))+1,99)),0) + IFERROR(VLOOKUP(LEFT(TRIM(MID(SUBSTITUTE($R3,";",REPT(" ",99)),694,99)),FIND(":",TRIM(MID(SUBSTITUTE($R3,";",REPT(" ",99)),694,99)))-1),Materiales!$A$2:$E$502,5,FALSE)*VALUE(MID(TRIM(MID(SUBSTITUTE($R3,";",REPT(" ",99)),694,99)),FIND(":",TRIM(MID(SUBSTITUTE($R3,";",REPT(" ",99)),694,99)))+1,99)),0) + IFERROR(VLOOKUP(LEFT(TRIM(MID(SUBSTITUTE($R3,";",REPT(" ",99)),793,99)),FIND(":",TRIM(MID(SUBSTITUTE($R3,";",REPT(" ",99)),793,99)))-1),Materiales!$A$2:$E$502,5,FALSE)*VALUE(MID(TRIM(MID(SUBSTITUTE($R3,";",REPT(" ",99)),793,99)),FIND(":",TRIM(MID(SUBSTITUTE($R3,";",REPT(" ",99)),793,99)))+1,99)),0) + IFERROR(VLOOKUP(LEFT(TRIM(MID(SUBSTITUTE($R3,";",REPT(" ",99)),892,99)),FIND(":",TRIM(MID(SUBSTITUTE($R3,";",REPT(" ",99)),892,99)))-1),Materiales!$A$2:$E$502,5,FALSE)*VALUE(MID(TRIM(MID(SUBSTITUTE($R3,";",REPT(" ",99)),892,99)),FIND(":",TRIM(MID(SUBSTITUTE($R3,";",REPT(" ",99)),892,99)))+1,99)),0)))</f>
        <v>0</v>
      </c>
      <c r="T3" s="17" t="s">
        <v>193</v>
      </c>
      <c r="U3" s="5">
        <f t="array" ref="U3">IF($A3="","",IF($T3="",0,IFERROR(VLOOKUP(LEFT(TRIM(MID(SUBSTITUTE($T3,";",REPT(" ",99)),1,99)),FIND(":",TRIM(MID(SUBSTITUTE($T3,";",REPT(" ",99)),1,99)))-1),Materiales!$A$2:$E$502,5,FALSE)*VALUE(MID(TRIM(MID(SUBSTITUTE($T3,";",REPT(" ",99)),1,99)),FIND(":",TRIM(MID(SUBSTITUTE($T3,";",REPT(" ",99)),1,99)))+1,99)),0) + IFERROR(VLOOKUP(LEFT(TRIM(MID(SUBSTITUTE($T3,";",REPT(" ",99)),100,99)),FIND(":",TRIM(MID(SUBSTITUTE($T3,";",REPT(" ",99)),100,99)))-1),Materiales!$A$2:$E$502,5,FALSE)*VALUE(MID(TRIM(MID(SUBSTITUTE($T3,";",REPT(" ",99)),100,99)),FIND(":",TRIM(MID(SUBSTITUTE($T3,";",REPT(" ",99)),100,99)))+1,99)),0) + IFERROR(VLOOKUP(LEFT(TRIM(MID(SUBSTITUTE($T3,";",REPT(" ",99)),199,99)),FIND(":",TRIM(MID(SUBSTITUTE($T3,";",REPT(" ",99)),199,99)))-1),Materiales!$A$2:$E$502,5,FALSE)*VALUE(MID(TRIM(MID(SUBSTITUTE($T3,";",REPT(" ",99)),199,99)),FIND(":",TRIM(MID(SUBSTITUTE($T3,";",REPT(" ",99)),199,99)))+1,99)),0) + IFERROR(VLOOKUP(LEFT(TRIM(MID(SUBSTITUTE($T3,";",REPT(" ",99)),298,99)),FIND(":",TRIM(MID(SUBSTITUTE($T3,";",REPT(" ",99)),298,99)))-1),Materiales!$A$2:$E$502,5,FALSE)*VALUE(MID(TRIM(MID(SUBSTITUTE($T3,";",REPT(" ",99)),298,99)),FIND(":",TRIM(MID(SUBSTITUTE($T3,";",REPT(" ",99)),298,99)))+1,99)),0) + IFERROR(VLOOKUP(LEFT(TRIM(MID(SUBSTITUTE($T3,";",REPT(" ",99)),397,99)),FIND(":",TRIM(MID(SUBSTITUTE($T3,";",REPT(" ",99)),397,99)))-1),Materiales!$A$2:$E$502,5,FALSE)*VALUE(MID(TRIM(MID(SUBSTITUTE($T3,";",REPT(" ",99)),397,99)),FIND(":",TRIM(MID(SUBSTITUTE($T3,";",REPT(" ",99)),397,99)))+1,99)),0) + IFERROR(VLOOKUP(LEFT(TRIM(MID(SUBSTITUTE($T3,";",REPT(" ",99)),496,99)),FIND(":",TRIM(MID(SUBSTITUTE($T3,";",REPT(" ",99)),496,99)))-1),Materiales!$A$2:$E$502,5,FALSE)*VALUE(MID(TRIM(MID(SUBSTITUTE($T3,";",REPT(" ",99)),496,99)),FIND(":",TRIM(MID(SUBSTITUTE($T3,";",REPT(" ",99)),496,99)))+1,99)),0) + IFERROR(VLOOKUP(LEFT(TRIM(MID(SUBSTITUTE($T3,";",REPT(" ",99)),595,99)),FIND(":",TRIM(MID(SUBSTITUTE($T3,";",REPT(" ",99)),595,99)))-1),Materiales!$A$2:$E$502,5,FALSE)*VALUE(MID(TRIM(MID(SUBSTITUTE($T3,";",REPT(" ",99)),595,99)),FIND(":",TRIM(MID(SUBSTITUTE($T3,";",REPT(" ",99)),595,99)))+1,99)),0) + IFERROR(VLOOKUP(LEFT(TRIM(MID(SUBSTITUTE($T3,";",REPT(" ",99)),694,99)),FIND(":",TRIM(MID(SUBSTITUTE($T3,";",REPT(" ",99)),694,99)))-1),Materiales!$A$2:$E$502,5,FALSE)*VALUE(MID(TRIM(MID(SUBSTITUTE($T3,";",REPT(" ",99)),694,99)),FIND(":",TRIM(MID(SUBSTITUTE($T3,";",REPT(" ",99)),694,99)))+1,99)),0) + IFERROR(VLOOKUP(LEFT(TRIM(MID(SUBSTITUTE($T3,";",REPT(" ",99)),793,99)),FIND(":",TRIM(MID(SUBSTITUTE($T3,";",REPT(" ",99)),793,99)))-1),Materiales!$A$2:$E$502,5,FALSE)*VALUE(MID(TRIM(MID(SUBSTITUTE($T3,";",REPT(" ",99)),793,99)),FIND(":",TRIM(MID(SUBSTITUTE($T3,";",REPT(" ",99)),793,99)))+1,99)),0) + IFERROR(VLOOKUP(LEFT(TRIM(MID(SUBSTITUTE($T3,";",REPT(" ",99)),892,99)),FIND(":",TRIM(MID(SUBSTITUTE($T3,";",REPT(" ",99)),892,99)))-1),Materiales!$A$2:$E$502,5,FALSE)*VALUE(MID(TRIM(MID(SUBSTITUTE($T3,";",REPT(" ",99)),892,99)),FIND(":",TRIM(MID(SUBSTITUTE($T3,";",REPT(" ",99)),892,99)))+1,99)),0)))</f>
        <v>200</v>
      </c>
      <c r="V3" s="17" t="s">
        <v>197</v>
      </c>
      <c r="W3" s="5">
        <f t="array" ref="W3">IF($A3="","",IF($V3="",0,IFERROR(VLOOKUP(LEFT(TRIM(MID(SUBSTITUTE($V3,";",REPT(" ",99)),1,99)),FIND(":",TRIM(MID(SUBSTITUTE($V3,";",REPT(" ",99)),1,99)))-1),Materiales!$A$2:$E$502,5,FALSE)*VALUE(MID(TRIM(MID(SUBSTITUTE($V3,";",REPT(" ",99)),1,99)),FIND(":",TRIM(MID(SUBSTITUTE($V3,";",REPT(" ",99)),1,99)))+1,99)),0) + IFERROR(VLOOKUP(LEFT(TRIM(MID(SUBSTITUTE($V3,";",REPT(" ",99)),100,99)),FIND(":",TRIM(MID(SUBSTITUTE($V3,";",REPT(" ",99)),100,99)))-1),Materiales!$A$2:$E$502,5,FALSE)*VALUE(MID(TRIM(MID(SUBSTITUTE($V3,";",REPT(" ",99)),100,99)),FIND(":",TRIM(MID(SUBSTITUTE($V3,";",REPT(" ",99)),100,99)))+1,99)),0) + IFERROR(VLOOKUP(LEFT(TRIM(MID(SUBSTITUTE($V3,";",REPT(" ",99)),199,99)),FIND(":",TRIM(MID(SUBSTITUTE($V3,";",REPT(" ",99)),199,99)))-1),Materiales!$A$2:$E$502,5,FALSE)*VALUE(MID(TRIM(MID(SUBSTITUTE($V3,";",REPT(" ",99)),199,99)),FIND(":",TRIM(MID(SUBSTITUTE($V3,";",REPT(" ",99)),199,99)))+1,99)),0) + IFERROR(VLOOKUP(LEFT(TRIM(MID(SUBSTITUTE($V3,";",REPT(" ",99)),298,99)),FIND(":",TRIM(MID(SUBSTITUTE($V3,";",REPT(" ",99)),298,99)))-1),Materiales!$A$2:$E$502,5,FALSE)*VALUE(MID(TRIM(MID(SUBSTITUTE($V3,";",REPT(" ",99)),298,99)),FIND(":",TRIM(MID(SUBSTITUTE($V3,";",REPT(" ",99)),298,99)))+1,99)),0) + IFERROR(VLOOKUP(LEFT(TRIM(MID(SUBSTITUTE($V3,";",REPT(" ",99)),397,99)),FIND(":",TRIM(MID(SUBSTITUTE($V3,";",REPT(" ",99)),397,99)))-1),Materiales!$A$2:$E$502,5,FALSE)*VALUE(MID(TRIM(MID(SUBSTITUTE($V3,";",REPT(" ",99)),397,99)),FIND(":",TRIM(MID(SUBSTITUTE($V3,";",REPT(" ",99)),397,99)))+1,99)),0) + IFERROR(VLOOKUP(LEFT(TRIM(MID(SUBSTITUTE($V3,";",REPT(" ",99)),496,99)),FIND(":",TRIM(MID(SUBSTITUTE($V3,";",REPT(" ",99)),496,99)))-1),Materiales!$A$2:$E$502,5,FALSE)*VALUE(MID(TRIM(MID(SUBSTITUTE($V3,";",REPT(" ",99)),496,99)),FIND(":",TRIM(MID(SUBSTITUTE($V3,";",REPT(" ",99)),496,99)))+1,99)),0) + IFERROR(VLOOKUP(LEFT(TRIM(MID(SUBSTITUTE($V3,";",REPT(" ",99)),595,99)),FIND(":",TRIM(MID(SUBSTITUTE($V3,";",REPT(" ",99)),595,99)))-1),Materiales!$A$2:$E$502,5,FALSE)*VALUE(MID(TRIM(MID(SUBSTITUTE($V3,";",REPT(" ",99)),595,99)),FIND(":",TRIM(MID(SUBSTITUTE($V3,";",REPT(" ",99)),595,99)))+1,99)),0) + IFERROR(VLOOKUP(LEFT(TRIM(MID(SUBSTITUTE($V3,";",REPT(" ",99)),694,99)),FIND(":",TRIM(MID(SUBSTITUTE($V3,";",REPT(" ",99)),694,99)))-1),Materiales!$A$2:$E$502,5,FALSE)*VALUE(MID(TRIM(MID(SUBSTITUTE($V3,";",REPT(" ",99)),694,99)),FIND(":",TRIM(MID(SUBSTITUTE($V3,";",REPT(" ",99)),694,99)))+1,99)),0) + IFERROR(VLOOKUP(LEFT(TRIM(MID(SUBSTITUTE($V3,";",REPT(" ",99)),793,99)),FIND(":",TRIM(MID(SUBSTITUTE($V3,";",REPT(" ",99)),793,99)))-1),Materiales!$A$2:$E$502,5,FALSE)*VALUE(MID(TRIM(MID(SUBSTITUTE($V3,";",REPT(" ",99)),793,99)),FIND(":",TRIM(MID(SUBSTITUTE($V3,";",REPT(" ",99)),793,99)))+1,99)),0) + IFERROR(VLOOKUP(LEFT(TRIM(MID(SUBSTITUTE($V3,";",REPT(" ",99)),892,99)),FIND(":",TRIM(MID(SUBSTITUTE($V3,";",REPT(" ",99)),892,99)))-1),Materiales!$A$2:$E$502,5,FALSE)*VALUE(MID(TRIM(MID(SUBSTITUTE($V3,";",REPT(" ",99)),892,99)),FIND(":",TRIM(MID(SUBSTITUTE($V3,";",REPT(" ",99)),892,99)))+1,99)),0)))</f>
        <v>5000</v>
      </c>
      <c r="X3" s="39">
        <f t="shared" si="3"/>
        <v>8645.307692</v>
      </c>
      <c r="Y3" s="40" t="s">
        <v>195</v>
      </c>
      <c r="Z3" s="41">
        <f t="shared" si="4"/>
        <v>25935.92308</v>
      </c>
      <c r="AA3" s="42">
        <v>0.0</v>
      </c>
      <c r="AB3" s="18">
        <f t="shared" si="5"/>
        <v>25935.92308</v>
      </c>
      <c r="AC3" s="43">
        <v>25000.0</v>
      </c>
      <c r="AD3" s="42">
        <f t="shared" si="6"/>
        <v>17290.61538</v>
      </c>
      <c r="AE3" s="44">
        <f t="shared" si="7"/>
        <v>16354.69231</v>
      </c>
      <c r="AF3" s="45">
        <f t="shared" si="8"/>
        <v>0.9458710372</v>
      </c>
    </row>
    <row r="4">
      <c r="A4" s="17" t="s">
        <v>198</v>
      </c>
      <c r="B4" s="17" t="s">
        <v>16</v>
      </c>
      <c r="C4" s="46">
        <v>1.0</v>
      </c>
      <c r="D4" s="38"/>
      <c r="E4" s="38"/>
      <c r="F4" s="18">
        <v>22.0</v>
      </c>
      <c r="G4" s="5">
        <f t="array" ref="G4">IF($A4="","",IFERROR($F4*(N($C4)*XLOOKUP($B4,Ceras!$A$2:$A$500,Ceras!$G$2:$G$500,0)+IF($D4="",0,N($E4)*XLOOKUP($D4,Ceras!$A$2:$A$500,Ceras!$G$2:$G$500,0))),"Revisar cera"))</f>
        <v>396</v>
      </c>
      <c r="H4" s="5">
        <f t="shared" si="1"/>
        <v>33</v>
      </c>
      <c r="I4" s="17" t="s">
        <v>26</v>
      </c>
      <c r="J4" s="18">
        <v>3.0</v>
      </c>
      <c r="K4" s="5">
        <f t="array" ref="K4">IF($A4="","",IFERROR($J4*XLOOKUP($I4,Pabilos!$A$2:$A$500,Pabilos!$H$2:$H$500,0),"Revisar pabilo"))</f>
        <v>45</v>
      </c>
      <c r="L4" s="17" t="s">
        <v>55</v>
      </c>
      <c r="M4" s="14">
        <f>F4*0.08</f>
        <v>1.76</v>
      </c>
      <c r="N4" s="5">
        <f t="array" ref="N4">IF($A4="","",IFERROR($M4*XLOOKUP($L4,Esencias!$A$2:$A$501,Esencias!$G$2:$G$501,0),"Revisar esencia"))</f>
        <v>247.8873239</v>
      </c>
      <c r="O4" s="17" t="s">
        <v>81</v>
      </c>
      <c r="P4" s="18">
        <v>1.0</v>
      </c>
      <c r="Q4" s="5">
        <f t="array" ref="Q4">IF($A4="","",IFERROR(IF($P4="",1,$P4)*XLOOKUP($O4,Colores!$A$2:$A$500,Colores!$H$2:$H$500,0),"Revisar color"))</f>
        <v>92.30769231</v>
      </c>
      <c r="R4" s="3"/>
      <c r="S4" s="5">
        <f t="array" ref="S4">IF($A4="","",IF($R4="",0,IFERROR(VLOOKUP(LEFT(TRIM(MID(SUBSTITUTE($R4,";",REPT(" ",99)),1,99)),FIND(":",TRIM(MID(SUBSTITUTE($R4,";",REPT(" ",99)),1,99)))-1),Materiales!$A$2:$E$502,5,FALSE)*VALUE(MID(TRIM(MID(SUBSTITUTE($R4,";",REPT(" ",99)),1,99)),FIND(":",TRIM(MID(SUBSTITUTE($R4,";",REPT(" ",99)),1,99)))+1,99)),0) + IFERROR(VLOOKUP(LEFT(TRIM(MID(SUBSTITUTE($R4,";",REPT(" ",99)),100,99)),FIND(":",TRIM(MID(SUBSTITUTE($R4,";",REPT(" ",99)),100,99)))-1),Materiales!$A$2:$E$502,5,FALSE)*VALUE(MID(TRIM(MID(SUBSTITUTE($R4,";",REPT(" ",99)),100,99)),FIND(":",TRIM(MID(SUBSTITUTE($R4,";",REPT(" ",99)),100,99)))+1,99)),0) + IFERROR(VLOOKUP(LEFT(TRIM(MID(SUBSTITUTE($R4,";",REPT(" ",99)),199,99)),FIND(":",TRIM(MID(SUBSTITUTE($R4,";",REPT(" ",99)),199,99)))-1),Materiales!$A$2:$E$502,5,FALSE)*VALUE(MID(TRIM(MID(SUBSTITUTE($R4,";",REPT(" ",99)),199,99)),FIND(":",TRIM(MID(SUBSTITUTE($R4,";",REPT(" ",99)),199,99)))+1,99)),0) + IFERROR(VLOOKUP(LEFT(TRIM(MID(SUBSTITUTE($R4,";",REPT(" ",99)),298,99)),FIND(":",TRIM(MID(SUBSTITUTE($R4,";",REPT(" ",99)),298,99)))-1),Materiales!$A$2:$E$502,5,FALSE)*VALUE(MID(TRIM(MID(SUBSTITUTE($R4,";",REPT(" ",99)),298,99)),FIND(":",TRIM(MID(SUBSTITUTE($R4,";",REPT(" ",99)),298,99)))+1,99)),0) + IFERROR(VLOOKUP(LEFT(TRIM(MID(SUBSTITUTE($R4,";",REPT(" ",99)),397,99)),FIND(":",TRIM(MID(SUBSTITUTE($R4,";",REPT(" ",99)),397,99)))-1),Materiales!$A$2:$E$502,5,FALSE)*VALUE(MID(TRIM(MID(SUBSTITUTE($R4,";",REPT(" ",99)),397,99)),FIND(":",TRIM(MID(SUBSTITUTE($R4,";",REPT(" ",99)),397,99)))+1,99)),0) + IFERROR(VLOOKUP(LEFT(TRIM(MID(SUBSTITUTE($R4,";",REPT(" ",99)),496,99)),FIND(":",TRIM(MID(SUBSTITUTE($R4,";",REPT(" ",99)),496,99)))-1),Materiales!$A$2:$E$502,5,FALSE)*VALUE(MID(TRIM(MID(SUBSTITUTE($R4,";",REPT(" ",99)),496,99)),FIND(":",TRIM(MID(SUBSTITUTE($R4,";",REPT(" ",99)),496,99)))+1,99)),0) + IFERROR(VLOOKUP(LEFT(TRIM(MID(SUBSTITUTE($R4,";",REPT(" ",99)),595,99)),FIND(":",TRIM(MID(SUBSTITUTE($R4,";",REPT(" ",99)),595,99)))-1),Materiales!$A$2:$E$502,5,FALSE)*VALUE(MID(TRIM(MID(SUBSTITUTE($R4,";",REPT(" ",99)),595,99)),FIND(":",TRIM(MID(SUBSTITUTE($R4,";",REPT(" ",99)),595,99)))+1,99)),0) + IFERROR(VLOOKUP(LEFT(TRIM(MID(SUBSTITUTE($R4,";",REPT(" ",99)),694,99)),FIND(":",TRIM(MID(SUBSTITUTE($R4,";",REPT(" ",99)),694,99)))-1),Materiales!$A$2:$E$502,5,FALSE)*VALUE(MID(TRIM(MID(SUBSTITUTE($R4,";",REPT(" ",99)),694,99)),FIND(":",TRIM(MID(SUBSTITUTE($R4,";",REPT(" ",99)),694,99)))+1,99)),0) + IFERROR(VLOOKUP(LEFT(TRIM(MID(SUBSTITUTE($R4,";",REPT(" ",99)),793,99)),FIND(":",TRIM(MID(SUBSTITUTE($R4,";",REPT(" ",99)),793,99)))-1),Materiales!$A$2:$E$502,5,FALSE)*VALUE(MID(TRIM(MID(SUBSTITUTE($R4,";",REPT(" ",99)),793,99)),FIND(":",TRIM(MID(SUBSTITUTE($R4,";",REPT(" ",99)),793,99)))+1,99)),0) + IFERROR(VLOOKUP(LEFT(TRIM(MID(SUBSTITUTE($R4,";",REPT(" ",99)),892,99)),FIND(":",TRIM(MID(SUBSTITUTE($R4,";",REPT(" ",99)),892,99)))-1),Materiales!$A$2:$E$502,5,FALSE)*VALUE(MID(TRIM(MID(SUBSTITUTE($R4,";",REPT(" ",99)),892,99)),FIND(":",TRIM(MID(SUBSTITUTE($R4,";",REPT(" ",99)),892,99)))+1,99)),0)))</f>
        <v>0</v>
      </c>
      <c r="T4" s="3"/>
      <c r="U4" s="5">
        <f t="array" ref="U4">IF($A4="","",IF($T4="",0,IFERROR(VLOOKUP(LEFT(TRIM(MID(SUBSTITUTE($T4,";",REPT(" ",99)),1,99)),FIND(":",TRIM(MID(SUBSTITUTE($T4,";",REPT(" ",99)),1,99)))-1),Materiales!$A$2:$E$502,5,FALSE)*VALUE(MID(TRIM(MID(SUBSTITUTE($T4,";",REPT(" ",99)),1,99)),FIND(":",TRIM(MID(SUBSTITUTE($T4,";",REPT(" ",99)),1,99)))+1,99)),0) + IFERROR(VLOOKUP(LEFT(TRIM(MID(SUBSTITUTE($T4,";",REPT(" ",99)),100,99)),FIND(":",TRIM(MID(SUBSTITUTE($T4,";",REPT(" ",99)),100,99)))-1),Materiales!$A$2:$E$502,5,FALSE)*VALUE(MID(TRIM(MID(SUBSTITUTE($T4,";",REPT(" ",99)),100,99)),FIND(":",TRIM(MID(SUBSTITUTE($T4,";",REPT(" ",99)),100,99)))+1,99)),0) + IFERROR(VLOOKUP(LEFT(TRIM(MID(SUBSTITUTE($T4,";",REPT(" ",99)),199,99)),FIND(":",TRIM(MID(SUBSTITUTE($T4,";",REPT(" ",99)),199,99)))-1),Materiales!$A$2:$E$502,5,FALSE)*VALUE(MID(TRIM(MID(SUBSTITUTE($T4,";",REPT(" ",99)),199,99)),FIND(":",TRIM(MID(SUBSTITUTE($T4,";",REPT(" ",99)),199,99)))+1,99)),0) + IFERROR(VLOOKUP(LEFT(TRIM(MID(SUBSTITUTE($T4,";",REPT(" ",99)),298,99)),FIND(":",TRIM(MID(SUBSTITUTE($T4,";",REPT(" ",99)),298,99)))-1),Materiales!$A$2:$E$502,5,FALSE)*VALUE(MID(TRIM(MID(SUBSTITUTE($T4,";",REPT(" ",99)),298,99)),FIND(":",TRIM(MID(SUBSTITUTE($T4,";",REPT(" ",99)),298,99)))+1,99)),0) + IFERROR(VLOOKUP(LEFT(TRIM(MID(SUBSTITUTE($T4,";",REPT(" ",99)),397,99)),FIND(":",TRIM(MID(SUBSTITUTE($T4,";",REPT(" ",99)),397,99)))-1),Materiales!$A$2:$E$502,5,FALSE)*VALUE(MID(TRIM(MID(SUBSTITUTE($T4,";",REPT(" ",99)),397,99)),FIND(":",TRIM(MID(SUBSTITUTE($T4,";",REPT(" ",99)),397,99)))+1,99)),0) + IFERROR(VLOOKUP(LEFT(TRIM(MID(SUBSTITUTE($T4,";",REPT(" ",99)),496,99)),FIND(":",TRIM(MID(SUBSTITUTE($T4,";",REPT(" ",99)),496,99)))-1),Materiales!$A$2:$E$502,5,FALSE)*VALUE(MID(TRIM(MID(SUBSTITUTE($T4,";",REPT(" ",99)),496,99)),FIND(":",TRIM(MID(SUBSTITUTE($T4,";",REPT(" ",99)),496,99)))+1,99)),0) + IFERROR(VLOOKUP(LEFT(TRIM(MID(SUBSTITUTE($T4,";",REPT(" ",99)),595,99)),FIND(":",TRIM(MID(SUBSTITUTE($T4,";",REPT(" ",99)),595,99)))-1),Materiales!$A$2:$E$502,5,FALSE)*VALUE(MID(TRIM(MID(SUBSTITUTE($T4,";",REPT(" ",99)),595,99)),FIND(":",TRIM(MID(SUBSTITUTE($T4,";",REPT(" ",99)),595,99)))+1,99)),0) + IFERROR(VLOOKUP(LEFT(TRIM(MID(SUBSTITUTE($T4,";",REPT(" ",99)),694,99)),FIND(":",TRIM(MID(SUBSTITUTE($T4,";",REPT(" ",99)),694,99)))-1),Materiales!$A$2:$E$502,5,FALSE)*VALUE(MID(TRIM(MID(SUBSTITUTE($T4,";",REPT(" ",99)),694,99)),FIND(":",TRIM(MID(SUBSTITUTE($T4,";",REPT(" ",99)),694,99)))+1,99)),0) + IFERROR(VLOOKUP(LEFT(TRIM(MID(SUBSTITUTE($T4,";",REPT(" ",99)),793,99)),FIND(":",TRIM(MID(SUBSTITUTE($T4,";",REPT(" ",99)),793,99)))-1),Materiales!$A$2:$E$502,5,FALSE)*VALUE(MID(TRIM(MID(SUBSTITUTE($T4,";",REPT(" ",99)),793,99)),FIND(":",TRIM(MID(SUBSTITUTE($T4,";",REPT(" ",99)),793,99)))+1,99)),0) + IFERROR(VLOOKUP(LEFT(TRIM(MID(SUBSTITUTE($T4,";",REPT(" ",99)),892,99)),FIND(":",TRIM(MID(SUBSTITUTE($T4,";",REPT(" ",99)),892,99)))-1),Materiales!$A$2:$E$502,5,FALSE)*VALUE(MID(TRIM(MID(SUBSTITUTE($T4,";",REPT(" ",99)),892,99)),FIND(":",TRIM(MID(SUBSTITUTE($T4,";",REPT(" ",99)),892,99)))+1,99)),0)))</f>
        <v>0</v>
      </c>
      <c r="V4" s="3"/>
      <c r="W4" s="5">
        <f t="array" ref="W4">IF($A4="","",IF($V4="",0,IFERROR(VLOOKUP(LEFT(TRIM(MID(SUBSTITUTE($V4,";",REPT(" ",99)),1,99)),FIND(":",TRIM(MID(SUBSTITUTE($V4,";",REPT(" ",99)),1,99)))-1),Materiales!$A$2:$E$502,5,FALSE)*VALUE(MID(TRIM(MID(SUBSTITUTE($V4,";",REPT(" ",99)),1,99)),FIND(":",TRIM(MID(SUBSTITUTE($V4,";",REPT(" ",99)),1,99)))+1,99)),0) + IFERROR(VLOOKUP(LEFT(TRIM(MID(SUBSTITUTE($V4,";",REPT(" ",99)),100,99)),FIND(":",TRIM(MID(SUBSTITUTE($V4,";",REPT(" ",99)),100,99)))-1),Materiales!$A$2:$E$502,5,FALSE)*VALUE(MID(TRIM(MID(SUBSTITUTE($V4,";",REPT(" ",99)),100,99)),FIND(":",TRIM(MID(SUBSTITUTE($V4,";",REPT(" ",99)),100,99)))+1,99)),0) + IFERROR(VLOOKUP(LEFT(TRIM(MID(SUBSTITUTE($V4,";",REPT(" ",99)),199,99)),FIND(":",TRIM(MID(SUBSTITUTE($V4,";",REPT(" ",99)),199,99)))-1),Materiales!$A$2:$E$502,5,FALSE)*VALUE(MID(TRIM(MID(SUBSTITUTE($V4,";",REPT(" ",99)),199,99)),FIND(":",TRIM(MID(SUBSTITUTE($V4,";",REPT(" ",99)),199,99)))+1,99)),0) + IFERROR(VLOOKUP(LEFT(TRIM(MID(SUBSTITUTE($V4,";",REPT(" ",99)),298,99)),FIND(":",TRIM(MID(SUBSTITUTE($V4,";",REPT(" ",99)),298,99)))-1),Materiales!$A$2:$E$502,5,FALSE)*VALUE(MID(TRIM(MID(SUBSTITUTE($V4,";",REPT(" ",99)),298,99)),FIND(":",TRIM(MID(SUBSTITUTE($V4,";",REPT(" ",99)),298,99)))+1,99)),0) + IFERROR(VLOOKUP(LEFT(TRIM(MID(SUBSTITUTE($V4,";",REPT(" ",99)),397,99)),FIND(":",TRIM(MID(SUBSTITUTE($V4,";",REPT(" ",99)),397,99)))-1),Materiales!$A$2:$E$502,5,FALSE)*VALUE(MID(TRIM(MID(SUBSTITUTE($V4,";",REPT(" ",99)),397,99)),FIND(":",TRIM(MID(SUBSTITUTE($V4,";",REPT(" ",99)),397,99)))+1,99)),0) + IFERROR(VLOOKUP(LEFT(TRIM(MID(SUBSTITUTE($V4,";",REPT(" ",99)),496,99)),FIND(":",TRIM(MID(SUBSTITUTE($V4,";",REPT(" ",99)),496,99)))-1),Materiales!$A$2:$E$502,5,FALSE)*VALUE(MID(TRIM(MID(SUBSTITUTE($V4,";",REPT(" ",99)),496,99)),FIND(":",TRIM(MID(SUBSTITUTE($V4,";",REPT(" ",99)),496,99)))+1,99)),0) + IFERROR(VLOOKUP(LEFT(TRIM(MID(SUBSTITUTE($V4,";",REPT(" ",99)),595,99)),FIND(":",TRIM(MID(SUBSTITUTE($V4,";",REPT(" ",99)),595,99)))-1),Materiales!$A$2:$E$502,5,FALSE)*VALUE(MID(TRIM(MID(SUBSTITUTE($V4,";",REPT(" ",99)),595,99)),FIND(":",TRIM(MID(SUBSTITUTE($V4,";",REPT(" ",99)),595,99)))+1,99)),0) + IFERROR(VLOOKUP(LEFT(TRIM(MID(SUBSTITUTE($V4,";",REPT(" ",99)),694,99)),FIND(":",TRIM(MID(SUBSTITUTE($V4,";",REPT(" ",99)),694,99)))-1),Materiales!$A$2:$E$502,5,FALSE)*VALUE(MID(TRIM(MID(SUBSTITUTE($V4,";",REPT(" ",99)),694,99)),FIND(":",TRIM(MID(SUBSTITUTE($V4,";",REPT(" ",99)),694,99)))+1,99)),0) + IFERROR(VLOOKUP(LEFT(TRIM(MID(SUBSTITUTE($V4,";",REPT(" ",99)),793,99)),FIND(":",TRIM(MID(SUBSTITUTE($V4,";",REPT(" ",99)),793,99)))-1),Materiales!$A$2:$E$502,5,FALSE)*VALUE(MID(TRIM(MID(SUBSTITUTE($V4,";",REPT(" ",99)),793,99)),FIND(":",TRIM(MID(SUBSTITUTE($V4,";",REPT(" ",99)),793,99)))+1,99)),0) + IFERROR(VLOOKUP(LEFT(TRIM(MID(SUBSTITUTE($V4,";",REPT(" ",99)),892,99)),FIND(":",TRIM(MID(SUBSTITUTE($V4,";",REPT(" ",99)),892,99)))-1),Materiales!$A$2:$E$502,5,FALSE)*VALUE(MID(TRIM(MID(SUBSTITUTE($V4,";",REPT(" ",99)),892,99)),FIND(":",TRIM(MID(SUBSTITUTE($V4,";",REPT(" ",99)),892,99)))+1,99)),0)))</f>
        <v>0</v>
      </c>
      <c r="X4" s="39">
        <f t="shared" si="3"/>
        <v>814.1950163</v>
      </c>
      <c r="Y4" s="40" t="s">
        <v>195</v>
      </c>
      <c r="Z4" s="41">
        <f t="shared" si="4"/>
        <v>2442.585049</v>
      </c>
      <c r="AA4" s="42">
        <v>0.0</v>
      </c>
      <c r="AB4" s="18">
        <f t="shared" si="5"/>
        <v>2442.585049</v>
      </c>
      <c r="AC4" s="43">
        <v>2500.0</v>
      </c>
      <c r="AD4" s="42">
        <f t="shared" si="6"/>
        <v>1628.390033</v>
      </c>
      <c r="AE4" s="44">
        <f t="shared" si="7"/>
        <v>1685.804984</v>
      </c>
      <c r="AF4" s="45">
        <f t="shared" si="8"/>
        <v>1.035258722</v>
      </c>
    </row>
    <row r="5">
      <c r="A5" s="17" t="s">
        <v>199</v>
      </c>
      <c r="B5" s="17" t="s">
        <v>16</v>
      </c>
      <c r="C5" s="46">
        <v>1.0</v>
      </c>
      <c r="D5" s="38"/>
      <c r="E5" s="38"/>
      <c r="F5" s="18">
        <v>22.0</v>
      </c>
      <c r="G5" s="5">
        <f t="array" ref="G5">IF($A5="","",IFERROR($F5*(N($C5)*XLOOKUP($B5,Ceras!$A$2:$A$500,Ceras!$G$2:$G$500,0)+IF($D5="",0,N($E5)*XLOOKUP($D5,Ceras!$A$2:$A$500,Ceras!$G$2:$G$500,0))),"Revisar cera"))</f>
        <v>396</v>
      </c>
      <c r="H5" s="5">
        <f t="shared" si="1"/>
        <v>33</v>
      </c>
      <c r="I5" s="17" t="s">
        <v>26</v>
      </c>
      <c r="J5" s="18">
        <v>3.0</v>
      </c>
      <c r="K5" s="5">
        <f t="array" ref="K5">IF($A5="","",IFERROR($J5*XLOOKUP($I5,Pabilos!$A$2:$A$500,Pabilos!$H$2:$H$500,0),"Revisar pabilo"))</f>
        <v>45</v>
      </c>
      <c r="L5" s="17" t="s">
        <v>55</v>
      </c>
      <c r="M5" s="14">
        <f t="shared" ref="M5:M6" si="9">F5/10</f>
        <v>2.2</v>
      </c>
      <c r="N5" s="5">
        <f t="array" ref="N5">IF($A5="","",IFERROR($M5*XLOOKUP($L5,Esencias!$A$2:$A$501,Esencias!$G$2:$G$501,0),"Revisar esencia"))</f>
        <v>309.8591549</v>
      </c>
      <c r="O5" s="17" t="s">
        <v>81</v>
      </c>
      <c r="P5" s="18">
        <v>1.0</v>
      </c>
      <c r="Q5" s="5">
        <f t="array" ref="Q5">IF($A5="","",IFERROR(IF($P5="",1,$P5)*XLOOKUP($O5,Colores!$A$2:$A$500,Colores!$H$2:$H$500,0),"Revisar color"))</f>
        <v>92.30769231</v>
      </c>
      <c r="R5" s="3"/>
      <c r="S5" s="5">
        <f t="array" ref="S5">IF($A5="","",IF($R5="",0,IFERROR(VLOOKUP(LEFT(TRIM(MID(SUBSTITUTE($R5,";",REPT(" ",99)),1,99)),FIND(":",TRIM(MID(SUBSTITUTE($R5,";",REPT(" ",99)),1,99)))-1),Materiales!$A$2:$E$502,5,FALSE)*VALUE(MID(TRIM(MID(SUBSTITUTE($R5,";",REPT(" ",99)),1,99)),FIND(":",TRIM(MID(SUBSTITUTE($R5,";",REPT(" ",99)),1,99)))+1,99)),0) + IFERROR(VLOOKUP(LEFT(TRIM(MID(SUBSTITUTE($R5,";",REPT(" ",99)),100,99)),FIND(":",TRIM(MID(SUBSTITUTE($R5,";",REPT(" ",99)),100,99)))-1),Materiales!$A$2:$E$502,5,FALSE)*VALUE(MID(TRIM(MID(SUBSTITUTE($R5,";",REPT(" ",99)),100,99)),FIND(":",TRIM(MID(SUBSTITUTE($R5,";",REPT(" ",99)),100,99)))+1,99)),0) + IFERROR(VLOOKUP(LEFT(TRIM(MID(SUBSTITUTE($R5,";",REPT(" ",99)),199,99)),FIND(":",TRIM(MID(SUBSTITUTE($R5,";",REPT(" ",99)),199,99)))-1),Materiales!$A$2:$E$502,5,FALSE)*VALUE(MID(TRIM(MID(SUBSTITUTE($R5,";",REPT(" ",99)),199,99)),FIND(":",TRIM(MID(SUBSTITUTE($R5,";",REPT(" ",99)),199,99)))+1,99)),0) + IFERROR(VLOOKUP(LEFT(TRIM(MID(SUBSTITUTE($R5,";",REPT(" ",99)),298,99)),FIND(":",TRIM(MID(SUBSTITUTE($R5,";",REPT(" ",99)),298,99)))-1),Materiales!$A$2:$E$502,5,FALSE)*VALUE(MID(TRIM(MID(SUBSTITUTE($R5,";",REPT(" ",99)),298,99)),FIND(":",TRIM(MID(SUBSTITUTE($R5,";",REPT(" ",99)),298,99)))+1,99)),0) + IFERROR(VLOOKUP(LEFT(TRIM(MID(SUBSTITUTE($R5,";",REPT(" ",99)),397,99)),FIND(":",TRIM(MID(SUBSTITUTE($R5,";",REPT(" ",99)),397,99)))-1),Materiales!$A$2:$E$502,5,FALSE)*VALUE(MID(TRIM(MID(SUBSTITUTE($R5,";",REPT(" ",99)),397,99)),FIND(":",TRIM(MID(SUBSTITUTE($R5,";",REPT(" ",99)),397,99)))+1,99)),0) + IFERROR(VLOOKUP(LEFT(TRIM(MID(SUBSTITUTE($R5,";",REPT(" ",99)),496,99)),FIND(":",TRIM(MID(SUBSTITUTE($R5,";",REPT(" ",99)),496,99)))-1),Materiales!$A$2:$E$502,5,FALSE)*VALUE(MID(TRIM(MID(SUBSTITUTE($R5,";",REPT(" ",99)),496,99)),FIND(":",TRIM(MID(SUBSTITUTE($R5,";",REPT(" ",99)),496,99)))+1,99)),0) + IFERROR(VLOOKUP(LEFT(TRIM(MID(SUBSTITUTE($R5,";",REPT(" ",99)),595,99)),FIND(":",TRIM(MID(SUBSTITUTE($R5,";",REPT(" ",99)),595,99)))-1),Materiales!$A$2:$E$502,5,FALSE)*VALUE(MID(TRIM(MID(SUBSTITUTE($R5,";",REPT(" ",99)),595,99)),FIND(":",TRIM(MID(SUBSTITUTE($R5,";",REPT(" ",99)),595,99)))+1,99)),0) + IFERROR(VLOOKUP(LEFT(TRIM(MID(SUBSTITUTE($R5,";",REPT(" ",99)),694,99)),FIND(":",TRIM(MID(SUBSTITUTE($R5,";",REPT(" ",99)),694,99)))-1),Materiales!$A$2:$E$502,5,FALSE)*VALUE(MID(TRIM(MID(SUBSTITUTE($R5,";",REPT(" ",99)),694,99)),FIND(":",TRIM(MID(SUBSTITUTE($R5,";",REPT(" ",99)),694,99)))+1,99)),0) + IFERROR(VLOOKUP(LEFT(TRIM(MID(SUBSTITUTE($R5,";",REPT(" ",99)),793,99)),FIND(":",TRIM(MID(SUBSTITUTE($R5,";",REPT(" ",99)),793,99)))-1),Materiales!$A$2:$E$502,5,FALSE)*VALUE(MID(TRIM(MID(SUBSTITUTE($R5,";",REPT(" ",99)),793,99)),FIND(":",TRIM(MID(SUBSTITUTE($R5,";",REPT(" ",99)),793,99)))+1,99)),0) + IFERROR(VLOOKUP(LEFT(TRIM(MID(SUBSTITUTE($R5,";",REPT(" ",99)),892,99)),FIND(":",TRIM(MID(SUBSTITUTE($R5,";",REPT(" ",99)),892,99)))-1),Materiales!$A$2:$E$502,5,FALSE)*VALUE(MID(TRIM(MID(SUBSTITUTE($R5,";",REPT(" ",99)),892,99)),FIND(":",TRIM(MID(SUBSTITUTE($R5,";",REPT(" ",99)),892,99)))+1,99)),0)))</f>
        <v>0</v>
      </c>
      <c r="T5" s="17" t="s">
        <v>200</v>
      </c>
      <c r="U5" s="5">
        <f t="array" ref="U5">IF($A5="","",IF($T5="",0,IFERROR(VLOOKUP(LEFT(TRIM(MID(SUBSTITUTE($T5,";",REPT(" ",99)),1,99)),FIND(":",TRIM(MID(SUBSTITUTE($T5,";",REPT(" ",99)),1,99)))-1),Materiales!$A$2:$E$502,5,FALSE)*VALUE(MID(TRIM(MID(SUBSTITUTE($T5,";",REPT(" ",99)),1,99)),FIND(":",TRIM(MID(SUBSTITUTE($T5,";",REPT(" ",99)),1,99)))+1,99)),0) + IFERROR(VLOOKUP(LEFT(TRIM(MID(SUBSTITUTE($T5,";",REPT(" ",99)),100,99)),FIND(":",TRIM(MID(SUBSTITUTE($T5,";",REPT(" ",99)),100,99)))-1),Materiales!$A$2:$E$502,5,FALSE)*VALUE(MID(TRIM(MID(SUBSTITUTE($T5,";",REPT(" ",99)),100,99)),FIND(":",TRIM(MID(SUBSTITUTE($T5,";",REPT(" ",99)),100,99)))+1,99)),0) + IFERROR(VLOOKUP(LEFT(TRIM(MID(SUBSTITUTE($T5,";",REPT(" ",99)),199,99)),FIND(":",TRIM(MID(SUBSTITUTE($T5,";",REPT(" ",99)),199,99)))-1),Materiales!$A$2:$E$502,5,FALSE)*VALUE(MID(TRIM(MID(SUBSTITUTE($T5,";",REPT(" ",99)),199,99)),FIND(":",TRIM(MID(SUBSTITUTE($T5,";",REPT(" ",99)),199,99)))+1,99)),0) + IFERROR(VLOOKUP(LEFT(TRIM(MID(SUBSTITUTE($T5,";",REPT(" ",99)),298,99)),FIND(":",TRIM(MID(SUBSTITUTE($T5,";",REPT(" ",99)),298,99)))-1),Materiales!$A$2:$E$502,5,FALSE)*VALUE(MID(TRIM(MID(SUBSTITUTE($T5,";",REPT(" ",99)),298,99)),FIND(":",TRIM(MID(SUBSTITUTE($T5,";",REPT(" ",99)),298,99)))+1,99)),0) + IFERROR(VLOOKUP(LEFT(TRIM(MID(SUBSTITUTE($T5,";",REPT(" ",99)),397,99)),FIND(":",TRIM(MID(SUBSTITUTE($T5,";",REPT(" ",99)),397,99)))-1),Materiales!$A$2:$E$502,5,FALSE)*VALUE(MID(TRIM(MID(SUBSTITUTE($T5,";",REPT(" ",99)),397,99)),FIND(":",TRIM(MID(SUBSTITUTE($T5,";",REPT(" ",99)),397,99)))+1,99)),0) + IFERROR(VLOOKUP(LEFT(TRIM(MID(SUBSTITUTE($T5,";",REPT(" ",99)),496,99)),FIND(":",TRIM(MID(SUBSTITUTE($T5,";",REPT(" ",99)),496,99)))-1),Materiales!$A$2:$E$502,5,FALSE)*VALUE(MID(TRIM(MID(SUBSTITUTE($T5,";",REPT(" ",99)),496,99)),FIND(":",TRIM(MID(SUBSTITUTE($T5,";",REPT(" ",99)),496,99)))+1,99)),0) + IFERROR(VLOOKUP(LEFT(TRIM(MID(SUBSTITUTE($T5,";",REPT(" ",99)),595,99)),FIND(":",TRIM(MID(SUBSTITUTE($T5,";",REPT(" ",99)),595,99)))-1),Materiales!$A$2:$E$502,5,FALSE)*VALUE(MID(TRIM(MID(SUBSTITUTE($T5,";",REPT(" ",99)),595,99)),FIND(":",TRIM(MID(SUBSTITUTE($T5,";",REPT(" ",99)),595,99)))+1,99)),0) + IFERROR(VLOOKUP(LEFT(TRIM(MID(SUBSTITUTE($T5,";",REPT(" ",99)),694,99)),FIND(":",TRIM(MID(SUBSTITUTE($T5,";",REPT(" ",99)),694,99)))-1),Materiales!$A$2:$E$502,5,FALSE)*VALUE(MID(TRIM(MID(SUBSTITUTE($T5,";",REPT(" ",99)),694,99)),FIND(":",TRIM(MID(SUBSTITUTE($T5,";",REPT(" ",99)),694,99)))+1,99)),0) + IFERROR(VLOOKUP(LEFT(TRIM(MID(SUBSTITUTE($T5,";",REPT(" ",99)),793,99)),FIND(":",TRIM(MID(SUBSTITUTE($T5,";",REPT(" ",99)),793,99)))-1),Materiales!$A$2:$E$502,5,FALSE)*VALUE(MID(TRIM(MID(SUBSTITUTE($T5,";",REPT(" ",99)),793,99)),FIND(":",TRIM(MID(SUBSTITUTE($T5,";",REPT(" ",99)),793,99)))+1,99)),0) + IFERROR(VLOOKUP(LEFT(TRIM(MID(SUBSTITUTE($T5,";",REPT(" ",99)),892,99)),FIND(":",TRIM(MID(SUBSTITUTE($T5,";",REPT(" ",99)),892,99)))-1),Materiales!$A$2:$E$502,5,FALSE)*VALUE(MID(TRIM(MID(SUBSTITUTE($T5,";",REPT(" ",99)),892,99)),FIND(":",TRIM(MID(SUBSTITUTE($T5,";",REPT(" ",99)),892,99)))+1,99)),0)))</f>
        <v>330</v>
      </c>
      <c r="V5" s="3"/>
      <c r="W5" s="5">
        <f t="array" ref="W5">IF($A5="","",IF($V5="",0,IFERROR(VLOOKUP(LEFT(TRIM(MID(SUBSTITUTE($V5,";",REPT(" ",99)),1,99)),FIND(":",TRIM(MID(SUBSTITUTE($V5,";",REPT(" ",99)),1,99)))-1),Materiales!$A$2:$E$502,5,FALSE)*VALUE(MID(TRIM(MID(SUBSTITUTE($V5,";",REPT(" ",99)),1,99)),FIND(":",TRIM(MID(SUBSTITUTE($V5,";",REPT(" ",99)),1,99)))+1,99)),0) + IFERROR(VLOOKUP(LEFT(TRIM(MID(SUBSTITUTE($V5,";",REPT(" ",99)),100,99)),FIND(":",TRIM(MID(SUBSTITUTE($V5,";",REPT(" ",99)),100,99)))-1),Materiales!$A$2:$E$502,5,FALSE)*VALUE(MID(TRIM(MID(SUBSTITUTE($V5,";",REPT(" ",99)),100,99)),FIND(":",TRIM(MID(SUBSTITUTE($V5,";",REPT(" ",99)),100,99)))+1,99)),0) + IFERROR(VLOOKUP(LEFT(TRIM(MID(SUBSTITUTE($V5,";",REPT(" ",99)),199,99)),FIND(":",TRIM(MID(SUBSTITUTE($V5,";",REPT(" ",99)),199,99)))-1),Materiales!$A$2:$E$502,5,FALSE)*VALUE(MID(TRIM(MID(SUBSTITUTE($V5,";",REPT(" ",99)),199,99)),FIND(":",TRIM(MID(SUBSTITUTE($V5,";",REPT(" ",99)),199,99)))+1,99)),0) + IFERROR(VLOOKUP(LEFT(TRIM(MID(SUBSTITUTE($V5,";",REPT(" ",99)),298,99)),FIND(":",TRIM(MID(SUBSTITUTE($V5,";",REPT(" ",99)),298,99)))-1),Materiales!$A$2:$E$502,5,FALSE)*VALUE(MID(TRIM(MID(SUBSTITUTE($V5,";",REPT(" ",99)),298,99)),FIND(":",TRIM(MID(SUBSTITUTE($V5,";",REPT(" ",99)),298,99)))+1,99)),0) + IFERROR(VLOOKUP(LEFT(TRIM(MID(SUBSTITUTE($V5,";",REPT(" ",99)),397,99)),FIND(":",TRIM(MID(SUBSTITUTE($V5,";",REPT(" ",99)),397,99)))-1),Materiales!$A$2:$E$502,5,FALSE)*VALUE(MID(TRIM(MID(SUBSTITUTE($V5,";",REPT(" ",99)),397,99)),FIND(":",TRIM(MID(SUBSTITUTE($V5,";",REPT(" ",99)),397,99)))+1,99)),0) + IFERROR(VLOOKUP(LEFT(TRIM(MID(SUBSTITUTE($V5,";",REPT(" ",99)),496,99)),FIND(":",TRIM(MID(SUBSTITUTE($V5,";",REPT(" ",99)),496,99)))-1),Materiales!$A$2:$E$502,5,FALSE)*VALUE(MID(TRIM(MID(SUBSTITUTE($V5,";",REPT(" ",99)),496,99)),FIND(":",TRIM(MID(SUBSTITUTE($V5,";",REPT(" ",99)),496,99)))+1,99)),0) + IFERROR(VLOOKUP(LEFT(TRIM(MID(SUBSTITUTE($V5,";",REPT(" ",99)),595,99)),FIND(":",TRIM(MID(SUBSTITUTE($V5,";",REPT(" ",99)),595,99)))-1),Materiales!$A$2:$E$502,5,FALSE)*VALUE(MID(TRIM(MID(SUBSTITUTE($V5,";",REPT(" ",99)),595,99)),FIND(":",TRIM(MID(SUBSTITUTE($V5,";",REPT(" ",99)),595,99)))+1,99)),0) + IFERROR(VLOOKUP(LEFT(TRIM(MID(SUBSTITUTE($V5,";",REPT(" ",99)),694,99)),FIND(":",TRIM(MID(SUBSTITUTE($V5,";",REPT(" ",99)),694,99)))-1),Materiales!$A$2:$E$502,5,FALSE)*VALUE(MID(TRIM(MID(SUBSTITUTE($V5,";",REPT(" ",99)),694,99)),FIND(":",TRIM(MID(SUBSTITUTE($V5,";",REPT(" ",99)),694,99)))+1,99)),0) + IFERROR(VLOOKUP(LEFT(TRIM(MID(SUBSTITUTE($V5,";",REPT(" ",99)),793,99)),FIND(":",TRIM(MID(SUBSTITUTE($V5,";",REPT(" ",99)),793,99)))-1),Materiales!$A$2:$E$502,5,FALSE)*VALUE(MID(TRIM(MID(SUBSTITUTE($V5,";",REPT(" ",99)),793,99)),FIND(":",TRIM(MID(SUBSTITUTE($V5,";",REPT(" ",99)),793,99)))+1,99)),0) + IFERROR(VLOOKUP(LEFT(TRIM(MID(SUBSTITUTE($V5,";",REPT(" ",99)),892,99)),FIND(":",TRIM(MID(SUBSTITUTE($V5,";",REPT(" ",99)),892,99)))-1),Materiales!$A$2:$E$502,5,FALSE)*VALUE(MID(TRIM(MID(SUBSTITUTE($V5,";",REPT(" ",99)),892,99)),FIND(":",TRIM(MID(SUBSTITUTE($V5,";",REPT(" ",99)),892,99)))+1,99)),0)))</f>
        <v>0</v>
      </c>
      <c r="X5" s="39">
        <f t="shared" si="3"/>
        <v>1206.166847</v>
      </c>
      <c r="Y5" s="40" t="s">
        <v>195</v>
      </c>
      <c r="Z5" s="41">
        <f t="shared" si="4"/>
        <v>3618.500542</v>
      </c>
      <c r="AA5" s="42">
        <v>0.0</v>
      </c>
      <c r="AB5" s="18">
        <f t="shared" si="5"/>
        <v>3618.500542</v>
      </c>
      <c r="AC5" s="43">
        <v>3500.0</v>
      </c>
      <c r="AD5" s="42">
        <f t="shared" si="6"/>
        <v>2412.333694</v>
      </c>
      <c r="AE5" s="44">
        <f t="shared" si="7"/>
        <v>2293.833153</v>
      </c>
      <c r="AF5" s="45">
        <f t="shared" si="8"/>
        <v>0.9508772182</v>
      </c>
    </row>
    <row r="6" ht="15.0" customHeight="1">
      <c r="A6" s="17" t="s">
        <v>201</v>
      </c>
      <c r="B6" s="17" t="s">
        <v>16</v>
      </c>
      <c r="C6" s="46">
        <v>1.0</v>
      </c>
      <c r="D6" s="38"/>
      <c r="E6" s="38"/>
      <c r="F6" s="18">
        <v>22.0</v>
      </c>
      <c r="G6" s="5">
        <f t="array" ref="G6">IF($A6="","",IFERROR($F6*(N($C6)*XLOOKUP($B6,Ceras!$A$2:$A$500,Ceras!$G$2:$G$500,0)+IF($D6="",0,N($E6)*XLOOKUP($D6,Ceras!$A$2:$A$500,Ceras!$G$2:$G$500,0))),"Revisar cera"))</f>
        <v>396</v>
      </c>
      <c r="H6" s="5">
        <f t="shared" si="1"/>
        <v>33</v>
      </c>
      <c r="I6" s="17" t="s">
        <v>26</v>
      </c>
      <c r="J6" s="18">
        <v>3.0</v>
      </c>
      <c r="K6" s="5">
        <f t="array" ref="K6">IF($A6="","",IFERROR($J6*XLOOKUP($I6,Pabilos!$A$2:$A$500,Pabilos!$H$2:$H$500,0),"Revisar pabilo"))</f>
        <v>45</v>
      </c>
      <c r="L6" s="17" t="s">
        <v>55</v>
      </c>
      <c r="M6" s="14">
        <f t="shared" si="9"/>
        <v>2.2</v>
      </c>
      <c r="N6" s="5">
        <f t="array" ref="N6">IF($A6="","",IFERROR($M6*XLOOKUP($L6,Esencias!$A$2:$A$501,Esencias!$G$2:$G$501,0),"Revisar esencia"))</f>
        <v>309.8591549</v>
      </c>
      <c r="O6" s="17" t="s">
        <v>81</v>
      </c>
      <c r="P6" s="18">
        <v>1.0</v>
      </c>
      <c r="Q6" s="5">
        <f t="array" ref="Q6">IF($A6="","",IFERROR(IF($P6="",1,$P6)*XLOOKUP($O6,Colores!$A$2:$A$500,Colores!$H$2:$H$500,0),"Revisar color"))</f>
        <v>92.30769231</v>
      </c>
      <c r="R6" s="3"/>
      <c r="S6" s="5">
        <f t="array" ref="S6">IF($A6="","",IF($R6="",0,IFERROR(VLOOKUP(LEFT(TRIM(MID(SUBSTITUTE($R6,";",REPT(" ",99)),1,99)),FIND(":",TRIM(MID(SUBSTITUTE($R6,";",REPT(" ",99)),1,99)))-1),Materiales!$A$2:$E$502,5,FALSE)*VALUE(MID(TRIM(MID(SUBSTITUTE($R6,";",REPT(" ",99)),1,99)),FIND(":",TRIM(MID(SUBSTITUTE($R6,";",REPT(" ",99)),1,99)))+1,99)),0) + IFERROR(VLOOKUP(LEFT(TRIM(MID(SUBSTITUTE($R6,";",REPT(" ",99)),100,99)),FIND(":",TRIM(MID(SUBSTITUTE($R6,";",REPT(" ",99)),100,99)))-1),Materiales!$A$2:$E$502,5,FALSE)*VALUE(MID(TRIM(MID(SUBSTITUTE($R6,";",REPT(" ",99)),100,99)),FIND(":",TRIM(MID(SUBSTITUTE($R6,";",REPT(" ",99)),100,99)))+1,99)),0) + IFERROR(VLOOKUP(LEFT(TRIM(MID(SUBSTITUTE($R6,";",REPT(" ",99)),199,99)),FIND(":",TRIM(MID(SUBSTITUTE($R6,";",REPT(" ",99)),199,99)))-1),Materiales!$A$2:$E$502,5,FALSE)*VALUE(MID(TRIM(MID(SUBSTITUTE($R6,";",REPT(" ",99)),199,99)),FIND(":",TRIM(MID(SUBSTITUTE($R6,";",REPT(" ",99)),199,99)))+1,99)),0) + IFERROR(VLOOKUP(LEFT(TRIM(MID(SUBSTITUTE($R6,";",REPT(" ",99)),298,99)),FIND(":",TRIM(MID(SUBSTITUTE($R6,";",REPT(" ",99)),298,99)))-1),Materiales!$A$2:$E$502,5,FALSE)*VALUE(MID(TRIM(MID(SUBSTITUTE($R6,";",REPT(" ",99)),298,99)),FIND(":",TRIM(MID(SUBSTITUTE($R6,";",REPT(" ",99)),298,99)))+1,99)),0) + IFERROR(VLOOKUP(LEFT(TRIM(MID(SUBSTITUTE($R6,";",REPT(" ",99)),397,99)),FIND(":",TRIM(MID(SUBSTITUTE($R6,";",REPT(" ",99)),397,99)))-1),Materiales!$A$2:$E$502,5,FALSE)*VALUE(MID(TRIM(MID(SUBSTITUTE($R6,";",REPT(" ",99)),397,99)),FIND(":",TRIM(MID(SUBSTITUTE($R6,";",REPT(" ",99)),397,99)))+1,99)),0) + IFERROR(VLOOKUP(LEFT(TRIM(MID(SUBSTITUTE($R6,";",REPT(" ",99)),496,99)),FIND(":",TRIM(MID(SUBSTITUTE($R6,";",REPT(" ",99)),496,99)))-1),Materiales!$A$2:$E$502,5,FALSE)*VALUE(MID(TRIM(MID(SUBSTITUTE($R6,";",REPT(" ",99)),496,99)),FIND(":",TRIM(MID(SUBSTITUTE($R6,";",REPT(" ",99)),496,99)))+1,99)),0) + IFERROR(VLOOKUP(LEFT(TRIM(MID(SUBSTITUTE($R6,";",REPT(" ",99)),595,99)),FIND(":",TRIM(MID(SUBSTITUTE($R6,";",REPT(" ",99)),595,99)))-1),Materiales!$A$2:$E$502,5,FALSE)*VALUE(MID(TRIM(MID(SUBSTITUTE($R6,";",REPT(" ",99)),595,99)),FIND(":",TRIM(MID(SUBSTITUTE($R6,";",REPT(" ",99)),595,99)))+1,99)),0) + IFERROR(VLOOKUP(LEFT(TRIM(MID(SUBSTITUTE($R6,";",REPT(" ",99)),694,99)),FIND(":",TRIM(MID(SUBSTITUTE($R6,";",REPT(" ",99)),694,99)))-1),Materiales!$A$2:$E$502,5,FALSE)*VALUE(MID(TRIM(MID(SUBSTITUTE($R6,";",REPT(" ",99)),694,99)),FIND(":",TRIM(MID(SUBSTITUTE($R6,";",REPT(" ",99)),694,99)))+1,99)),0) + IFERROR(VLOOKUP(LEFT(TRIM(MID(SUBSTITUTE($R6,";",REPT(" ",99)),793,99)),FIND(":",TRIM(MID(SUBSTITUTE($R6,";",REPT(" ",99)),793,99)))-1),Materiales!$A$2:$E$502,5,FALSE)*VALUE(MID(TRIM(MID(SUBSTITUTE($R6,";",REPT(" ",99)),793,99)),FIND(":",TRIM(MID(SUBSTITUTE($R6,";",REPT(" ",99)),793,99)))+1,99)),0) + IFERROR(VLOOKUP(LEFT(TRIM(MID(SUBSTITUTE($R6,";",REPT(" ",99)),892,99)),FIND(":",TRIM(MID(SUBSTITUTE($R6,";",REPT(" ",99)),892,99)))-1),Materiales!$A$2:$E$502,5,FALSE)*VALUE(MID(TRIM(MID(SUBSTITUTE($R6,";",REPT(" ",99)),892,99)),FIND(":",TRIM(MID(SUBSTITUTE($R6,";",REPT(" ",99)),892,99)))+1,99)),0)))</f>
        <v>0</v>
      </c>
      <c r="T6" s="17" t="s">
        <v>202</v>
      </c>
      <c r="U6" s="5">
        <f t="array" ref="U6">IF($A6="","",IF($T6="",0,IFERROR(VLOOKUP(LEFT(TRIM(MID(SUBSTITUTE($T6,";",REPT(" ",99)),1,99)),FIND(":",TRIM(MID(SUBSTITUTE($T6,";",REPT(" ",99)),1,99)))-1),Materiales!$A$2:$E$502,5,FALSE)*VALUE(MID(TRIM(MID(SUBSTITUTE($T6,";",REPT(" ",99)),1,99)),FIND(":",TRIM(MID(SUBSTITUTE($T6,";",REPT(" ",99)),1,99)))+1,99)),0) + IFERROR(VLOOKUP(LEFT(TRIM(MID(SUBSTITUTE($T6,";",REPT(" ",99)),100,99)),FIND(":",TRIM(MID(SUBSTITUTE($T6,";",REPT(" ",99)),100,99)))-1),Materiales!$A$2:$E$502,5,FALSE)*VALUE(MID(TRIM(MID(SUBSTITUTE($T6,";",REPT(" ",99)),100,99)),FIND(":",TRIM(MID(SUBSTITUTE($T6,";",REPT(" ",99)),100,99)))+1,99)),0) + IFERROR(VLOOKUP(LEFT(TRIM(MID(SUBSTITUTE($T6,";",REPT(" ",99)),199,99)),FIND(":",TRIM(MID(SUBSTITUTE($T6,";",REPT(" ",99)),199,99)))-1),Materiales!$A$2:$E$502,5,FALSE)*VALUE(MID(TRIM(MID(SUBSTITUTE($T6,";",REPT(" ",99)),199,99)),FIND(":",TRIM(MID(SUBSTITUTE($T6,";",REPT(" ",99)),199,99)))+1,99)),0) + IFERROR(VLOOKUP(LEFT(TRIM(MID(SUBSTITUTE($T6,";",REPT(" ",99)),298,99)),FIND(":",TRIM(MID(SUBSTITUTE($T6,";",REPT(" ",99)),298,99)))-1),Materiales!$A$2:$E$502,5,FALSE)*VALUE(MID(TRIM(MID(SUBSTITUTE($T6,";",REPT(" ",99)),298,99)),FIND(":",TRIM(MID(SUBSTITUTE($T6,";",REPT(" ",99)),298,99)))+1,99)),0) + IFERROR(VLOOKUP(LEFT(TRIM(MID(SUBSTITUTE($T6,";",REPT(" ",99)),397,99)),FIND(":",TRIM(MID(SUBSTITUTE($T6,";",REPT(" ",99)),397,99)))-1),Materiales!$A$2:$E$502,5,FALSE)*VALUE(MID(TRIM(MID(SUBSTITUTE($T6,";",REPT(" ",99)),397,99)),FIND(":",TRIM(MID(SUBSTITUTE($T6,";",REPT(" ",99)),397,99)))+1,99)),0) + IFERROR(VLOOKUP(LEFT(TRIM(MID(SUBSTITUTE($T6,";",REPT(" ",99)),496,99)),FIND(":",TRIM(MID(SUBSTITUTE($T6,";",REPT(" ",99)),496,99)))-1),Materiales!$A$2:$E$502,5,FALSE)*VALUE(MID(TRIM(MID(SUBSTITUTE($T6,";",REPT(" ",99)),496,99)),FIND(":",TRIM(MID(SUBSTITUTE($T6,";",REPT(" ",99)),496,99)))+1,99)),0) + IFERROR(VLOOKUP(LEFT(TRIM(MID(SUBSTITUTE($T6,";",REPT(" ",99)),595,99)),FIND(":",TRIM(MID(SUBSTITUTE($T6,";",REPT(" ",99)),595,99)))-1),Materiales!$A$2:$E$502,5,FALSE)*VALUE(MID(TRIM(MID(SUBSTITUTE($T6,";",REPT(" ",99)),595,99)),FIND(":",TRIM(MID(SUBSTITUTE($T6,";",REPT(" ",99)),595,99)))+1,99)),0) + IFERROR(VLOOKUP(LEFT(TRIM(MID(SUBSTITUTE($T6,";",REPT(" ",99)),694,99)),FIND(":",TRIM(MID(SUBSTITUTE($T6,";",REPT(" ",99)),694,99)))-1),Materiales!$A$2:$E$502,5,FALSE)*VALUE(MID(TRIM(MID(SUBSTITUTE($T6,";",REPT(" ",99)),694,99)),FIND(":",TRIM(MID(SUBSTITUTE($T6,";",REPT(" ",99)),694,99)))+1,99)),0) + IFERROR(VLOOKUP(LEFT(TRIM(MID(SUBSTITUTE($T6,";",REPT(" ",99)),793,99)),FIND(":",TRIM(MID(SUBSTITUTE($T6,";",REPT(" ",99)),793,99)))-1),Materiales!$A$2:$E$502,5,FALSE)*VALUE(MID(TRIM(MID(SUBSTITUTE($T6,";",REPT(" ",99)),793,99)),FIND(":",TRIM(MID(SUBSTITUTE($T6,";",REPT(" ",99)),793,99)))+1,99)),0) + IFERROR(VLOOKUP(LEFT(TRIM(MID(SUBSTITUTE($T6,";",REPT(" ",99)),892,99)),FIND(":",TRIM(MID(SUBSTITUTE($T6,";",REPT(" ",99)),892,99)))-1),Materiales!$A$2:$E$502,5,FALSE)*VALUE(MID(TRIM(MID(SUBSTITUTE($T6,";",REPT(" ",99)),892,99)),FIND(":",TRIM(MID(SUBSTITUTE($T6,";",REPT(" ",99)),892,99)))+1,99)),0)))</f>
        <v>605</v>
      </c>
      <c r="V6" s="3"/>
      <c r="W6" s="5">
        <f t="array" ref="W6">IF($A6="","",IF($V6="",0,IFERROR(VLOOKUP(LEFT(TRIM(MID(SUBSTITUTE($V6,";",REPT(" ",99)),1,99)),FIND(":",TRIM(MID(SUBSTITUTE($V6,";",REPT(" ",99)),1,99)))-1),Materiales!$A$2:$E$502,5,FALSE)*VALUE(MID(TRIM(MID(SUBSTITUTE($V6,";",REPT(" ",99)),1,99)),FIND(":",TRIM(MID(SUBSTITUTE($V6,";",REPT(" ",99)),1,99)))+1,99)),0) + IFERROR(VLOOKUP(LEFT(TRIM(MID(SUBSTITUTE($V6,";",REPT(" ",99)),100,99)),FIND(":",TRIM(MID(SUBSTITUTE($V6,";",REPT(" ",99)),100,99)))-1),Materiales!$A$2:$E$502,5,FALSE)*VALUE(MID(TRIM(MID(SUBSTITUTE($V6,";",REPT(" ",99)),100,99)),FIND(":",TRIM(MID(SUBSTITUTE($V6,";",REPT(" ",99)),100,99)))+1,99)),0) + IFERROR(VLOOKUP(LEFT(TRIM(MID(SUBSTITUTE($V6,";",REPT(" ",99)),199,99)),FIND(":",TRIM(MID(SUBSTITUTE($V6,";",REPT(" ",99)),199,99)))-1),Materiales!$A$2:$E$502,5,FALSE)*VALUE(MID(TRIM(MID(SUBSTITUTE($V6,";",REPT(" ",99)),199,99)),FIND(":",TRIM(MID(SUBSTITUTE($V6,";",REPT(" ",99)),199,99)))+1,99)),0) + IFERROR(VLOOKUP(LEFT(TRIM(MID(SUBSTITUTE($V6,";",REPT(" ",99)),298,99)),FIND(":",TRIM(MID(SUBSTITUTE($V6,";",REPT(" ",99)),298,99)))-1),Materiales!$A$2:$E$502,5,FALSE)*VALUE(MID(TRIM(MID(SUBSTITUTE($V6,";",REPT(" ",99)),298,99)),FIND(":",TRIM(MID(SUBSTITUTE($V6,";",REPT(" ",99)),298,99)))+1,99)),0) + IFERROR(VLOOKUP(LEFT(TRIM(MID(SUBSTITUTE($V6,";",REPT(" ",99)),397,99)),FIND(":",TRIM(MID(SUBSTITUTE($V6,";",REPT(" ",99)),397,99)))-1),Materiales!$A$2:$E$502,5,FALSE)*VALUE(MID(TRIM(MID(SUBSTITUTE($V6,";",REPT(" ",99)),397,99)),FIND(":",TRIM(MID(SUBSTITUTE($V6,";",REPT(" ",99)),397,99)))+1,99)),0) + IFERROR(VLOOKUP(LEFT(TRIM(MID(SUBSTITUTE($V6,";",REPT(" ",99)),496,99)),FIND(":",TRIM(MID(SUBSTITUTE($V6,";",REPT(" ",99)),496,99)))-1),Materiales!$A$2:$E$502,5,FALSE)*VALUE(MID(TRIM(MID(SUBSTITUTE($V6,";",REPT(" ",99)),496,99)),FIND(":",TRIM(MID(SUBSTITUTE($V6,";",REPT(" ",99)),496,99)))+1,99)),0) + IFERROR(VLOOKUP(LEFT(TRIM(MID(SUBSTITUTE($V6,";",REPT(" ",99)),595,99)),FIND(":",TRIM(MID(SUBSTITUTE($V6,";",REPT(" ",99)),595,99)))-1),Materiales!$A$2:$E$502,5,FALSE)*VALUE(MID(TRIM(MID(SUBSTITUTE($V6,";",REPT(" ",99)),595,99)),FIND(":",TRIM(MID(SUBSTITUTE($V6,";",REPT(" ",99)),595,99)))+1,99)),0) + IFERROR(VLOOKUP(LEFT(TRIM(MID(SUBSTITUTE($V6,";",REPT(" ",99)),694,99)),FIND(":",TRIM(MID(SUBSTITUTE($V6,";",REPT(" ",99)),694,99)))-1),Materiales!$A$2:$E$502,5,FALSE)*VALUE(MID(TRIM(MID(SUBSTITUTE($V6,";",REPT(" ",99)),694,99)),FIND(":",TRIM(MID(SUBSTITUTE($V6,";",REPT(" ",99)),694,99)))+1,99)),0) + IFERROR(VLOOKUP(LEFT(TRIM(MID(SUBSTITUTE($V6,";",REPT(" ",99)),793,99)),FIND(":",TRIM(MID(SUBSTITUTE($V6,";",REPT(" ",99)),793,99)))-1),Materiales!$A$2:$E$502,5,FALSE)*VALUE(MID(TRIM(MID(SUBSTITUTE($V6,";",REPT(" ",99)),793,99)),FIND(":",TRIM(MID(SUBSTITUTE($V6,";",REPT(" ",99)),793,99)))+1,99)),0) + IFERROR(VLOOKUP(LEFT(TRIM(MID(SUBSTITUTE($V6,";",REPT(" ",99)),892,99)),FIND(":",TRIM(MID(SUBSTITUTE($V6,";",REPT(" ",99)),892,99)))-1),Materiales!$A$2:$E$502,5,FALSE)*VALUE(MID(TRIM(MID(SUBSTITUTE($V6,";",REPT(" ",99)),892,99)),FIND(":",TRIM(MID(SUBSTITUTE($V6,";",REPT(" ",99)),892,99)))+1,99)),0)))</f>
        <v>0</v>
      </c>
      <c r="X6" s="39">
        <f t="shared" si="3"/>
        <v>1481.166847</v>
      </c>
      <c r="Y6" s="40" t="s">
        <v>195</v>
      </c>
      <c r="Z6" s="41">
        <f t="shared" si="4"/>
        <v>4443.500542</v>
      </c>
      <c r="AA6" s="42">
        <v>0.0</v>
      </c>
      <c r="AB6" s="18">
        <f t="shared" si="5"/>
        <v>4443.500542</v>
      </c>
      <c r="AC6" s="43">
        <v>4000.0</v>
      </c>
      <c r="AD6" s="42">
        <f t="shared" si="6"/>
        <v>2962.333694</v>
      </c>
      <c r="AE6" s="44">
        <f t="shared" si="7"/>
        <v>2518.833153</v>
      </c>
      <c r="AF6" s="45">
        <f t="shared" si="8"/>
        <v>0.8502867714</v>
      </c>
    </row>
    <row r="7">
      <c r="A7" s="17" t="s">
        <v>203</v>
      </c>
      <c r="B7" s="17" t="s">
        <v>16</v>
      </c>
      <c r="C7" s="46">
        <v>1.0</v>
      </c>
      <c r="D7" s="38"/>
      <c r="E7" s="38"/>
      <c r="F7" s="18">
        <v>43.0</v>
      </c>
      <c r="G7" s="5">
        <f t="array" ref="G7">IF($A7="","",IFERROR($F7*(N($C7)*XLOOKUP($B7,Ceras!$A$2:$A$500,Ceras!$G$2:$G$500,0)+IF($D7="",0,N($E7)*XLOOKUP($D7,Ceras!$A$2:$A$500,Ceras!$G$2:$G$500,0))),"Revisar cera"))</f>
        <v>774</v>
      </c>
      <c r="H7" s="5">
        <f t="shared" si="1"/>
        <v>64.5</v>
      </c>
      <c r="I7" s="17" t="s">
        <v>32</v>
      </c>
      <c r="J7" s="18">
        <v>4.0</v>
      </c>
      <c r="K7" s="5">
        <f t="array" ref="K7">IF($A7="","",IFERROR($J7*XLOOKUP($I7,Pabilos!$A$2:$A$500,Pabilos!$H$2:$H$500,0),"Revisar pabilo"))</f>
        <v>72</v>
      </c>
      <c r="L7" s="17" t="s">
        <v>55</v>
      </c>
      <c r="M7" s="14">
        <f>F7*0.1</f>
        <v>4.3</v>
      </c>
      <c r="N7" s="5">
        <f t="array" ref="N7">IF($A7="","",IFERROR($M7*XLOOKUP($L7,Esencias!$A$2:$A$501,Esencias!$G$2:$G$501,0),"Revisar esencia"))</f>
        <v>605.6338028</v>
      </c>
      <c r="O7" s="17" t="s">
        <v>81</v>
      </c>
      <c r="P7" s="18">
        <v>1.0</v>
      </c>
      <c r="Q7" s="5">
        <f t="array" ref="Q7">IF($A7="","",IFERROR(IF($P7="",1,$P7)*XLOOKUP($O7,Colores!$A$2:$A$500,Colores!$H$2:$H$500,0),"Revisar color"))</f>
        <v>92.30769231</v>
      </c>
      <c r="R7" s="3"/>
      <c r="S7" s="5">
        <f t="array" ref="S7">IF($A7="","",IF($R7="",0,IFERROR(VLOOKUP(LEFT(TRIM(MID(SUBSTITUTE($R7,";",REPT(" ",99)),1,99)),FIND(":",TRIM(MID(SUBSTITUTE($R7,";",REPT(" ",99)),1,99)))-1),Materiales!$A$2:$E$502,5,FALSE)*VALUE(MID(TRIM(MID(SUBSTITUTE($R7,";",REPT(" ",99)),1,99)),FIND(":",TRIM(MID(SUBSTITUTE($R7,";",REPT(" ",99)),1,99)))+1,99)),0) + IFERROR(VLOOKUP(LEFT(TRIM(MID(SUBSTITUTE($R7,";",REPT(" ",99)),100,99)),FIND(":",TRIM(MID(SUBSTITUTE($R7,";",REPT(" ",99)),100,99)))-1),Materiales!$A$2:$E$502,5,FALSE)*VALUE(MID(TRIM(MID(SUBSTITUTE($R7,";",REPT(" ",99)),100,99)),FIND(":",TRIM(MID(SUBSTITUTE($R7,";",REPT(" ",99)),100,99)))+1,99)),0) + IFERROR(VLOOKUP(LEFT(TRIM(MID(SUBSTITUTE($R7,";",REPT(" ",99)),199,99)),FIND(":",TRIM(MID(SUBSTITUTE($R7,";",REPT(" ",99)),199,99)))-1),Materiales!$A$2:$E$502,5,FALSE)*VALUE(MID(TRIM(MID(SUBSTITUTE($R7,";",REPT(" ",99)),199,99)),FIND(":",TRIM(MID(SUBSTITUTE($R7,";",REPT(" ",99)),199,99)))+1,99)),0) + IFERROR(VLOOKUP(LEFT(TRIM(MID(SUBSTITUTE($R7,";",REPT(" ",99)),298,99)),FIND(":",TRIM(MID(SUBSTITUTE($R7,";",REPT(" ",99)),298,99)))-1),Materiales!$A$2:$E$502,5,FALSE)*VALUE(MID(TRIM(MID(SUBSTITUTE($R7,";",REPT(" ",99)),298,99)),FIND(":",TRIM(MID(SUBSTITUTE($R7,";",REPT(" ",99)),298,99)))+1,99)),0) + IFERROR(VLOOKUP(LEFT(TRIM(MID(SUBSTITUTE($R7,";",REPT(" ",99)),397,99)),FIND(":",TRIM(MID(SUBSTITUTE($R7,";",REPT(" ",99)),397,99)))-1),Materiales!$A$2:$E$502,5,FALSE)*VALUE(MID(TRIM(MID(SUBSTITUTE($R7,";",REPT(" ",99)),397,99)),FIND(":",TRIM(MID(SUBSTITUTE($R7,";",REPT(" ",99)),397,99)))+1,99)),0) + IFERROR(VLOOKUP(LEFT(TRIM(MID(SUBSTITUTE($R7,";",REPT(" ",99)),496,99)),FIND(":",TRIM(MID(SUBSTITUTE($R7,";",REPT(" ",99)),496,99)))-1),Materiales!$A$2:$E$502,5,FALSE)*VALUE(MID(TRIM(MID(SUBSTITUTE($R7,";",REPT(" ",99)),496,99)),FIND(":",TRIM(MID(SUBSTITUTE($R7,";",REPT(" ",99)),496,99)))+1,99)),0) + IFERROR(VLOOKUP(LEFT(TRIM(MID(SUBSTITUTE($R7,";",REPT(" ",99)),595,99)),FIND(":",TRIM(MID(SUBSTITUTE($R7,";",REPT(" ",99)),595,99)))-1),Materiales!$A$2:$E$502,5,FALSE)*VALUE(MID(TRIM(MID(SUBSTITUTE($R7,";",REPT(" ",99)),595,99)),FIND(":",TRIM(MID(SUBSTITUTE($R7,";",REPT(" ",99)),595,99)))+1,99)),0) + IFERROR(VLOOKUP(LEFT(TRIM(MID(SUBSTITUTE($R7,";",REPT(" ",99)),694,99)),FIND(":",TRIM(MID(SUBSTITUTE($R7,";",REPT(" ",99)),694,99)))-1),Materiales!$A$2:$E$502,5,FALSE)*VALUE(MID(TRIM(MID(SUBSTITUTE($R7,";",REPT(" ",99)),694,99)),FIND(":",TRIM(MID(SUBSTITUTE($R7,";",REPT(" ",99)),694,99)))+1,99)),0) + IFERROR(VLOOKUP(LEFT(TRIM(MID(SUBSTITUTE($R7,";",REPT(" ",99)),793,99)),FIND(":",TRIM(MID(SUBSTITUTE($R7,";",REPT(" ",99)),793,99)))-1),Materiales!$A$2:$E$502,5,FALSE)*VALUE(MID(TRIM(MID(SUBSTITUTE($R7,";",REPT(" ",99)),793,99)),FIND(":",TRIM(MID(SUBSTITUTE($R7,";",REPT(" ",99)),793,99)))+1,99)),0) + IFERROR(VLOOKUP(LEFT(TRIM(MID(SUBSTITUTE($R7,";",REPT(" ",99)),892,99)),FIND(":",TRIM(MID(SUBSTITUTE($R7,";",REPT(" ",99)),892,99)))-1),Materiales!$A$2:$E$502,5,FALSE)*VALUE(MID(TRIM(MID(SUBSTITUTE($R7,";",REPT(" ",99)),892,99)),FIND(":",TRIM(MID(SUBSTITUTE($R7,";",REPT(" ",99)),892,99)))+1,99)),0)))</f>
        <v>0</v>
      </c>
      <c r="T7" s="17"/>
      <c r="U7" s="5">
        <f t="array" ref="U7">IF($A7="","",IF($T7="",0,IFERROR(VLOOKUP(LEFT(TRIM(MID(SUBSTITUTE($T7,";",REPT(" ",99)),1,99)),FIND(":",TRIM(MID(SUBSTITUTE($T7,";",REPT(" ",99)),1,99)))-1),Materiales!$A$2:$E$502,5,FALSE)*VALUE(MID(TRIM(MID(SUBSTITUTE($T7,";",REPT(" ",99)),1,99)),FIND(":",TRIM(MID(SUBSTITUTE($T7,";",REPT(" ",99)),1,99)))+1,99)),0) + IFERROR(VLOOKUP(LEFT(TRIM(MID(SUBSTITUTE($T7,";",REPT(" ",99)),100,99)),FIND(":",TRIM(MID(SUBSTITUTE($T7,";",REPT(" ",99)),100,99)))-1),Materiales!$A$2:$E$502,5,FALSE)*VALUE(MID(TRIM(MID(SUBSTITUTE($T7,";",REPT(" ",99)),100,99)),FIND(":",TRIM(MID(SUBSTITUTE($T7,";",REPT(" ",99)),100,99)))+1,99)),0) + IFERROR(VLOOKUP(LEFT(TRIM(MID(SUBSTITUTE($T7,";",REPT(" ",99)),199,99)),FIND(":",TRIM(MID(SUBSTITUTE($T7,";",REPT(" ",99)),199,99)))-1),Materiales!$A$2:$E$502,5,FALSE)*VALUE(MID(TRIM(MID(SUBSTITUTE($T7,";",REPT(" ",99)),199,99)),FIND(":",TRIM(MID(SUBSTITUTE($T7,";",REPT(" ",99)),199,99)))+1,99)),0) + IFERROR(VLOOKUP(LEFT(TRIM(MID(SUBSTITUTE($T7,";",REPT(" ",99)),298,99)),FIND(":",TRIM(MID(SUBSTITUTE($T7,";",REPT(" ",99)),298,99)))-1),Materiales!$A$2:$E$502,5,FALSE)*VALUE(MID(TRIM(MID(SUBSTITUTE($T7,";",REPT(" ",99)),298,99)),FIND(":",TRIM(MID(SUBSTITUTE($T7,";",REPT(" ",99)),298,99)))+1,99)),0) + IFERROR(VLOOKUP(LEFT(TRIM(MID(SUBSTITUTE($T7,";",REPT(" ",99)),397,99)),FIND(":",TRIM(MID(SUBSTITUTE($T7,";",REPT(" ",99)),397,99)))-1),Materiales!$A$2:$E$502,5,FALSE)*VALUE(MID(TRIM(MID(SUBSTITUTE($T7,";",REPT(" ",99)),397,99)),FIND(":",TRIM(MID(SUBSTITUTE($T7,";",REPT(" ",99)),397,99)))+1,99)),0) + IFERROR(VLOOKUP(LEFT(TRIM(MID(SUBSTITUTE($T7,";",REPT(" ",99)),496,99)),FIND(":",TRIM(MID(SUBSTITUTE($T7,";",REPT(" ",99)),496,99)))-1),Materiales!$A$2:$E$502,5,FALSE)*VALUE(MID(TRIM(MID(SUBSTITUTE($T7,";",REPT(" ",99)),496,99)),FIND(":",TRIM(MID(SUBSTITUTE($T7,";",REPT(" ",99)),496,99)))+1,99)),0) + IFERROR(VLOOKUP(LEFT(TRIM(MID(SUBSTITUTE($T7,";",REPT(" ",99)),595,99)),FIND(":",TRIM(MID(SUBSTITUTE($T7,";",REPT(" ",99)),595,99)))-1),Materiales!$A$2:$E$502,5,FALSE)*VALUE(MID(TRIM(MID(SUBSTITUTE($T7,";",REPT(" ",99)),595,99)),FIND(":",TRIM(MID(SUBSTITUTE($T7,";",REPT(" ",99)),595,99)))+1,99)),0) + IFERROR(VLOOKUP(LEFT(TRIM(MID(SUBSTITUTE($T7,";",REPT(" ",99)),694,99)),FIND(":",TRIM(MID(SUBSTITUTE($T7,";",REPT(" ",99)),694,99)))-1),Materiales!$A$2:$E$502,5,FALSE)*VALUE(MID(TRIM(MID(SUBSTITUTE($T7,";",REPT(" ",99)),694,99)),FIND(":",TRIM(MID(SUBSTITUTE($T7,";",REPT(" ",99)),694,99)))+1,99)),0) + IFERROR(VLOOKUP(LEFT(TRIM(MID(SUBSTITUTE($T7,";",REPT(" ",99)),793,99)),FIND(":",TRIM(MID(SUBSTITUTE($T7,";",REPT(" ",99)),793,99)))-1),Materiales!$A$2:$E$502,5,FALSE)*VALUE(MID(TRIM(MID(SUBSTITUTE($T7,";",REPT(" ",99)),793,99)),FIND(":",TRIM(MID(SUBSTITUTE($T7,";",REPT(" ",99)),793,99)))+1,99)),0) + IFERROR(VLOOKUP(LEFT(TRIM(MID(SUBSTITUTE($T7,";",REPT(" ",99)),892,99)),FIND(":",TRIM(MID(SUBSTITUTE($T7,";",REPT(" ",99)),892,99)))-1),Materiales!$A$2:$E$502,5,FALSE)*VALUE(MID(TRIM(MID(SUBSTITUTE($T7,";",REPT(" ",99)),892,99)),FIND(":",TRIM(MID(SUBSTITUTE($T7,";",REPT(" ",99)),892,99)))+1,99)),0)))</f>
        <v>0</v>
      </c>
      <c r="V7" s="3"/>
      <c r="W7" s="5">
        <f t="array" ref="W7">IF($A7="","",IF($V7="",0,IFERROR(VLOOKUP(LEFT(TRIM(MID(SUBSTITUTE($V7,";",REPT(" ",99)),1,99)),FIND(":",TRIM(MID(SUBSTITUTE($V7,";",REPT(" ",99)),1,99)))-1),Materiales!$A$2:$E$502,5,FALSE)*VALUE(MID(TRIM(MID(SUBSTITUTE($V7,";",REPT(" ",99)),1,99)),FIND(":",TRIM(MID(SUBSTITUTE($V7,";",REPT(" ",99)),1,99)))+1,99)),0) + IFERROR(VLOOKUP(LEFT(TRIM(MID(SUBSTITUTE($V7,";",REPT(" ",99)),100,99)),FIND(":",TRIM(MID(SUBSTITUTE($V7,";",REPT(" ",99)),100,99)))-1),Materiales!$A$2:$E$502,5,FALSE)*VALUE(MID(TRIM(MID(SUBSTITUTE($V7,";",REPT(" ",99)),100,99)),FIND(":",TRIM(MID(SUBSTITUTE($V7,";",REPT(" ",99)),100,99)))+1,99)),0) + IFERROR(VLOOKUP(LEFT(TRIM(MID(SUBSTITUTE($V7,";",REPT(" ",99)),199,99)),FIND(":",TRIM(MID(SUBSTITUTE($V7,";",REPT(" ",99)),199,99)))-1),Materiales!$A$2:$E$502,5,FALSE)*VALUE(MID(TRIM(MID(SUBSTITUTE($V7,";",REPT(" ",99)),199,99)),FIND(":",TRIM(MID(SUBSTITUTE($V7,";",REPT(" ",99)),199,99)))+1,99)),0) + IFERROR(VLOOKUP(LEFT(TRIM(MID(SUBSTITUTE($V7,";",REPT(" ",99)),298,99)),FIND(":",TRIM(MID(SUBSTITUTE($V7,";",REPT(" ",99)),298,99)))-1),Materiales!$A$2:$E$502,5,FALSE)*VALUE(MID(TRIM(MID(SUBSTITUTE($V7,";",REPT(" ",99)),298,99)),FIND(":",TRIM(MID(SUBSTITUTE($V7,";",REPT(" ",99)),298,99)))+1,99)),0) + IFERROR(VLOOKUP(LEFT(TRIM(MID(SUBSTITUTE($V7,";",REPT(" ",99)),397,99)),FIND(":",TRIM(MID(SUBSTITUTE($V7,";",REPT(" ",99)),397,99)))-1),Materiales!$A$2:$E$502,5,FALSE)*VALUE(MID(TRIM(MID(SUBSTITUTE($V7,";",REPT(" ",99)),397,99)),FIND(":",TRIM(MID(SUBSTITUTE($V7,";",REPT(" ",99)),397,99)))+1,99)),0) + IFERROR(VLOOKUP(LEFT(TRIM(MID(SUBSTITUTE($V7,";",REPT(" ",99)),496,99)),FIND(":",TRIM(MID(SUBSTITUTE($V7,";",REPT(" ",99)),496,99)))-1),Materiales!$A$2:$E$502,5,FALSE)*VALUE(MID(TRIM(MID(SUBSTITUTE($V7,";",REPT(" ",99)),496,99)),FIND(":",TRIM(MID(SUBSTITUTE($V7,";",REPT(" ",99)),496,99)))+1,99)),0) + IFERROR(VLOOKUP(LEFT(TRIM(MID(SUBSTITUTE($V7,";",REPT(" ",99)),595,99)),FIND(":",TRIM(MID(SUBSTITUTE($V7,";",REPT(" ",99)),595,99)))-1),Materiales!$A$2:$E$502,5,FALSE)*VALUE(MID(TRIM(MID(SUBSTITUTE($V7,";",REPT(" ",99)),595,99)),FIND(":",TRIM(MID(SUBSTITUTE($V7,";",REPT(" ",99)),595,99)))+1,99)),0) + IFERROR(VLOOKUP(LEFT(TRIM(MID(SUBSTITUTE($V7,";",REPT(" ",99)),694,99)),FIND(":",TRIM(MID(SUBSTITUTE($V7,";",REPT(" ",99)),694,99)))-1),Materiales!$A$2:$E$502,5,FALSE)*VALUE(MID(TRIM(MID(SUBSTITUTE($V7,";",REPT(" ",99)),694,99)),FIND(":",TRIM(MID(SUBSTITUTE($V7,";",REPT(" ",99)),694,99)))+1,99)),0) + IFERROR(VLOOKUP(LEFT(TRIM(MID(SUBSTITUTE($V7,";",REPT(" ",99)),793,99)),FIND(":",TRIM(MID(SUBSTITUTE($V7,";",REPT(" ",99)),793,99)))-1),Materiales!$A$2:$E$502,5,FALSE)*VALUE(MID(TRIM(MID(SUBSTITUTE($V7,";",REPT(" ",99)),793,99)),FIND(":",TRIM(MID(SUBSTITUTE($V7,";",REPT(" ",99)),793,99)))+1,99)),0) + IFERROR(VLOOKUP(LEFT(TRIM(MID(SUBSTITUTE($V7,";",REPT(" ",99)),892,99)),FIND(":",TRIM(MID(SUBSTITUTE($V7,";",REPT(" ",99)),892,99)))-1),Materiales!$A$2:$E$502,5,FALSE)*VALUE(MID(TRIM(MID(SUBSTITUTE($V7,";",REPT(" ",99)),892,99)),FIND(":",TRIM(MID(SUBSTITUTE($V7,";",REPT(" ",99)),892,99)))+1,99)),0)))</f>
        <v>0</v>
      </c>
      <c r="X7" s="39">
        <f t="shared" si="3"/>
        <v>1608.441495</v>
      </c>
      <c r="Y7" s="40" t="s">
        <v>195</v>
      </c>
      <c r="Z7" s="41">
        <f t="shared" si="4"/>
        <v>4825.324485</v>
      </c>
      <c r="AA7" s="42">
        <v>0.0</v>
      </c>
      <c r="AB7" s="18">
        <f t="shared" si="5"/>
        <v>4825.324485</v>
      </c>
      <c r="AC7" s="43">
        <v>4500.0</v>
      </c>
      <c r="AD7" s="42">
        <f t="shared" si="6"/>
        <v>3216.88299</v>
      </c>
      <c r="AE7" s="44">
        <f t="shared" si="7"/>
        <v>2891.558505</v>
      </c>
      <c r="AF7" s="45">
        <f t="shared" si="8"/>
        <v>0.8988696554</v>
      </c>
    </row>
    <row r="8">
      <c r="A8" s="17" t="s">
        <v>204</v>
      </c>
      <c r="B8" s="17" t="s">
        <v>16</v>
      </c>
      <c r="C8" s="46">
        <v>1.0</v>
      </c>
      <c r="D8" s="38"/>
      <c r="E8" s="38"/>
      <c r="F8" s="18">
        <v>142.0</v>
      </c>
      <c r="G8" s="5">
        <f t="array" ref="G8">IF($A8="","",IFERROR($F8*(N($C8)*XLOOKUP($B8,Ceras!$A$2:$A$500,Ceras!$G$2:$G$500,0)+IF($D8="",0,N($E8)*XLOOKUP($D8,Ceras!$A$2:$A$500,Ceras!$G$2:$G$500,0))),"Revisar cera"))</f>
        <v>2556</v>
      </c>
      <c r="H8" s="5">
        <f t="shared" si="1"/>
        <v>213</v>
      </c>
      <c r="I8" s="17" t="s">
        <v>34</v>
      </c>
      <c r="J8" s="18">
        <v>7.0</v>
      </c>
      <c r="K8" s="5">
        <f t="array" ref="K8">IF($A8="","",IFERROR($J8*XLOOKUP($I8,Pabilos!$A$2:$A$500,Pabilos!$H$2:$H$500,0),"Revisar pabilo"))</f>
        <v>140</v>
      </c>
      <c r="L8" s="17" t="s">
        <v>55</v>
      </c>
      <c r="M8" s="14">
        <f>F8*0.08</f>
        <v>11.36</v>
      </c>
      <c r="N8" s="5">
        <f t="array" ref="N8">IF($A8="","",IFERROR($M8*XLOOKUP($L8,Esencias!$A$2:$A$501,Esencias!$G$2:$G$501,0),"Revisar esencia"))</f>
        <v>1600</v>
      </c>
      <c r="O8" s="17" t="s">
        <v>83</v>
      </c>
      <c r="P8" s="18">
        <v>1.0</v>
      </c>
      <c r="Q8" s="5">
        <f t="array" ref="Q8">IF($A8="","",IFERROR(IF($P8="",1,$P8)*XLOOKUP($O8,Colores!$A$2:$A$500,Colores!$H$2:$H$500,0),"Revisar color"))</f>
        <v>92.30769231</v>
      </c>
      <c r="R8" s="3"/>
      <c r="S8" s="5">
        <f t="array" ref="S8">IF($A8="","",IF($R8="",0,IFERROR(VLOOKUP(LEFT(TRIM(MID(SUBSTITUTE($R8,";",REPT(" ",99)),1,99)),FIND(":",TRIM(MID(SUBSTITUTE($R8,";",REPT(" ",99)),1,99)))-1),Materiales!$A$2:$E$502,5,FALSE)*VALUE(MID(TRIM(MID(SUBSTITUTE($R8,";",REPT(" ",99)),1,99)),FIND(":",TRIM(MID(SUBSTITUTE($R8,";",REPT(" ",99)),1,99)))+1,99)),0) + IFERROR(VLOOKUP(LEFT(TRIM(MID(SUBSTITUTE($R8,";",REPT(" ",99)),100,99)),FIND(":",TRIM(MID(SUBSTITUTE($R8,";",REPT(" ",99)),100,99)))-1),Materiales!$A$2:$E$502,5,FALSE)*VALUE(MID(TRIM(MID(SUBSTITUTE($R8,";",REPT(" ",99)),100,99)),FIND(":",TRIM(MID(SUBSTITUTE($R8,";",REPT(" ",99)),100,99)))+1,99)),0) + IFERROR(VLOOKUP(LEFT(TRIM(MID(SUBSTITUTE($R8,";",REPT(" ",99)),199,99)),FIND(":",TRIM(MID(SUBSTITUTE($R8,";",REPT(" ",99)),199,99)))-1),Materiales!$A$2:$E$502,5,FALSE)*VALUE(MID(TRIM(MID(SUBSTITUTE($R8,";",REPT(" ",99)),199,99)),FIND(":",TRIM(MID(SUBSTITUTE($R8,";",REPT(" ",99)),199,99)))+1,99)),0) + IFERROR(VLOOKUP(LEFT(TRIM(MID(SUBSTITUTE($R8,";",REPT(" ",99)),298,99)),FIND(":",TRIM(MID(SUBSTITUTE($R8,";",REPT(" ",99)),298,99)))-1),Materiales!$A$2:$E$502,5,FALSE)*VALUE(MID(TRIM(MID(SUBSTITUTE($R8,";",REPT(" ",99)),298,99)),FIND(":",TRIM(MID(SUBSTITUTE($R8,";",REPT(" ",99)),298,99)))+1,99)),0) + IFERROR(VLOOKUP(LEFT(TRIM(MID(SUBSTITUTE($R8,";",REPT(" ",99)),397,99)),FIND(":",TRIM(MID(SUBSTITUTE($R8,";",REPT(" ",99)),397,99)))-1),Materiales!$A$2:$E$502,5,FALSE)*VALUE(MID(TRIM(MID(SUBSTITUTE($R8,";",REPT(" ",99)),397,99)),FIND(":",TRIM(MID(SUBSTITUTE($R8,";",REPT(" ",99)),397,99)))+1,99)),0) + IFERROR(VLOOKUP(LEFT(TRIM(MID(SUBSTITUTE($R8,";",REPT(" ",99)),496,99)),FIND(":",TRIM(MID(SUBSTITUTE($R8,";",REPT(" ",99)),496,99)))-1),Materiales!$A$2:$E$502,5,FALSE)*VALUE(MID(TRIM(MID(SUBSTITUTE($R8,";",REPT(" ",99)),496,99)),FIND(":",TRIM(MID(SUBSTITUTE($R8,";",REPT(" ",99)),496,99)))+1,99)),0) + IFERROR(VLOOKUP(LEFT(TRIM(MID(SUBSTITUTE($R8,";",REPT(" ",99)),595,99)),FIND(":",TRIM(MID(SUBSTITUTE($R8,";",REPT(" ",99)),595,99)))-1),Materiales!$A$2:$E$502,5,FALSE)*VALUE(MID(TRIM(MID(SUBSTITUTE($R8,";",REPT(" ",99)),595,99)),FIND(":",TRIM(MID(SUBSTITUTE($R8,";",REPT(" ",99)),595,99)))+1,99)),0) + IFERROR(VLOOKUP(LEFT(TRIM(MID(SUBSTITUTE($R8,";",REPT(" ",99)),694,99)),FIND(":",TRIM(MID(SUBSTITUTE($R8,";",REPT(" ",99)),694,99)))-1),Materiales!$A$2:$E$502,5,FALSE)*VALUE(MID(TRIM(MID(SUBSTITUTE($R8,";",REPT(" ",99)),694,99)),FIND(":",TRIM(MID(SUBSTITUTE($R8,";",REPT(" ",99)),694,99)))+1,99)),0) + IFERROR(VLOOKUP(LEFT(TRIM(MID(SUBSTITUTE($R8,";",REPT(" ",99)),793,99)),FIND(":",TRIM(MID(SUBSTITUTE($R8,";",REPT(" ",99)),793,99)))-1),Materiales!$A$2:$E$502,5,FALSE)*VALUE(MID(TRIM(MID(SUBSTITUTE($R8,";",REPT(" ",99)),793,99)),FIND(":",TRIM(MID(SUBSTITUTE($R8,";",REPT(" ",99)),793,99)))+1,99)),0) + IFERROR(VLOOKUP(LEFT(TRIM(MID(SUBSTITUTE($R8,";",REPT(" ",99)),892,99)),FIND(":",TRIM(MID(SUBSTITUTE($R8,";",REPT(" ",99)),892,99)))-1),Materiales!$A$2:$E$502,5,FALSE)*VALUE(MID(TRIM(MID(SUBSTITUTE($R8,";",REPT(" ",99)),892,99)),FIND(":",TRIM(MID(SUBSTITUTE($R8,";",REPT(" ",99)),892,99)))+1,99)),0)))</f>
        <v>0</v>
      </c>
      <c r="T8" s="3"/>
      <c r="U8" s="5">
        <f t="array" ref="U8">IF($A8="","",IF($T8="",0,IFERROR(VLOOKUP(LEFT(TRIM(MID(SUBSTITUTE($T8,";",REPT(" ",99)),1,99)),FIND(":",TRIM(MID(SUBSTITUTE($T8,";",REPT(" ",99)),1,99)))-1),Materiales!$A$2:$E$502,5,FALSE)*VALUE(MID(TRIM(MID(SUBSTITUTE($T8,";",REPT(" ",99)),1,99)),FIND(":",TRIM(MID(SUBSTITUTE($T8,";",REPT(" ",99)),1,99)))+1,99)),0) + IFERROR(VLOOKUP(LEFT(TRIM(MID(SUBSTITUTE($T8,";",REPT(" ",99)),100,99)),FIND(":",TRIM(MID(SUBSTITUTE($T8,";",REPT(" ",99)),100,99)))-1),Materiales!$A$2:$E$502,5,FALSE)*VALUE(MID(TRIM(MID(SUBSTITUTE($T8,";",REPT(" ",99)),100,99)),FIND(":",TRIM(MID(SUBSTITUTE($T8,";",REPT(" ",99)),100,99)))+1,99)),0) + IFERROR(VLOOKUP(LEFT(TRIM(MID(SUBSTITUTE($T8,";",REPT(" ",99)),199,99)),FIND(":",TRIM(MID(SUBSTITUTE($T8,";",REPT(" ",99)),199,99)))-1),Materiales!$A$2:$E$502,5,FALSE)*VALUE(MID(TRIM(MID(SUBSTITUTE($T8,";",REPT(" ",99)),199,99)),FIND(":",TRIM(MID(SUBSTITUTE($T8,";",REPT(" ",99)),199,99)))+1,99)),0) + IFERROR(VLOOKUP(LEFT(TRIM(MID(SUBSTITUTE($T8,";",REPT(" ",99)),298,99)),FIND(":",TRIM(MID(SUBSTITUTE($T8,";",REPT(" ",99)),298,99)))-1),Materiales!$A$2:$E$502,5,FALSE)*VALUE(MID(TRIM(MID(SUBSTITUTE($T8,";",REPT(" ",99)),298,99)),FIND(":",TRIM(MID(SUBSTITUTE($T8,";",REPT(" ",99)),298,99)))+1,99)),0) + IFERROR(VLOOKUP(LEFT(TRIM(MID(SUBSTITUTE($T8,";",REPT(" ",99)),397,99)),FIND(":",TRIM(MID(SUBSTITUTE($T8,";",REPT(" ",99)),397,99)))-1),Materiales!$A$2:$E$502,5,FALSE)*VALUE(MID(TRIM(MID(SUBSTITUTE($T8,";",REPT(" ",99)),397,99)),FIND(":",TRIM(MID(SUBSTITUTE($T8,";",REPT(" ",99)),397,99)))+1,99)),0) + IFERROR(VLOOKUP(LEFT(TRIM(MID(SUBSTITUTE($T8,";",REPT(" ",99)),496,99)),FIND(":",TRIM(MID(SUBSTITUTE($T8,";",REPT(" ",99)),496,99)))-1),Materiales!$A$2:$E$502,5,FALSE)*VALUE(MID(TRIM(MID(SUBSTITUTE($T8,";",REPT(" ",99)),496,99)),FIND(":",TRIM(MID(SUBSTITUTE($T8,";",REPT(" ",99)),496,99)))+1,99)),0) + IFERROR(VLOOKUP(LEFT(TRIM(MID(SUBSTITUTE($T8,";",REPT(" ",99)),595,99)),FIND(":",TRIM(MID(SUBSTITUTE($T8,";",REPT(" ",99)),595,99)))-1),Materiales!$A$2:$E$502,5,FALSE)*VALUE(MID(TRIM(MID(SUBSTITUTE($T8,";",REPT(" ",99)),595,99)),FIND(":",TRIM(MID(SUBSTITUTE($T8,";",REPT(" ",99)),595,99)))+1,99)),0) + IFERROR(VLOOKUP(LEFT(TRIM(MID(SUBSTITUTE($T8,";",REPT(" ",99)),694,99)),FIND(":",TRIM(MID(SUBSTITUTE($T8,";",REPT(" ",99)),694,99)))-1),Materiales!$A$2:$E$502,5,FALSE)*VALUE(MID(TRIM(MID(SUBSTITUTE($T8,";",REPT(" ",99)),694,99)),FIND(":",TRIM(MID(SUBSTITUTE($T8,";",REPT(" ",99)),694,99)))+1,99)),0) + IFERROR(VLOOKUP(LEFT(TRIM(MID(SUBSTITUTE($T8,";",REPT(" ",99)),793,99)),FIND(":",TRIM(MID(SUBSTITUTE($T8,";",REPT(" ",99)),793,99)))-1),Materiales!$A$2:$E$502,5,FALSE)*VALUE(MID(TRIM(MID(SUBSTITUTE($T8,";",REPT(" ",99)),793,99)),FIND(":",TRIM(MID(SUBSTITUTE($T8,";",REPT(" ",99)),793,99)))+1,99)),0) + IFERROR(VLOOKUP(LEFT(TRIM(MID(SUBSTITUTE($T8,";",REPT(" ",99)),892,99)),FIND(":",TRIM(MID(SUBSTITUTE($T8,";",REPT(" ",99)),892,99)))-1),Materiales!$A$2:$E$502,5,FALSE)*VALUE(MID(TRIM(MID(SUBSTITUTE($T8,";",REPT(" ",99)),892,99)),FIND(":",TRIM(MID(SUBSTITUTE($T8,";",REPT(" ",99)),892,99)))+1,99)),0)))</f>
        <v>0</v>
      </c>
      <c r="V8" s="17" t="s">
        <v>205</v>
      </c>
      <c r="W8" s="5">
        <f t="array" ref="W8">IF($A8="","",IF($V8="",0,IFERROR(VLOOKUP(LEFT(TRIM(MID(SUBSTITUTE($V8,";",REPT(" ",99)),1,99)),FIND(":",TRIM(MID(SUBSTITUTE($V8,";",REPT(" ",99)),1,99)))-1),Materiales!$A$2:$E$502,5,FALSE)*VALUE(MID(TRIM(MID(SUBSTITUTE($V8,";",REPT(" ",99)),1,99)),FIND(":",TRIM(MID(SUBSTITUTE($V8,";",REPT(" ",99)),1,99)))+1,99)),0) + IFERROR(VLOOKUP(LEFT(TRIM(MID(SUBSTITUTE($V8,";",REPT(" ",99)),100,99)),FIND(":",TRIM(MID(SUBSTITUTE($V8,";",REPT(" ",99)),100,99)))-1),Materiales!$A$2:$E$502,5,FALSE)*VALUE(MID(TRIM(MID(SUBSTITUTE($V8,";",REPT(" ",99)),100,99)),FIND(":",TRIM(MID(SUBSTITUTE($V8,";",REPT(" ",99)),100,99)))+1,99)),0) + IFERROR(VLOOKUP(LEFT(TRIM(MID(SUBSTITUTE($V8,";",REPT(" ",99)),199,99)),FIND(":",TRIM(MID(SUBSTITUTE($V8,";",REPT(" ",99)),199,99)))-1),Materiales!$A$2:$E$502,5,FALSE)*VALUE(MID(TRIM(MID(SUBSTITUTE($V8,";",REPT(" ",99)),199,99)),FIND(":",TRIM(MID(SUBSTITUTE($V8,";",REPT(" ",99)),199,99)))+1,99)),0) + IFERROR(VLOOKUP(LEFT(TRIM(MID(SUBSTITUTE($V8,";",REPT(" ",99)),298,99)),FIND(":",TRIM(MID(SUBSTITUTE($V8,";",REPT(" ",99)),298,99)))-1),Materiales!$A$2:$E$502,5,FALSE)*VALUE(MID(TRIM(MID(SUBSTITUTE($V8,";",REPT(" ",99)),298,99)),FIND(":",TRIM(MID(SUBSTITUTE($V8,";",REPT(" ",99)),298,99)))+1,99)),0) + IFERROR(VLOOKUP(LEFT(TRIM(MID(SUBSTITUTE($V8,";",REPT(" ",99)),397,99)),FIND(":",TRIM(MID(SUBSTITUTE($V8,";",REPT(" ",99)),397,99)))-1),Materiales!$A$2:$E$502,5,FALSE)*VALUE(MID(TRIM(MID(SUBSTITUTE($V8,";",REPT(" ",99)),397,99)),FIND(":",TRIM(MID(SUBSTITUTE($V8,";",REPT(" ",99)),397,99)))+1,99)),0) + IFERROR(VLOOKUP(LEFT(TRIM(MID(SUBSTITUTE($V8,";",REPT(" ",99)),496,99)),FIND(":",TRIM(MID(SUBSTITUTE($V8,";",REPT(" ",99)),496,99)))-1),Materiales!$A$2:$E$502,5,FALSE)*VALUE(MID(TRIM(MID(SUBSTITUTE($V8,";",REPT(" ",99)),496,99)),FIND(":",TRIM(MID(SUBSTITUTE($V8,";",REPT(" ",99)),496,99)))+1,99)),0) + IFERROR(VLOOKUP(LEFT(TRIM(MID(SUBSTITUTE($V8,";",REPT(" ",99)),595,99)),FIND(":",TRIM(MID(SUBSTITUTE($V8,";",REPT(" ",99)),595,99)))-1),Materiales!$A$2:$E$502,5,FALSE)*VALUE(MID(TRIM(MID(SUBSTITUTE($V8,";",REPT(" ",99)),595,99)),FIND(":",TRIM(MID(SUBSTITUTE($V8,";",REPT(" ",99)),595,99)))+1,99)),0) + IFERROR(VLOOKUP(LEFT(TRIM(MID(SUBSTITUTE($V8,";",REPT(" ",99)),694,99)),FIND(":",TRIM(MID(SUBSTITUTE($V8,";",REPT(" ",99)),694,99)))-1),Materiales!$A$2:$E$502,5,FALSE)*VALUE(MID(TRIM(MID(SUBSTITUTE($V8,";",REPT(" ",99)),694,99)),FIND(":",TRIM(MID(SUBSTITUTE($V8,";",REPT(" ",99)),694,99)))+1,99)),0) + IFERROR(VLOOKUP(LEFT(TRIM(MID(SUBSTITUTE($V8,";",REPT(" ",99)),793,99)),FIND(":",TRIM(MID(SUBSTITUTE($V8,";",REPT(" ",99)),793,99)))-1),Materiales!$A$2:$E$502,5,FALSE)*VALUE(MID(TRIM(MID(SUBSTITUTE($V8,";",REPT(" ",99)),793,99)),FIND(":",TRIM(MID(SUBSTITUTE($V8,";",REPT(" ",99)),793,99)))+1,99)),0) + IFERROR(VLOOKUP(LEFT(TRIM(MID(SUBSTITUTE($V8,";",REPT(" ",99)),892,99)),FIND(":",TRIM(MID(SUBSTITUTE($V8,";",REPT(" ",99)),892,99)))-1),Materiales!$A$2:$E$502,5,FALSE)*VALUE(MID(TRIM(MID(SUBSTITUTE($V8,";",REPT(" ",99)),892,99)),FIND(":",TRIM(MID(SUBSTITUTE($V8,";",REPT(" ",99)),892,99)))+1,99)),0)))</f>
        <v>100</v>
      </c>
      <c r="X8" s="39">
        <f t="shared" si="3"/>
        <v>4701.307692</v>
      </c>
      <c r="Y8" s="40" t="s">
        <v>195</v>
      </c>
      <c r="Z8" s="41">
        <f t="shared" si="4"/>
        <v>14103.92308</v>
      </c>
      <c r="AA8" s="42">
        <v>0.0</v>
      </c>
      <c r="AB8" s="18">
        <f t="shared" si="5"/>
        <v>14103.92308</v>
      </c>
      <c r="AC8" s="43">
        <v>14000.0</v>
      </c>
      <c r="AD8" s="42">
        <f t="shared" si="6"/>
        <v>9402.615385</v>
      </c>
      <c r="AE8" s="44">
        <f t="shared" si="7"/>
        <v>9298.692308</v>
      </c>
      <c r="AF8" s="45">
        <f t="shared" si="8"/>
        <v>0.9889474287</v>
      </c>
    </row>
    <row r="9">
      <c r="A9" s="17" t="s">
        <v>206</v>
      </c>
      <c r="B9" s="17" t="s">
        <v>16</v>
      </c>
      <c r="C9" s="46">
        <v>1.0</v>
      </c>
      <c r="D9" s="38"/>
      <c r="E9" s="38"/>
      <c r="F9" s="18">
        <v>81.0</v>
      </c>
      <c r="G9" s="5">
        <f t="array" ref="G9">IF($A9="","",IFERROR($F9*(N($C9)*XLOOKUP($B9,Ceras!$A$2:$A$500,Ceras!$G$2:$G$500,0)+IF($D9="",0,N($E9)*XLOOKUP($D9,Ceras!$A$2:$A$500,Ceras!$G$2:$G$500,0))),"Revisar cera"))</f>
        <v>1458</v>
      </c>
      <c r="H9" s="5">
        <f t="shared" si="1"/>
        <v>121.5</v>
      </c>
      <c r="I9" s="17" t="s">
        <v>32</v>
      </c>
      <c r="J9" s="18">
        <v>13.0</v>
      </c>
      <c r="K9" s="5">
        <f t="array" ref="K9">IF($A9="","",IFERROR($J9*XLOOKUP($I9,Pabilos!$A$2:$A$500,Pabilos!$H$2:$H$500,0),"Revisar pabilo"))</f>
        <v>234</v>
      </c>
      <c r="L9" s="17" t="s">
        <v>55</v>
      </c>
      <c r="M9" s="14">
        <f t="shared" ref="M9:M20" si="10">F9/10</f>
        <v>8.1</v>
      </c>
      <c r="N9" s="5">
        <f t="array" ref="N9">IF($A9="","",IFERROR($M9*XLOOKUP($L9,Esencias!$A$2:$A$501,Esencias!$G$2:$G$501,0),"Revisar esencia"))</f>
        <v>1140.84507</v>
      </c>
      <c r="O9" s="17" t="s">
        <v>81</v>
      </c>
      <c r="P9" s="18">
        <v>1.0</v>
      </c>
      <c r="Q9" s="5">
        <f t="array" ref="Q9">IF($A9="","",IFERROR(IF($P9="",1,$P9)*XLOOKUP($O9,Colores!$A$2:$A$500,Colores!$H$2:$H$500,0),"Revisar color"))</f>
        <v>92.30769231</v>
      </c>
      <c r="R9" s="3"/>
      <c r="S9" s="5">
        <f t="array" ref="S9">IF($A9="","",IF($R9="",0,IFERROR(VLOOKUP(LEFT(TRIM(MID(SUBSTITUTE($R9,";",REPT(" ",99)),1,99)),FIND(":",TRIM(MID(SUBSTITUTE($R9,";",REPT(" ",99)),1,99)))-1),Materiales!$A$2:$E$502,5,FALSE)*VALUE(MID(TRIM(MID(SUBSTITUTE($R9,";",REPT(" ",99)),1,99)),FIND(":",TRIM(MID(SUBSTITUTE($R9,";",REPT(" ",99)),1,99)))+1,99)),0) + IFERROR(VLOOKUP(LEFT(TRIM(MID(SUBSTITUTE($R9,";",REPT(" ",99)),100,99)),FIND(":",TRIM(MID(SUBSTITUTE($R9,";",REPT(" ",99)),100,99)))-1),Materiales!$A$2:$E$502,5,FALSE)*VALUE(MID(TRIM(MID(SUBSTITUTE($R9,";",REPT(" ",99)),100,99)),FIND(":",TRIM(MID(SUBSTITUTE($R9,";",REPT(" ",99)),100,99)))+1,99)),0) + IFERROR(VLOOKUP(LEFT(TRIM(MID(SUBSTITUTE($R9,";",REPT(" ",99)),199,99)),FIND(":",TRIM(MID(SUBSTITUTE($R9,";",REPT(" ",99)),199,99)))-1),Materiales!$A$2:$E$502,5,FALSE)*VALUE(MID(TRIM(MID(SUBSTITUTE($R9,";",REPT(" ",99)),199,99)),FIND(":",TRIM(MID(SUBSTITUTE($R9,";",REPT(" ",99)),199,99)))+1,99)),0) + IFERROR(VLOOKUP(LEFT(TRIM(MID(SUBSTITUTE($R9,";",REPT(" ",99)),298,99)),FIND(":",TRIM(MID(SUBSTITUTE($R9,";",REPT(" ",99)),298,99)))-1),Materiales!$A$2:$E$502,5,FALSE)*VALUE(MID(TRIM(MID(SUBSTITUTE($R9,";",REPT(" ",99)),298,99)),FIND(":",TRIM(MID(SUBSTITUTE($R9,";",REPT(" ",99)),298,99)))+1,99)),0) + IFERROR(VLOOKUP(LEFT(TRIM(MID(SUBSTITUTE($R9,";",REPT(" ",99)),397,99)),FIND(":",TRIM(MID(SUBSTITUTE($R9,";",REPT(" ",99)),397,99)))-1),Materiales!$A$2:$E$502,5,FALSE)*VALUE(MID(TRIM(MID(SUBSTITUTE($R9,";",REPT(" ",99)),397,99)),FIND(":",TRIM(MID(SUBSTITUTE($R9,";",REPT(" ",99)),397,99)))+1,99)),0) + IFERROR(VLOOKUP(LEFT(TRIM(MID(SUBSTITUTE($R9,";",REPT(" ",99)),496,99)),FIND(":",TRIM(MID(SUBSTITUTE($R9,";",REPT(" ",99)),496,99)))-1),Materiales!$A$2:$E$502,5,FALSE)*VALUE(MID(TRIM(MID(SUBSTITUTE($R9,";",REPT(" ",99)),496,99)),FIND(":",TRIM(MID(SUBSTITUTE($R9,";",REPT(" ",99)),496,99)))+1,99)),0) + IFERROR(VLOOKUP(LEFT(TRIM(MID(SUBSTITUTE($R9,";",REPT(" ",99)),595,99)),FIND(":",TRIM(MID(SUBSTITUTE($R9,";",REPT(" ",99)),595,99)))-1),Materiales!$A$2:$E$502,5,FALSE)*VALUE(MID(TRIM(MID(SUBSTITUTE($R9,";",REPT(" ",99)),595,99)),FIND(":",TRIM(MID(SUBSTITUTE($R9,";",REPT(" ",99)),595,99)))+1,99)),0) + IFERROR(VLOOKUP(LEFT(TRIM(MID(SUBSTITUTE($R9,";",REPT(" ",99)),694,99)),FIND(":",TRIM(MID(SUBSTITUTE($R9,";",REPT(" ",99)),694,99)))-1),Materiales!$A$2:$E$502,5,FALSE)*VALUE(MID(TRIM(MID(SUBSTITUTE($R9,";",REPT(" ",99)),694,99)),FIND(":",TRIM(MID(SUBSTITUTE($R9,";",REPT(" ",99)),694,99)))+1,99)),0) + IFERROR(VLOOKUP(LEFT(TRIM(MID(SUBSTITUTE($R9,";",REPT(" ",99)),793,99)),FIND(":",TRIM(MID(SUBSTITUTE($R9,";",REPT(" ",99)),793,99)))-1),Materiales!$A$2:$E$502,5,FALSE)*VALUE(MID(TRIM(MID(SUBSTITUTE($R9,";",REPT(" ",99)),793,99)),FIND(":",TRIM(MID(SUBSTITUTE($R9,";",REPT(" ",99)),793,99)))+1,99)),0) + IFERROR(VLOOKUP(LEFT(TRIM(MID(SUBSTITUTE($R9,";",REPT(" ",99)),892,99)),FIND(":",TRIM(MID(SUBSTITUTE($R9,";",REPT(" ",99)),892,99)))-1),Materiales!$A$2:$E$502,5,FALSE)*VALUE(MID(TRIM(MID(SUBSTITUTE($R9,";",REPT(" ",99)),892,99)),FIND(":",TRIM(MID(SUBSTITUTE($R9,";",REPT(" ",99)),892,99)))+1,99)),0)))</f>
        <v>0</v>
      </c>
      <c r="T9" s="3"/>
      <c r="U9" s="5">
        <f t="array" ref="U9">IF($A9="","",IF($T9="",0,IFERROR(VLOOKUP(LEFT(TRIM(MID(SUBSTITUTE($T9,";",REPT(" ",99)),1,99)),FIND(":",TRIM(MID(SUBSTITUTE($T9,";",REPT(" ",99)),1,99)))-1),Materiales!$A$2:$E$502,5,FALSE)*VALUE(MID(TRIM(MID(SUBSTITUTE($T9,";",REPT(" ",99)),1,99)),FIND(":",TRIM(MID(SUBSTITUTE($T9,";",REPT(" ",99)),1,99)))+1,99)),0) + IFERROR(VLOOKUP(LEFT(TRIM(MID(SUBSTITUTE($T9,";",REPT(" ",99)),100,99)),FIND(":",TRIM(MID(SUBSTITUTE($T9,";",REPT(" ",99)),100,99)))-1),Materiales!$A$2:$E$502,5,FALSE)*VALUE(MID(TRIM(MID(SUBSTITUTE($T9,";",REPT(" ",99)),100,99)),FIND(":",TRIM(MID(SUBSTITUTE($T9,";",REPT(" ",99)),100,99)))+1,99)),0) + IFERROR(VLOOKUP(LEFT(TRIM(MID(SUBSTITUTE($T9,";",REPT(" ",99)),199,99)),FIND(":",TRIM(MID(SUBSTITUTE($T9,";",REPT(" ",99)),199,99)))-1),Materiales!$A$2:$E$502,5,FALSE)*VALUE(MID(TRIM(MID(SUBSTITUTE($T9,";",REPT(" ",99)),199,99)),FIND(":",TRIM(MID(SUBSTITUTE($T9,";",REPT(" ",99)),199,99)))+1,99)),0) + IFERROR(VLOOKUP(LEFT(TRIM(MID(SUBSTITUTE($T9,";",REPT(" ",99)),298,99)),FIND(":",TRIM(MID(SUBSTITUTE($T9,";",REPT(" ",99)),298,99)))-1),Materiales!$A$2:$E$502,5,FALSE)*VALUE(MID(TRIM(MID(SUBSTITUTE($T9,";",REPT(" ",99)),298,99)),FIND(":",TRIM(MID(SUBSTITUTE($T9,";",REPT(" ",99)),298,99)))+1,99)),0) + IFERROR(VLOOKUP(LEFT(TRIM(MID(SUBSTITUTE($T9,";",REPT(" ",99)),397,99)),FIND(":",TRIM(MID(SUBSTITUTE($T9,";",REPT(" ",99)),397,99)))-1),Materiales!$A$2:$E$502,5,FALSE)*VALUE(MID(TRIM(MID(SUBSTITUTE($T9,";",REPT(" ",99)),397,99)),FIND(":",TRIM(MID(SUBSTITUTE($T9,";",REPT(" ",99)),397,99)))+1,99)),0) + IFERROR(VLOOKUP(LEFT(TRIM(MID(SUBSTITUTE($T9,";",REPT(" ",99)),496,99)),FIND(":",TRIM(MID(SUBSTITUTE($T9,";",REPT(" ",99)),496,99)))-1),Materiales!$A$2:$E$502,5,FALSE)*VALUE(MID(TRIM(MID(SUBSTITUTE($T9,";",REPT(" ",99)),496,99)),FIND(":",TRIM(MID(SUBSTITUTE($T9,";",REPT(" ",99)),496,99)))+1,99)),0) + IFERROR(VLOOKUP(LEFT(TRIM(MID(SUBSTITUTE($T9,";",REPT(" ",99)),595,99)),FIND(":",TRIM(MID(SUBSTITUTE($T9,";",REPT(" ",99)),595,99)))-1),Materiales!$A$2:$E$502,5,FALSE)*VALUE(MID(TRIM(MID(SUBSTITUTE($T9,";",REPT(" ",99)),595,99)),FIND(":",TRIM(MID(SUBSTITUTE($T9,";",REPT(" ",99)),595,99)))+1,99)),0) + IFERROR(VLOOKUP(LEFT(TRIM(MID(SUBSTITUTE($T9,";",REPT(" ",99)),694,99)),FIND(":",TRIM(MID(SUBSTITUTE($T9,";",REPT(" ",99)),694,99)))-1),Materiales!$A$2:$E$502,5,FALSE)*VALUE(MID(TRIM(MID(SUBSTITUTE($T9,";",REPT(" ",99)),694,99)),FIND(":",TRIM(MID(SUBSTITUTE($T9,";",REPT(" ",99)),694,99)))+1,99)),0) + IFERROR(VLOOKUP(LEFT(TRIM(MID(SUBSTITUTE($T9,";",REPT(" ",99)),793,99)),FIND(":",TRIM(MID(SUBSTITUTE($T9,";",REPT(" ",99)),793,99)))-1),Materiales!$A$2:$E$502,5,FALSE)*VALUE(MID(TRIM(MID(SUBSTITUTE($T9,";",REPT(" ",99)),793,99)),FIND(":",TRIM(MID(SUBSTITUTE($T9,";",REPT(" ",99)),793,99)))+1,99)),0) + IFERROR(VLOOKUP(LEFT(TRIM(MID(SUBSTITUTE($T9,";",REPT(" ",99)),892,99)),FIND(":",TRIM(MID(SUBSTITUTE($T9,";",REPT(" ",99)),892,99)))-1),Materiales!$A$2:$E$502,5,FALSE)*VALUE(MID(TRIM(MID(SUBSTITUTE($T9,";",REPT(" ",99)),892,99)),FIND(":",TRIM(MID(SUBSTITUTE($T9,";",REPT(" ",99)),892,99)))+1,99)),0)))</f>
        <v>0</v>
      </c>
      <c r="V9" s="3"/>
      <c r="W9" s="5">
        <f t="array" ref="W9">IF($A9="","",IF($V9="",0,IFERROR(VLOOKUP(LEFT(TRIM(MID(SUBSTITUTE($V9,";",REPT(" ",99)),1,99)),FIND(":",TRIM(MID(SUBSTITUTE($V9,";",REPT(" ",99)),1,99)))-1),Materiales!$A$2:$E$502,5,FALSE)*VALUE(MID(TRIM(MID(SUBSTITUTE($V9,";",REPT(" ",99)),1,99)),FIND(":",TRIM(MID(SUBSTITUTE($V9,";",REPT(" ",99)),1,99)))+1,99)),0) + IFERROR(VLOOKUP(LEFT(TRIM(MID(SUBSTITUTE($V9,";",REPT(" ",99)),100,99)),FIND(":",TRIM(MID(SUBSTITUTE($V9,";",REPT(" ",99)),100,99)))-1),Materiales!$A$2:$E$502,5,FALSE)*VALUE(MID(TRIM(MID(SUBSTITUTE($V9,";",REPT(" ",99)),100,99)),FIND(":",TRIM(MID(SUBSTITUTE($V9,";",REPT(" ",99)),100,99)))+1,99)),0) + IFERROR(VLOOKUP(LEFT(TRIM(MID(SUBSTITUTE($V9,";",REPT(" ",99)),199,99)),FIND(":",TRIM(MID(SUBSTITUTE($V9,";",REPT(" ",99)),199,99)))-1),Materiales!$A$2:$E$502,5,FALSE)*VALUE(MID(TRIM(MID(SUBSTITUTE($V9,";",REPT(" ",99)),199,99)),FIND(":",TRIM(MID(SUBSTITUTE($V9,";",REPT(" ",99)),199,99)))+1,99)),0) + IFERROR(VLOOKUP(LEFT(TRIM(MID(SUBSTITUTE($V9,";",REPT(" ",99)),298,99)),FIND(":",TRIM(MID(SUBSTITUTE($V9,";",REPT(" ",99)),298,99)))-1),Materiales!$A$2:$E$502,5,FALSE)*VALUE(MID(TRIM(MID(SUBSTITUTE($V9,";",REPT(" ",99)),298,99)),FIND(":",TRIM(MID(SUBSTITUTE($V9,";",REPT(" ",99)),298,99)))+1,99)),0) + IFERROR(VLOOKUP(LEFT(TRIM(MID(SUBSTITUTE($V9,";",REPT(" ",99)),397,99)),FIND(":",TRIM(MID(SUBSTITUTE($V9,";",REPT(" ",99)),397,99)))-1),Materiales!$A$2:$E$502,5,FALSE)*VALUE(MID(TRIM(MID(SUBSTITUTE($V9,";",REPT(" ",99)),397,99)),FIND(":",TRIM(MID(SUBSTITUTE($V9,";",REPT(" ",99)),397,99)))+1,99)),0) + IFERROR(VLOOKUP(LEFT(TRIM(MID(SUBSTITUTE($V9,";",REPT(" ",99)),496,99)),FIND(":",TRIM(MID(SUBSTITUTE($V9,";",REPT(" ",99)),496,99)))-1),Materiales!$A$2:$E$502,5,FALSE)*VALUE(MID(TRIM(MID(SUBSTITUTE($V9,";",REPT(" ",99)),496,99)),FIND(":",TRIM(MID(SUBSTITUTE($V9,";",REPT(" ",99)),496,99)))+1,99)),0) + IFERROR(VLOOKUP(LEFT(TRIM(MID(SUBSTITUTE($V9,";",REPT(" ",99)),595,99)),FIND(":",TRIM(MID(SUBSTITUTE($V9,";",REPT(" ",99)),595,99)))-1),Materiales!$A$2:$E$502,5,FALSE)*VALUE(MID(TRIM(MID(SUBSTITUTE($V9,";",REPT(" ",99)),595,99)),FIND(":",TRIM(MID(SUBSTITUTE($V9,";",REPT(" ",99)),595,99)))+1,99)),0) + IFERROR(VLOOKUP(LEFT(TRIM(MID(SUBSTITUTE($V9,";",REPT(" ",99)),694,99)),FIND(":",TRIM(MID(SUBSTITUTE($V9,";",REPT(" ",99)),694,99)))-1),Materiales!$A$2:$E$502,5,FALSE)*VALUE(MID(TRIM(MID(SUBSTITUTE($V9,";",REPT(" ",99)),694,99)),FIND(":",TRIM(MID(SUBSTITUTE($V9,";",REPT(" ",99)),694,99)))+1,99)),0) + IFERROR(VLOOKUP(LEFT(TRIM(MID(SUBSTITUTE($V9,";",REPT(" ",99)),793,99)),FIND(":",TRIM(MID(SUBSTITUTE($V9,";",REPT(" ",99)),793,99)))-1),Materiales!$A$2:$E$502,5,FALSE)*VALUE(MID(TRIM(MID(SUBSTITUTE($V9,";",REPT(" ",99)),793,99)),FIND(":",TRIM(MID(SUBSTITUTE($V9,";",REPT(" ",99)),793,99)))+1,99)),0) + IFERROR(VLOOKUP(LEFT(TRIM(MID(SUBSTITUTE($V9,";",REPT(" ",99)),892,99)),FIND(":",TRIM(MID(SUBSTITUTE($V9,";",REPT(" ",99)),892,99)))-1),Materiales!$A$2:$E$502,5,FALSE)*VALUE(MID(TRIM(MID(SUBSTITUTE($V9,";",REPT(" ",99)),892,99)),FIND(":",TRIM(MID(SUBSTITUTE($V9,";",REPT(" ",99)),892,99)))+1,99)),0)))</f>
        <v>0</v>
      </c>
      <c r="X9" s="39">
        <f t="shared" si="3"/>
        <v>3046.652763</v>
      </c>
      <c r="Y9" s="40" t="s">
        <v>195</v>
      </c>
      <c r="Z9" s="41">
        <f t="shared" si="4"/>
        <v>9139.958288</v>
      </c>
      <c r="AA9" s="42">
        <v>0.0</v>
      </c>
      <c r="AB9" s="18">
        <f t="shared" si="5"/>
        <v>9139.958288</v>
      </c>
      <c r="AC9" s="43">
        <v>12000.0</v>
      </c>
      <c r="AD9" s="42">
        <f t="shared" si="6"/>
        <v>6093.305525</v>
      </c>
      <c r="AE9" s="44">
        <f t="shared" si="7"/>
        <v>8953.347237</v>
      </c>
      <c r="AF9" s="45">
        <f t="shared" si="8"/>
        <v>1.469374414</v>
      </c>
    </row>
    <row r="10">
      <c r="A10" s="17" t="s">
        <v>207</v>
      </c>
      <c r="B10" s="17" t="s">
        <v>16</v>
      </c>
      <c r="C10" s="46">
        <v>1.0</v>
      </c>
      <c r="D10" s="38"/>
      <c r="E10" s="38"/>
      <c r="F10" s="18">
        <v>57.0</v>
      </c>
      <c r="G10" s="5">
        <f t="array" ref="G10">IF($A10="","",IFERROR($F10*(N($C10)*XLOOKUP($B10,Ceras!$A$2:$A$500,Ceras!$G$2:$G$500,0)+IF($D10="",0,N($E10)*XLOOKUP($D10,Ceras!$A$2:$A$500,Ceras!$G$2:$G$500,0))),"Revisar cera"))</f>
        <v>1026</v>
      </c>
      <c r="H10" s="5">
        <f t="shared" si="1"/>
        <v>85.5</v>
      </c>
      <c r="I10" s="17" t="s">
        <v>32</v>
      </c>
      <c r="J10" s="18">
        <v>7.0</v>
      </c>
      <c r="K10" s="5">
        <f t="array" ref="K10">IF($A10="","",IFERROR($J10*XLOOKUP($I10,Pabilos!$A$2:$A$500,Pabilos!$H$2:$H$500,0),"Revisar pabilo"))</f>
        <v>126</v>
      </c>
      <c r="L10" s="17" t="s">
        <v>55</v>
      </c>
      <c r="M10" s="14">
        <f t="shared" si="10"/>
        <v>5.7</v>
      </c>
      <c r="N10" s="5">
        <f t="array" ref="N10">IF($A10="","",IFERROR($M10*XLOOKUP($L10,Esencias!$A$2:$A$501,Esencias!$G$2:$G$501,0),"Revisar esencia"))</f>
        <v>802.8169014</v>
      </c>
      <c r="O10" s="17" t="s">
        <v>81</v>
      </c>
      <c r="P10" s="18">
        <v>1.0</v>
      </c>
      <c r="Q10" s="5">
        <f t="array" ref="Q10">IF($A10="","",IFERROR(IF($P10="",1,$P10)*XLOOKUP($O10,Colores!$A$2:$A$500,Colores!$H$2:$H$500,0),"Revisar color"))</f>
        <v>92.30769231</v>
      </c>
      <c r="R10" s="3"/>
      <c r="S10" s="5">
        <f t="array" ref="S10">IF($A10="","",IF($R10="",0,IFERROR(VLOOKUP(LEFT(TRIM(MID(SUBSTITUTE($R10,";",REPT(" ",99)),1,99)),FIND(":",TRIM(MID(SUBSTITUTE($R10,";",REPT(" ",99)),1,99)))-1),Materiales!$A$2:$E$502,5,FALSE)*VALUE(MID(TRIM(MID(SUBSTITUTE($R10,";",REPT(" ",99)),1,99)),FIND(":",TRIM(MID(SUBSTITUTE($R10,";",REPT(" ",99)),1,99)))+1,99)),0) + IFERROR(VLOOKUP(LEFT(TRIM(MID(SUBSTITUTE($R10,";",REPT(" ",99)),100,99)),FIND(":",TRIM(MID(SUBSTITUTE($R10,";",REPT(" ",99)),100,99)))-1),Materiales!$A$2:$E$502,5,FALSE)*VALUE(MID(TRIM(MID(SUBSTITUTE($R10,";",REPT(" ",99)),100,99)),FIND(":",TRIM(MID(SUBSTITUTE($R10,";",REPT(" ",99)),100,99)))+1,99)),0) + IFERROR(VLOOKUP(LEFT(TRIM(MID(SUBSTITUTE($R10,";",REPT(" ",99)),199,99)),FIND(":",TRIM(MID(SUBSTITUTE($R10,";",REPT(" ",99)),199,99)))-1),Materiales!$A$2:$E$502,5,FALSE)*VALUE(MID(TRIM(MID(SUBSTITUTE($R10,";",REPT(" ",99)),199,99)),FIND(":",TRIM(MID(SUBSTITUTE($R10,";",REPT(" ",99)),199,99)))+1,99)),0) + IFERROR(VLOOKUP(LEFT(TRIM(MID(SUBSTITUTE($R10,";",REPT(" ",99)),298,99)),FIND(":",TRIM(MID(SUBSTITUTE($R10,";",REPT(" ",99)),298,99)))-1),Materiales!$A$2:$E$502,5,FALSE)*VALUE(MID(TRIM(MID(SUBSTITUTE($R10,";",REPT(" ",99)),298,99)),FIND(":",TRIM(MID(SUBSTITUTE($R10,";",REPT(" ",99)),298,99)))+1,99)),0) + IFERROR(VLOOKUP(LEFT(TRIM(MID(SUBSTITUTE($R10,";",REPT(" ",99)),397,99)),FIND(":",TRIM(MID(SUBSTITUTE($R10,";",REPT(" ",99)),397,99)))-1),Materiales!$A$2:$E$502,5,FALSE)*VALUE(MID(TRIM(MID(SUBSTITUTE($R10,";",REPT(" ",99)),397,99)),FIND(":",TRIM(MID(SUBSTITUTE($R10,";",REPT(" ",99)),397,99)))+1,99)),0) + IFERROR(VLOOKUP(LEFT(TRIM(MID(SUBSTITUTE($R10,";",REPT(" ",99)),496,99)),FIND(":",TRIM(MID(SUBSTITUTE($R10,";",REPT(" ",99)),496,99)))-1),Materiales!$A$2:$E$502,5,FALSE)*VALUE(MID(TRIM(MID(SUBSTITUTE($R10,";",REPT(" ",99)),496,99)),FIND(":",TRIM(MID(SUBSTITUTE($R10,";",REPT(" ",99)),496,99)))+1,99)),0) + IFERROR(VLOOKUP(LEFT(TRIM(MID(SUBSTITUTE($R10,";",REPT(" ",99)),595,99)),FIND(":",TRIM(MID(SUBSTITUTE($R10,";",REPT(" ",99)),595,99)))-1),Materiales!$A$2:$E$502,5,FALSE)*VALUE(MID(TRIM(MID(SUBSTITUTE($R10,";",REPT(" ",99)),595,99)),FIND(":",TRIM(MID(SUBSTITUTE($R10,";",REPT(" ",99)),595,99)))+1,99)),0) + IFERROR(VLOOKUP(LEFT(TRIM(MID(SUBSTITUTE($R10,";",REPT(" ",99)),694,99)),FIND(":",TRIM(MID(SUBSTITUTE($R10,";",REPT(" ",99)),694,99)))-1),Materiales!$A$2:$E$502,5,FALSE)*VALUE(MID(TRIM(MID(SUBSTITUTE($R10,";",REPT(" ",99)),694,99)),FIND(":",TRIM(MID(SUBSTITUTE($R10,";",REPT(" ",99)),694,99)))+1,99)),0) + IFERROR(VLOOKUP(LEFT(TRIM(MID(SUBSTITUTE($R10,";",REPT(" ",99)),793,99)),FIND(":",TRIM(MID(SUBSTITUTE($R10,";",REPT(" ",99)),793,99)))-1),Materiales!$A$2:$E$502,5,FALSE)*VALUE(MID(TRIM(MID(SUBSTITUTE($R10,";",REPT(" ",99)),793,99)),FIND(":",TRIM(MID(SUBSTITUTE($R10,";",REPT(" ",99)),793,99)))+1,99)),0) + IFERROR(VLOOKUP(LEFT(TRIM(MID(SUBSTITUTE($R10,";",REPT(" ",99)),892,99)),FIND(":",TRIM(MID(SUBSTITUTE($R10,";",REPT(" ",99)),892,99)))-1),Materiales!$A$2:$E$502,5,FALSE)*VALUE(MID(TRIM(MID(SUBSTITUTE($R10,";",REPT(" ",99)),892,99)),FIND(":",TRIM(MID(SUBSTITUTE($R10,";",REPT(" ",99)),892,99)))+1,99)),0)))</f>
        <v>0</v>
      </c>
      <c r="T10" s="3"/>
      <c r="U10" s="5">
        <f t="array" ref="U10">IF($A10="","",IF($T10="",0,IFERROR(VLOOKUP(LEFT(TRIM(MID(SUBSTITUTE($T10,";",REPT(" ",99)),1,99)),FIND(":",TRIM(MID(SUBSTITUTE($T10,";",REPT(" ",99)),1,99)))-1),Materiales!$A$2:$E$502,5,FALSE)*VALUE(MID(TRIM(MID(SUBSTITUTE($T10,";",REPT(" ",99)),1,99)),FIND(":",TRIM(MID(SUBSTITUTE($T10,";",REPT(" ",99)),1,99)))+1,99)),0) + IFERROR(VLOOKUP(LEFT(TRIM(MID(SUBSTITUTE($T10,";",REPT(" ",99)),100,99)),FIND(":",TRIM(MID(SUBSTITUTE($T10,";",REPT(" ",99)),100,99)))-1),Materiales!$A$2:$E$502,5,FALSE)*VALUE(MID(TRIM(MID(SUBSTITUTE($T10,";",REPT(" ",99)),100,99)),FIND(":",TRIM(MID(SUBSTITUTE($T10,";",REPT(" ",99)),100,99)))+1,99)),0) + IFERROR(VLOOKUP(LEFT(TRIM(MID(SUBSTITUTE($T10,";",REPT(" ",99)),199,99)),FIND(":",TRIM(MID(SUBSTITUTE($T10,";",REPT(" ",99)),199,99)))-1),Materiales!$A$2:$E$502,5,FALSE)*VALUE(MID(TRIM(MID(SUBSTITUTE($T10,";",REPT(" ",99)),199,99)),FIND(":",TRIM(MID(SUBSTITUTE($T10,";",REPT(" ",99)),199,99)))+1,99)),0) + IFERROR(VLOOKUP(LEFT(TRIM(MID(SUBSTITUTE($T10,";",REPT(" ",99)),298,99)),FIND(":",TRIM(MID(SUBSTITUTE($T10,";",REPT(" ",99)),298,99)))-1),Materiales!$A$2:$E$502,5,FALSE)*VALUE(MID(TRIM(MID(SUBSTITUTE($T10,";",REPT(" ",99)),298,99)),FIND(":",TRIM(MID(SUBSTITUTE($T10,";",REPT(" ",99)),298,99)))+1,99)),0) + IFERROR(VLOOKUP(LEFT(TRIM(MID(SUBSTITUTE($T10,";",REPT(" ",99)),397,99)),FIND(":",TRIM(MID(SUBSTITUTE($T10,";",REPT(" ",99)),397,99)))-1),Materiales!$A$2:$E$502,5,FALSE)*VALUE(MID(TRIM(MID(SUBSTITUTE($T10,";",REPT(" ",99)),397,99)),FIND(":",TRIM(MID(SUBSTITUTE($T10,";",REPT(" ",99)),397,99)))+1,99)),0) + IFERROR(VLOOKUP(LEFT(TRIM(MID(SUBSTITUTE($T10,";",REPT(" ",99)),496,99)),FIND(":",TRIM(MID(SUBSTITUTE($T10,";",REPT(" ",99)),496,99)))-1),Materiales!$A$2:$E$502,5,FALSE)*VALUE(MID(TRIM(MID(SUBSTITUTE($T10,";",REPT(" ",99)),496,99)),FIND(":",TRIM(MID(SUBSTITUTE($T10,";",REPT(" ",99)),496,99)))+1,99)),0) + IFERROR(VLOOKUP(LEFT(TRIM(MID(SUBSTITUTE($T10,";",REPT(" ",99)),595,99)),FIND(":",TRIM(MID(SUBSTITUTE($T10,";",REPT(" ",99)),595,99)))-1),Materiales!$A$2:$E$502,5,FALSE)*VALUE(MID(TRIM(MID(SUBSTITUTE($T10,";",REPT(" ",99)),595,99)),FIND(":",TRIM(MID(SUBSTITUTE($T10,";",REPT(" ",99)),595,99)))+1,99)),0) + IFERROR(VLOOKUP(LEFT(TRIM(MID(SUBSTITUTE($T10,";",REPT(" ",99)),694,99)),FIND(":",TRIM(MID(SUBSTITUTE($T10,";",REPT(" ",99)),694,99)))-1),Materiales!$A$2:$E$502,5,FALSE)*VALUE(MID(TRIM(MID(SUBSTITUTE($T10,";",REPT(" ",99)),694,99)),FIND(":",TRIM(MID(SUBSTITUTE($T10,";",REPT(" ",99)),694,99)))+1,99)),0) + IFERROR(VLOOKUP(LEFT(TRIM(MID(SUBSTITUTE($T10,";",REPT(" ",99)),793,99)),FIND(":",TRIM(MID(SUBSTITUTE($T10,";",REPT(" ",99)),793,99)))-1),Materiales!$A$2:$E$502,5,FALSE)*VALUE(MID(TRIM(MID(SUBSTITUTE($T10,";",REPT(" ",99)),793,99)),FIND(":",TRIM(MID(SUBSTITUTE($T10,";",REPT(" ",99)),793,99)))+1,99)),0) + IFERROR(VLOOKUP(LEFT(TRIM(MID(SUBSTITUTE($T10,";",REPT(" ",99)),892,99)),FIND(":",TRIM(MID(SUBSTITUTE($T10,";",REPT(" ",99)),892,99)))-1),Materiales!$A$2:$E$502,5,FALSE)*VALUE(MID(TRIM(MID(SUBSTITUTE($T10,";",REPT(" ",99)),892,99)),FIND(":",TRIM(MID(SUBSTITUTE($T10,";",REPT(" ",99)),892,99)))+1,99)),0)))</f>
        <v>0</v>
      </c>
      <c r="V10" s="3"/>
      <c r="W10" s="5">
        <f t="array" ref="W10">IF($A10="","",IF($V10="",0,IFERROR(VLOOKUP(LEFT(TRIM(MID(SUBSTITUTE($V10,";",REPT(" ",99)),1,99)),FIND(":",TRIM(MID(SUBSTITUTE($V10,";",REPT(" ",99)),1,99)))-1),Materiales!$A$2:$E$502,5,FALSE)*VALUE(MID(TRIM(MID(SUBSTITUTE($V10,";",REPT(" ",99)),1,99)),FIND(":",TRIM(MID(SUBSTITUTE($V10,";",REPT(" ",99)),1,99)))+1,99)),0) + IFERROR(VLOOKUP(LEFT(TRIM(MID(SUBSTITUTE($V10,";",REPT(" ",99)),100,99)),FIND(":",TRIM(MID(SUBSTITUTE($V10,";",REPT(" ",99)),100,99)))-1),Materiales!$A$2:$E$502,5,FALSE)*VALUE(MID(TRIM(MID(SUBSTITUTE($V10,";",REPT(" ",99)),100,99)),FIND(":",TRIM(MID(SUBSTITUTE($V10,";",REPT(" ",99)),100,99)))+1,99)),0) + IFERROR(VLOOKUP(LEFT(TRIM(MID(SUBSTITUTE($V10,";",REPT(" ",99)),199,99)),FIND(":",TRIM(MID(SUBSTITUTE($V10,";",REPT(" ",99)),199,99)))-1),Materiales!$A$2:$E$502,5,FALSE)*VALUE(MID(TRIM(MID(SUBSTITUTE($V10,";",REPT(" ",99)),199,99)),FIND(":",TRIM(MID(SUBSTITUTE($V10,";",REPT(" ",99)),199,99)))+1,99)),0) + IFERROR(VLOOKUP(LEFT(TRIM(MID(SUBSTITUTE($V10,";",REPT(" ",99)),298,99)),FIND(":",TRIM(MID(SUBSTITUTE($V10,";",REPT(" ",99)),298,99)))-1),Materiales!$A$2:$E$502,5,FALSE)*VALUE(MID(TRIM(MID(SUBSTITUTE($V10,";",REPT(" ",99)),298,99)),FIND(":",TRIM(MID(SUBSTITUTE($V10,";",REPT(" ",99)),298,99)))+1,99)),0) + IFERROR(VLOOKUP(LEFT(TRIM(MID(SUBSTITUTE($V10,";",REPT(" ",99)),397,99)),FIND(":",TRIM(MID(SUBSTITUTE($V10,";",REPT(" ",99)),397,99)))-1),Materiales!$A$2:$E$502,5,FALSE)*VALUE(MID(TRIM(MID(SUBSTITUTE($V10,";",REPT(" ",99)),397,99)),FIND(":",TRIM(MID(SUBSTITUTE($V10,";",REPT(" ",99)),397,99)))+1,99)),0) + IFERROR(VLOOKUP(LEFT(TRIM(MID(SUBSTITUTE($V10,";",REPT(" ",99)),496,99)),FIND(":",TRIM(MID(SUBSTITUTE($V10,";",REPT(" ",99)),496,99)))-1),Materiales!$A$2:$E$502,5,FALSE)*VALUE(MID(TRIM(MID(SUBSTITUTE($V10,";",REPT(" ",99)),496,99)),FIND(":",TRIM(MID(SUBSTITUTE($V10,";",REPT(" ",99)),496,99)))+1,99)),0) + IFERROR(VLOOKUP(LEFT(TRIM(MID(SUBSTITUTE($V10,";",REPT(" ",99)),595,99)),FIND(":",TRIM(MID(SUBSTITUTE($V10,";",REPT(" ",99)),595,99)))-1),Materiales!$A$2:$E$502,5,FALSE)*VALUE(MID(TRIM(MID(SUBSTITUTE($V10,";",REPT(" ",99)),595,99)),FIND(":",TRIM(MID(SUBSTITUTE($V10,";",REPT(" ",99)),595,99)))+1,99)),0) + IFERROR(VLOOKUP(LEFT(TRIM(MID(SUBSTITUTE($V10,";",REPT(" ",99)),694,99)),FIND(":",TRIM(MID(SUBSTITUTE($V10,";",REPT(" ",99)),694,99)))-1),Materiales!$A$2:$E$502,5,FALSE)*VALUE(MID(TRIM(MID(SUBSTITUTE($V10,";",REPT(" ",99)),694,99)),FIND(":",TRIM(MID(SUBSTITUTE($V10,";",REPT(" ",99)),694,99)))+1,99)),0) + IFERROR(VLOOKUP(LEFT(TRIM(MID(SUBSTITUTE($V10,";",REPT(" ",99)),793,99)),FIND(":",TRIM(MID(SUBSTITUTE($V10,";",REPT(" ",99)),793,99)))-1),Materiales!$A$2:$E$502,5,FALSE)*VALUE(MID(TRIM(MID(SUBSTITUTE($V10,";",REPT(" ",99)),793,99)),FIND(":",TRIM(MID(SUBSTITUTE($V10,";",REPT(" ",99)),793,99)))+1,99)),0) + IFERROR(VLOOKUP(LEFT(TRIM(MID(SUBSTITUTE($V10,";",REPT(" ",99)),892,99)),FIND(":",TRIM(MID(SUBSTITUTE($V10,";",REPT(" ",99)),892,99)))-1),Materiales!$A$2:$E$502,5,FALSE)*VALUE(MID(TRIM(MID(SUBSTITUTE($V10,";",REPT(" ",99)),892,99)),FIND(":",TRIM(MID(SUBSTITUTE($V10,";",REPT(" ",99)),892,99)))+1,99)),0)))</f>
        <v>0</v>
      </c>
      <c r="X10" s="39">
        <f t="shared" si="3"/>
        <v>2132.624594</v>
      </c>
      <c r="Y10" s="40" t="s">
        <v>195</v>
      </c>
      <c r="Z10" s="41">
        <f t="shared" si="4"/>
        <v>6397.873781</v>
      </c>
      <c r="AA10" s="42">
        <v>0.0</v>
      </c>
      <c r="AB10" s="18">
        <f t="shared" si="5"/>
        <v>6397.873781</v>
      </c>
      <c r="AC10" s="43">
        <v>10000.0</v>
      </c>
      <c r="AD10" s="42">
        <f t="shared" si="6"/>
        <v>4265.249187</v>
      </c>
      <c r="AE10" s="44">
        <f t="shared" si="7"/>
        <v>7867.375406</v>
      </c>
      <c r="AF10" s="45">
        <f t="shared" si="8"/>
        <v>1.844528903</v>
      </c>
    </row>
    <row r="11">
      <c r="A11" s="17" t="s">
        <v>208</v>
      </c>
      <c r="B11" s="17" t="s">
        <v>16</v>
      </c>
      <c r="C11" s="46">
        <v>1.0</v>
      </c>
      <c r="D11" s="38"/>
      <c r="E11" s="38"/>
      <c r="F11" s="18">
        <v>15.0</v>
      </c>
      <c r="G11" s="5">
        <f t="array" ref="G11">IF($A11="","",IFERROR($F11*(N($C11)*XLOOKUP($B11,Ceras!$A$2:$A$500,Ceras!$G$2:$G$500,0)+IF($D11="",0,N($E11)*XLOOKUP($D11,Ceras!$A$2:$A$500,Ceras!$G$2:$G$500,0))),"Revisar cera"))</f>
        <v>270</v>
      </c>
      <c r="H11" s="5">
        <f t="shared" si="1"/>
        <v>22.5</v>
      </c>
      <c r="I11" s="17" t="s">
        <v>32</v>
      </c>
      <c r="J11" s="18">
        <v>6.0</v>
      </c>
      <c r="K11" s="5">
        <f t="array" ref="K11">IF($A11="","",IFERROR($J11*XLOOKUP($I11,Pabilos!$A$2:$A$500,Pabilos!$H$2:$H$500,0),"Revisar pabilo"))</f>
        <v>108</v>
      </c>
      <c r="L11" s="17" t="s">
        <v>55</v>
      </c>
      <c r="M11" s="14">
        <f t="shared" si="10"/>
        <v>1.5</v>
      </c>
      <c r="N11" s="5">
        <f t="array" ref="N11">IF($A11="","",IFERROR($M11*XLOOKUP($L11,Esencias!$A$2:$A$501,Esencias!$G$2:$G$501,0),"Revisar esencia"))</f>
        <v>211.2676056</v>
      </c>
      <c r="O11" s="17" t="s">
        <v>81</v>
      </c>
      <c r="P11" s="18">
        <v>0.5</v>
      </c>
      <c r="Q11" s="5">
        <f t="array" ref="Q11">IF($A11="","",IFERROR(IF($P11="",1,$P11)*XLOOKUP($O11,Colores!$A$2:$A$500,Colores!$H$2:$H$500,0),"Revisar color"))</f>
        <v>46.15384615</v>
      </c>
      <c r="R11" s="3"/>
      <c r="S11" s="5">
        <f t="array" ref="S11">IF($A11="","",IF($R11="",0,IFERROR(VLOOKUP(LEFT(TRIM(MID(SUBSTITUTE($R11,";",REPT(" ",99)),1,99)),FIND(":",TRIM(MID(SUBSTITUTE($R11,";",REPT(" ",99)),1,99)))-1),Materiales!$A$2:$E$502,5,FALSE)*VALUE(MID(TRIM(MID(SUBSTITUTE($R11,";",REPT(" ",99)),1,99)),FIND(":",TRIM(MID(SUBSTITUTE($R11,";",REPT(" ",99)),1,99)))+1,99)),0) + IFERROR(VLOOKUP(LEFT(TRIM(MID(SUBSTITUTE($R11,";",REPT(" ",99)),100,99)),FIND(":",TRIM(MID(SUBSTITUTE($R11,";",REPT(" ",99)),100,99)))-1),Materiales!$A$2:$E$502,5,FALSE)*VALUE(MID(TRIM(MID(SUBSTITUTE($R11,";",REPT(" ",99)),100,99)),FIND(":",TRIM(MID(SUBSTITUTE($R11,";",REPT(" ",99)),100,99)))+1,99)),0) + IFERROR(VLOOKUP(LEFT(TRIM(MID(SUBSTITUTE($R11,";",REPT(" ",99)),199,99)),FIND(":",TRIM(MID(SUBSTITUTE($R11,";",REPT(" ",99)),199,99)))-1),Materiales!$A$2:$E$502,5,FALSE)*VALUE(MID(TRIM(MID(SUBSTITUTE($R11,";",REPT(" ",99)),199,99)),FIND(":",TRIM(MID(SUBSTITUTE($R11,";",REPT(" ",99)),199,99)))+1,99)),0) + IFERROR(VLOOKUP(LEFT(TRIM(MID(SUBSTITUTE($R11,";",REPT(" ",99)),298,99)),FIND(":",TRIM(MID(SUBSTITUTE($R11,";",REPT(" ",99)),298,99)))-1),Materiales!$A$2:$E$502,5,FALSE)*VALUE(MID(TRIM(MID(SUBSTITUTE($R11,";",REPT(" ",99)),298,99)),FIND(":",TRIM(MID(SUBSTITUTE($R11,";",REPT(" ",99)),298,99)))+1,99)),0) + IFERROR(VLOOKUP(LEFT(TRIM(MID(SUBSTITUTE($R11,";",REPT(" ",99)),397,99)),FIND(":",TRIM(MID(SUBSTITUTE($R11,";",REPT(" ",99)),397,99)))-1),Materiales!$A$2:$E$502,5,FALSE)*VALUE(MID(TRIM(MID(SUBSTITUTE($R11,";",REPT(" ",99)),397,99)),FIND(":",TRIM(MID(SUBSTITUTE($R11,";",REPT(" ",99)),397,99)))+1,99)),0) + IFERROR(VLOOKUP(LEFT(TRIM(MID(SUBSTITUTE($R11,";",REPT(" ",99)),496,99)),FIND(":",TRIM(MID(SUBSTITUTE($R11,";",REPT(" ",99)),496,99)))-1),Materiales!$A$2:$E$502,5,FALSE)*VALUE(MID(TRIM(MID(SUBSTITUTE($R11,";",REPT(" ",99)),496,99)),FIND(":",TRIM(MID(SUBSTITUTE($R11,";",REPT(" ",99)),496,99)))+1,99)),0) + IFERROR(VLOOKUP(LEFT(TRIM(MID(SUBSTITUTE($R11,";",REPT(" ",99)),595,99)),FIND(":",TRIM(MID(SUBSTITUTE($R11,";",REPT(" ",99)),595,99)))-1),Materiales!$A$2:$E$502,5,FALSE)*VALUE(MID(TRIM(MID(SUBSTITUTE($R11,";",REPT(" ",99)),595,99)),FIND(":",TRIM(MID(SUBSTITUTE($R11,";",REPT(" ",99)),595,99)))+1,99)),0) + IFERROR(VLOOKUP(LEFT(TRIM(MID(SUBSTITUTE($R11,";",REPT(" ",99)),694,99)),FIND(":",TRIM(MID(SUBSTITUTE($R11,";",REPT(" ",99)),694,99)))-1),Materiales!$A$2:$E$502,5,FALSE)*VALUE(MID(TRIM(MID(SUBSTITUTE($R11,";",REPT(" ",99)),694,99)),FIND(":",TRIM(MID(SUBSTITUTE($R11,";",REPT(" ",99)),694,99)))+1,99)),0) + IFERROR(VLOOKUP(LEFT(TRIM(MID(SUBSTITUTE($R11,";",REPT(" ",99)),793,99)),FIND(":",TRIM(MID(SUBSTITUTE($R11,";",REPT(" ",99)),793,99)))-1),Materiales!$A$2:$E$502,5,FALSE)*VALUE(MID(TRIM(MID(SUBSTITUTE($R11,";",REPT(" ",99)),793,99)),FIND(":",TRIM(MID(SUBSTITUTE($R11,";",REPT(" ",99)),793,99)))+1,99)),0) + IFERROR(VLOOKUP(LEFT(TRIM(MID(SUBSTITUTE($R11,";",REPT(" ",99)),892,99)),FIND(":",TRIM(MID(SUBSTITUTE($R11,";",REPT(" ",99)),892,99)))-1),Materiales!$A$2:$E$502,5,FALSE)*VALUE(MID(TRIM(MID(SUBSTITUTE($R11,";",REPT(" ",99)),892,99)),FIND(":",TRIM(MID(SUBSTITUTE($R11,";",REPT(" ",99)),892,99)))+1,99)),0)))</f>
        <v>0</v>
      </c>
      <c r="T11" s="3"/>
      <c r="U11" s="5">
        <f t="array" ref="U11">IF($A11="","",IF($T11="",0,IFERROR(VLOOKUP(LEFT(TRIM(MID(SUBSTITUTE($T11,";",REPT(" ",99)),1,99)),FIND(":",TRIM(MID(SUBSTITUTE($T11,";",REPT(" ",99)),1,99)))-1),Materiales!$A$2:$E$502,5,FALSE)*VALUE(MID(TRIM(MID(SUBSTITUTE($T11,";",REPT(" ",99)),1,99)),FIND(":",TRIM(MID(SUBSTITUTE($T11,";",REPT(" ",99)),1,99)))+1,99)),0) + IFERROR(VLOOKUP(LEFT(TRIM(MID(SUBSTITUTE($T11,";",REPT(" ",99)),100,99)),FIND(":",TRIM(MID(SUBSTITUTE($T11,";",REPT(" ",99)),100,99)))-1),Materiales!$A$2:$E$502,5,FALSE)*VALUE(MID(TRIM(MID(SUBSTITUTE($T11,";",REPT(" ",99)),100,99)),FIND(":",TRIM(MID(SUBSTITUTE($T11,";",REPT(" ",99)),100,99)))+1,99)),0) + IFERROR(VLOOKUP(LEFT(TRIM(MID(SUBSTITUTE($T11,";",REPT(" ",99)),199,99)),FIND(":",TRIM(MID(SUBSTITUTE($T11,";",REPT(" ",99)),199,99)))-1),Materiales!$A$2:$E$502,5,FALSE)*VALUE(MID(TRIM(MID(SUBSTITUTE($T11,";",REPT(" ",99)),199,99)),FIND(":",TRIM(MID(SUBSTITUTE($T11,";",REPT(" ",99)),199,99)))+1,99)),0) + IFERROR(VLOOKUP(LEFT(TRIM(MID(SUBSTITUTE($T11,";",REPT(" ",99)),298,99)),FIND(":",TRIM(MID(SUBSTITUTE($T11,";",REPT(" ",99)),298,99)))-1),Materiales!$A$2:$E$502,5,FALSE)*VALUE(MID(TRIM(MID(SUBSTITUTE($T11,";",REPT(" ",99)),298,99)),FIND(":",TRIM(MID(SUBSTITUTE($T11,";",REPT(" ",99)),298,99)))+1,99)),0) + IFERROR(VLOOKUP(LEFT(TRIM(MID(SUBSTITUTE($T11,";",REPT(" ",99)),397,99)),FIND(":",TRIM(MID(SUBSTITUTE($T11,";",REPT(" ",99)),397,99)))-1),Materiales!$A$2:$E$502,5,FALSE)*VALUE(MID(TRIM(MID(SUBSTITUTE($T11,";",REPT(" ",99)),397,99)),FIND(":",TRIM(MID(SUBSTITUTE($T11,";",REPT(" ",99)),397,99)))+1,99)),0) + IFERROR(VLOOKUP(LEFT(TRIM(MID(SUBSTITUTE($T11,";",REPT(" ",99)),496,99)),FIND(":",TRIM(MID(SUBSTITUTE($T11,";",REPT(" ",99)),496,99)))-1),Materiales!$A$2:$E$502,5,FALSE)*VALUE(MID(TRIM(MID(SUBSTITUTE($T11,";",REPT(" ",99)),496,99)),FIND(":",TRIM(MID(SUBSTITUTE($T11,";",REPT(" ",99)),496,99)))+1,99)),0) + IFERROR(VLOOKUP(LEFT(TRIM(MID(SUBSTITUTE($T11,";",REPT(" ",99)),595,99)),FIND(":",TRIM(MID(SUBSTITUTE($T11,";",REPT(" ",99)),595,99)))-1),Materiales!$A$2:$E$502,5,FALSE)*VALUE(MID(TRIM(MID(SUBSTITUTE($T11,";",REPT(" ",99)),595,99)),FIND(":",TRIM(MID(SUBSTITUTE($T11,";",REPT(" ",99)),595,99)))+1,99)),0) + IFERROR(VLOOKUP(LEFT(TRIM(MID(SUBSTITUTE($T11,";",REPT(" ",99)),694,99)),FIND(":",TRIM(MID(SUBSTITUTE($T11,";",REPT(" ",99)),694,99)))-1),Materiales!$A$2:$E$502,5,FALSE)*VALUE(MID(TRIM(MID(SUBSTITUTE($T11,";",REPT(" ",99)),694,99)),FIND(":",TRIM(MID(SUBSTITUTE($T11,";",REPT(" ",99)),694,99)))+1,99)),0) + IFERROR(VLOOKUP(LEFT(TRIM(MID(SUBSTITUTE($T11,";",REPT(" ",99)),793,99)),FIND(":",TRIM(MID(SUBSTITUTE($T11,";",REPT(" ",99)),793,99)))-1),Materiales!$A$2:$E$502,5,FALSE)*VALUE(MID(TRIM(MID(SUBSTITUTE($T11,";",REPT(" ",99)),793,99)),FIND(":",TRIM(MID(SUBSTITUTE($T11,";",REPT(" ",99)),793,99)))+1,99)),0) + IFERROR(VLOOKUP(LEFT(TRIM(MID(SUBSTITUTE($T11,";",REPT(" ",99)),892,99)),FIND(":",TRIM(MID(SUBSTITUTE($T11,";",REPT(" ",99)),892,99)))-1),Materiales!$A$2:$E$502,5,FALSE)*VALUE(MID(TRIM(MID(SUBSTITUTE($T11,";",REPT(" ",99)),892,99)),FIND(":",TRIM(MID(SUBSTITUTE($T11,";",REPT(" ",99)),892,99)))+1,99)),0)))</f>
        <v>0</v>
      </c>
      <c r="V11" s="3"/>
      <c r="W11" s="5">
        <f t="array" ref="W11">IF($A11="","",IF($V11="",0,IFERROR(VLOOKUP(LEFT(TRIM(MID(SUBSTITUTE($V11,";",REPT(" ",99)),1,99)),FIND(":",TRIM(MID(SUBSTITUTE($V11,";",REPT(" ",99)),1,99)))-1),Materiales!$A$2:$E$502,5,FALSE)*VALUE(MID(TRIM(MID(SUBSTITUTE($V11,";",REPT(" ",99)),1,99)),FIND(":",TRIM(MID(SUBSTITUTE($V11,";",REPT(" ",99)),1,99)))+1,99)),0) + IFERROR(VLOOKUP(LEFT(TRIM(MID(SUBSTITUTE($V11,";",REPT(" ",99)),100,99)),FIND(":",TRIM(MID(SUBSTITUTE($V11,";",REPT(" ",99)),100,99)))-1),Materiales!$A$2:$E$502,5,FALSE)*VALUE(MID(TRIM(MID(SUBSTITUTE($V11,";",REPT(" ",99)),100,99)),FIND(":",TRIM(MID(SUBSTITUTE($V11,";",REPT(" ",99)),100,99)))+1,99)),0) + IFERROR(VLOOKUP(LEFT(TRIM(MID(SUBSTITUTE($V11,";",REPT(" ",99)),199,99)),FIND(":",TRIM(MID(SUBSTITUTE($V11,";",REPT(" ",99)),199,99)))-1),Materiales!$A$2:$E$502,5,FALSE)*VALUE(MID(TRIM(MID(SUBSTITUTE($V11,";",REPT(" ",99)),199,99)),FIND(":",TRIM(MID(SUBSTITUTE($V11,";",REPT(" ",99)),199,99)))+1,99)),0) + IFERROR(VLOOKUP(LEFT(TRIM(MID(SUBSTITUTE($V11,";",REPT(" ",99)),298,99)),FIND(":",TRIM(MID(SUBSTITUTE($V11,";",REPT(" ",99)),298,99)))-1),Materiales!$A$2:$E$502,5,FALSE)*VALUE(MID(TRIM(MID(SUBSTITUTE($V11,";",REPT(" ",99)),298,99)),FIND(":",TRIM(MID(SUBSTITUTE($V11,";",REPT(" ",99)),298,99)))+1,99)),0) + IFERROR(VLOOKUP(LEFT(TRIM(MID(SUBSTITUTE($V11,";",REPT(" ",99)),397,99)),FIND(":",TRIM(MID(SUBSTITUTE($V11,";",REPT(" ",99)),397,99)))-1),Materiales!$A$2:$E$502,5,FALSE)*VALUE(MID(TRIM(MID(SUBSTITUTE($V11,";",REPT(" ",99)),397,99)),FIND(":",TRIM(MID(SUBSTITUTE($V11,";",REPT(" ",99)),397,99)))+1,99)),0) + IFERROR(VLOOKUP(LEFT(TRIM(MID(SUBSTITUTE($V11,";",REPT(" ",99)),496,99)),FIND(":",TRIM(MID(SUBSTITUTE($V11,";",REPT(" ",99)),496,99)))-1),Materiales!$A$2:$E$502,5,FALSE)*VALUE(MID(TRIM(MID(SUBSTITUTE($V11,";",REPT(" ",99)),496,99)),FIND(":",TRIM(MID(SUBSTITUTE($V11,";",REPT(" ",99)),496,99)))+1,99)),0) + IFERROR(VLOOKUP(LEFT(TRIM(MID(SUBSTITUTE($V11,";",REPT(" ",99)),595,99)),FIND(":",TRIM(MID(SUBSTITUTE($V11,";",REPT(" ",99)),595,99)))-1),Materiales!$A$2:$E$502,5,FALSE)*VALUE(MID(TRIM(MID(SUBSTITUTE($V11,";",REPT(" ",99)),595,99)),FIND(":",TRIM(MID(SUBSTITUTE($V11,";",REPT(" ",99)),595,99)))+1,99)),0) + IFERROR(VLOOKUP(LEFT(TRIM(MID(SUBSTITUTE($V11,";",REPT(" ",99)),694,99)),FIND(":",TRIM(MID(SUBSTITUTE($V11,";",REPT(" ",99)),694,99)))-1),Materiales!$A$2:$E$502,5,FALSE)*VALUE(MID(TRIM(MID(SUBSTITUTE($V11,";",REPT(" ",99)),694,99)),FIND(":",TRIM(MID(SUBSTITUTE($V11,";",REPT(" ",99)),694,99)))+1,99)),0) + IFERROR(VLOOKUP(LEFT(TRIM(MID(SUBSTITUTE($V11,";",REPT(" ",99)),793,99)),FIND(":",TRIM(MID(SUBSTITUTE($V11,";",REPT(" ",99)),793,99)))-1),Materiales!$A$2:$E$502,5,FALSE)*VALUE(MID(TRIM(MID(SUBSTITUTE($V11,";",REPT(" ",99)),793,99)),FIND(":",TRIM(MID(SUBSTITUTE($V11,";",REPT(" ",99)),793,99)))+1,99)),0) + IFERROR(VLOOKUP(LEFT(TRIM(MID(SUBSTITUTE($V11,";",REPT(" ",99)),892,99)),FIND(":",TRIM(MID(SUBSTITUTE($V11,";",REPT(" ",99)),892,99)))-1),Materiales!$A$2:$E$502,5,FALSE)*VALUE(MID(TRIM(MID(SUBSTITUTE($V11,";",REPT(" ",99)),892,99)),FIND(":",TRIM(MID(SUBSTITUTE($V11,";",REPT(" ",99)),892,99)))+1,99)),0)))</f>
        <v>0</v>
      </c>
      <c r="X11" s="39">
        <f t="shared" si="3"/>
        <v>657.9214518</v>
      </c>
      <c r="Y11" s="40" t="s">
        <v>195</v>
      </c>
      <c r="Z11" s="41">
        <f t="shared" si="4"/>
        <v>1973.764355</v>
      </c>
      <c r="AA11" s="42">
        <v>0.0</v>
      </c>
      <c r="AB11" s="18">
        <f t="shared" si="5"/>
        <v>1973.764355</v>
      </c>
      <c r="AC11" s="43">
        <v>4000.0</v>
      </c>
      <c r="AD11" s="42">
        <f t="shared" si="6"/>
        <v>1315.842904</v>
      </c>
      <c r="AE11" s="44">
        <f t="shared" si="7"/>
        <v>3342.078548</v>
      </c>
      <c r="AF11" s="45">
        <f t="shared" si="8"/>
        <v>2.539876561</v>
      </c>
    </row>
    <row r="12">
      <c r="A12" s="17" t="s">
        <v>209</v>
      </c>
      <c r="B12" s="17" t="s">
        <v>16</v>
      </c>
      <c r="C12" s="46">
        <v>1.0</v>
      </c>
      <c r="D12" s="38"/>
      <c r="E12" s="38"/>
      <c r="F12" s="18">
        <v>18.0</v>
      </c>
      <c r="G12" s="5">
        <f t="array" ref="G12">IF($A12="","",IFERROR($F12*(N($C12)*XLOOKUP($B12,Ceras!$A$2:$A$500,Ceras!$G$2:$G$500,0)+IF($D12="",0,N($E12)*XLOOKUP($D12,Ceras!$A$2:$A$500,Ceras!$G$2:$G$500,0))),"Revisar cera"))</f>
        <v>324</v>
      </c>
      <c r="H12" s="5">
        <f t="shared" si="1"/>
        <v>27</v>
      </c>
      <c r="I12" s="17" t="s">
        <v>32</v>
      </c>
      <c r="J12" s="18">
        <v>4.0</v>
      </c>
      <c r="K12" s="5">
        <f t="array" ref="K12">IF($A12="","",IFERROR($J12*XLOOKUP($I12,Pabilos!$A$2:$A$500,Pabilos!$H$2:$H$500,0),"Revisar pabilo"))</f>
        <v>72</v>
      </c>
      <c r="L12" s="17" t="s">
        <v>55</v>
      </c>
      <c r="M12" s="14">
        <f t="shared" si="10"/>
        <v>1.8</v>
      </c>
      <c r="N12" s="5">
        <f t="array" ref="N12">IF($A12="","",IFERROR($M12*XLOOKUP($L12,Esencias!$A$2:$A$501,Esencias!$G$2:$G$501,0),"Revisar esencia"))</f>
        <v>253.5211268</v>
      </c>
      <c r="O12" s="17" t="s">
        <v>81</v>
      </c>
      <c r="P12" s="18">
        <v>0.5</v>
      </c>
      <c r="Q12" s="5">
        <f t="array" ref="Q12">IF($A12="","",IFERROR(IF($P12="",1,$P12)*XLOOKUP($O12,Colores!$A$2:$A$500,Colores!$H$2:$H$500,0),"Revisar color"))</f>
        <v>46.15384615</v>
      </c>
      <c r="R12" s="3"/>
      <c r="S12" s="5">
        <f t="array" ref="S12">IF($A12="","",IF($R12="",0,IFERROR(VLOOKUP(LEFT(TRIM(MID(SUBSTITUTE($R12,";",REPT(" ",99)),1,99)),FIND(":",TRIM(MID(SUBSTITUTE($R12,";",REPT(" ",99)),1,99)))-1),Materiales!$A$2:$E$502,5,FALSE)*VALUE(MID(TRIM(MID(SUBSTITUTE($R12,";",REPT(" ",99)),1,99)),FIND(":",TRIM(MID(SUBSTITUTE($R12,";",REPT(" ",99)),1,99)))+1,99)),0) + IFERROR(VLOOKUP(LEFT(TRIM(MID(SUBSTITUTE($R12,";",REPT(" ",99)),100,99)),FIND(":",TRIM(MID(SUBSTITUTE($R12,";",REPT(" ",99)),100,99)))-1),Materiales!$A$2:$E$502,5,FALSE)*VALUE(MID(TRIM(MID(SUBSTITUTE($R12,";",REPT(" ",99)),100,99)),FIND(":",TRIM(MID(SUBSTITUTE($R12,";",REPT(" ",99)),100,99)))+1,99)),0) + IFERROR(VLOOKUP(LEFT(TRIM(MID(SUBSTITUTE($R12,";",REPT(" ",99)),199,99)),FIND(":",TRIM(MID(SUBSTITUTE($R12,";",REPT(" ",99)),199,99)))-1),Materiales!$A$2:$E$502,5,FALSE)*VALUE(MID(TRIM(MID(SUBSTITUTE($R12,";",REPT(" ",99)),199,99)),FIND(":",TRIM(MID(SUBSTITUTE($R12,";",REPT(" ",99)),199,99)))+1,99)),0) + IFERROR(VLOOKUP(LEFT(TRIM(MID(SUBSTITUTE($R12,";",REPT(" ",99)),298,99)),FIND(":",TRIM(MID(SUBSTITUTE($R12,";",REPT(" ",99)),298,99)))-1),Materiales!$A$2:$E$502,5,FALSE)*VALUE(MID(TRIM(MID(SUBSTITUTE($R12,";",REPT(" ",99)),298,99)),FIND(":",TRIM(MID(SUBSTITUTE($R12,";",REPT(" ",99)),298,99)))+1,99)),0) + IFERROR(VLOOKUP(LEFT(TRIM(MID(SUBSTITUTE($R12,";",REPT(" ",99)),397,99)),FIND(":",TRIM(MID(SUBSTITUTE($R12,";",REPT(" ",99)),397,99)))-1),Materiales!$A$2:$E$502,5,FALSE)*VALUE(MID(TRIM(MID(SUBSTITUTE($R12,";",REPT(" ",99)),397,99)),FIND(":",TRIM(MID(SUBSTITUTE($R12,";",REPT(" ",99)),397,99)))+1,99)),0) + IFERROR(VLOOKUP(LEFT(TRIM(MID(SUBSTITUTE($R12,";",REPT(" ",99)),496,99)),FIND(":",TRIM(MID(SUBSTITUTE($R12,";",REPT(" ",99)),496,99)))-1),Materiales!$A$2:$E$502,5,FALSE)*VALUE(MID(TRIM(MID(SUBSTITUTE($R12,";",REPT(" ",99)),496,99)),FIND(":",TRIM(MID(SUBSTITUTE($R12,";",REPT(" ",99)),496,99)))+1,99)),0) + IFERROR(VLOOKUP(LEFT(TRIM(MID(SUBSTITUTE($R12,";",REPT(" ",99)),595,99)),FIND(":",TRIM(MID(SUBSTITUTE($R12,";",REPT(" ",99)),595,99)))-1),Materiales!$A$2:$E$502,5,FALSE)*VALUE(MID(TRIM(MID(SUBSTITUTE($R12,";",REPT(" ",99)),595,99)),FIND(":",TRIM(MID(SUBSTITUTE($R12,";",REPT(" ",99)),595,99)))+1,99)),0) + IFERROR(VLOOKUP(LEFT(TRIM(MID(SUBSTITUTE($R12,";",REPT(" ",99)),694,99)),FIND(":",TRIM(MID(SUBSTITUTE($R12,";",REPT(" ",99)),694,99)))-1),Materiales!$A$2:$E$502,5,FALSE)*VALUE(MID(TRIM(MID(SUBSTITUTE($R12,";",REPT(" ",99)),694,99)),FIND(":",TRIM(MID(SUBSTITUTE($R12,";",REPT(" ",99)),694,99)))+1,99)),0) + IFERROR(VLOOKUP(LEFT(TRIM(MID(SUBSTITUTE($R12,";",REPT(" ",99)),793,99)),FIND(":",TRIM(MID(SUBSTITUTE($R12,";",REPT(" ",99)),793,99)))-1),Materiales!$A$2:$E$502,5,FALSE)*VALUE(MID(TRIM(MID(SUBSTITUTE($R12,";",REPT(" ",99)),793,99)),FIND(":",TRIM(MID(SUBSTITUTE($R12,";",REPT(" ",99)),793,99)))+1,99)),0) + IFERROR(VLOOKUP(LEFT(TRIM(MID(SUBSTITUTE($R12,";",REPT(" ",99)),892,99)),FIND(":",TRIM(MID(SUBSTITUTE($R12,";",REPT(" ",99)),892,99)))-1),Materiales!$A$2:$E$502,5,FALSE)*VALUE(MID(TRIM(MID(SUBSTITUTE($R12,";",REPT(" ",99)),892,99)),FIND(":",TRIM(MID(SUBSTITUTE($R12,";",REPT(" ",99)),892,99)))+1,99)),0)))</f>
        <v>0</v>
      </c>
      <c r="T12" s="3"/>
      <c r="U12" s="5">
        <f t="array" ref="U12">IF($A12="","",IF($T12="",0,IFERROR(VLOOKUP(LEFT(TRIM(MID(SUBSTITUTE($T12,";",REPT(" ",99)),1,99)),FIND(":",TRIM(MID(SUBSTITUTE($T12,";",REPT(" ",99)),1,99)))-1),Materiales!$A$2:$E$502,5,FALSE)*VALUE(MID(TRIM(MID(SUBSTITUTE($T12,";",REPT(" ",99)),1,99)),FIND(":",TRIM(MID(SUBSTITUTE($T12,";",REPT(" ",99)),1,99)))+1,99)),0) + IFERROR(VLOOKUP(LEFT(TRIM(MID(SUBSTITUTE($T12,";",REPT(" ",99)),100,99)),FIND(":",TRIM(MID(SUBSTITUTE($T12,";",REPT(" ",99)),100,99)))-1),Materiales!$A$2:$E$502,5,FALSE)*VALUE(MID(TRIM(MID(SUBSTITUTE($T12,";",REPT(" ",99)),100,99)),FIND(":",TRIM(MID(SUBSTITUTE($T12,";",REPT(" ",99)),100,99)))+1,99)),0) + IFERROR(VLOOKUP(LEFT(TRIM(MID(SUBSTITUTE($T12,";",REPT(" ",99)),199,99)),FIND(":",TRIM(MID(SUBSTITUTE($T12,";",REPT(" ",99)),199,99)))-1),Materiales!$A$2:$E$502,5,FALSE)*VALUE(MID(TRIM(MID(SUBSTITUTE($T12,";",REPT(" ",99)),199,99)),FIND(":",TRIM(MID(SUBSTITUTE($T12,";",REPT(" ",99)),199,99)))+1,99)),0) + IFERROR(VLOOKUP(LEFT(TRIM(MID(SUBSTITUTE($T12,";",REPT(" ",99)),298,99)),FIND(":",TRIM(MID(SUBSTITUTE($T12,";",REPT(" ",99)),298,99)))-1),Materiales!$A$2:$E$502,5,FALSE)*VALUE(MID(TRIM(MID(SUBSTITUTE($T12,";",REPT(" ",99)),298,99)),FIND(":",TRIM(MID(SUBSTITUTE($T12,";",REPT(" ",99)),298,99)))+1,99)),0) + IFERROR(VLOOKUP(LEFT(TRIM(MID(SUBSTITUTE($T12,";",REPT(" ",99)),397,99)),FIND(":",TRIM(MID(SUBSTITUTE($T12,";",REPT(" ",99)),397,99)))-1),Materiales!$A$2:$E$502,5,FALSE)*VALUE(MID(TRIM(MID(SUBSTITUTE($T12,";",REPT(" ",99)),397,99)),FIND(":",TRIM(MID(SUBSTITUTE($T12,";",REPT(" ",99)),397,99)))+1,99)),0) + IFERROR(VLOOKUP(LEFT(TRIM(MID(SUBSTITUTE($T12,";",REPT(" ",99)),496,99)),FIND(":",TRIM(MID(SUBSTITUTE($T12,";",REPT(" ",99)),496,99)))-1),Materiales!$A$2:$E$502,5,FALSE)*VALUE(MID(TRIM(MID(SUBSTITUTE($T12,";",REPT(" ",99)),496,99)),FIND(":",TRIM(MID(SUBSTITUTE($T12,";",REPT(" ",99)),496,99)))+1,99)),0) + IFERROR(VLOOKUP(LEFT(TRIM(MID(SUBSTITUTE($T12,";",REPT(" ",99)),595,99)),FIND(":",TRIM(MID(SUBSTITUTE($T12,";",REPT(" ",99)),595,99)))-1),Materiales!$A$2:$E$502,5,FALSE)*VALUE(MID(TRIM(MID(SUBSTITUTE($T12,";",REPT(" ",99)),595,99)),FIND(":",TRIM(MID(SUBSTITUTE($T12,";",REPT(" ",99)),595,99)))+1,99)),0) + IFERROR(VLOOKUP(LEFT(TRIM(MID(SUBSTITUTE($T12,";",REPT(" ",99)),694,99)),FIND(":",TRIM(MID(SUBSTITUTE($T12,";",REPT(" ",99)),694,99)))-1),Materiales!$A$2:$E$502,5,FALSE)*VALUE(MID(TRIM(MID(SUBSTITUTE($T12,";",REPT(" ",99)),694,99)),FIND(":",TRIM(MID(SUBSTITUTE($T12,";",REPT(" ",99)),694,99)))+1,99)),0) + IFERROR(VLOOKUP(LEFT(TRIM(MID(SUBSTITUTE($T12,";",REPT(" ",99)),793,99)),FIND(":",TRIM(MID(SUBSTITUTE($T12,";",REPT(" ",99)),793,99)))-1),Materiales!$A$2:$E$502,5,FALSE)*VALUE(MID(TRIM(MID(SUBSTITUTE($T12,";",REPT(" ",99)),793,99)),FIND(":",TRIM(MID(SUBSTITUTE($T12,";",REPT(" ",99)),793,99)))+1,99)),0) + IFERROR(VLOOKUP(LEFT(TRIM(MID(SUBSTITUTE($T12,";",REPT(" ",99)),892,99)),FIND(":",TRIM(MID(SUBSTITUTE($T12,";",REPT(" ",99)),892,99)))-1),Materiales!$A$2:$E$502,5,FALSE)*VALUE(MID(TRIM(MID(SUBSTITUTE($T12,";",REPT(" ",99)),892,99)),FIND(":",TRIM(MID(SUBSTITUTE($T12,";",REPT(" ",99)),892,99)))+1,99)),0)))</f>
        <v>0</v>
      </c>
      <c r="V12" s="3"/>
      <c r="W12" s="5">
        <f t="array" ref="W12">IF($A12="","",IF($V12="",0,IFERROR(VLOOKUP(LEFT(TRIM(MID(SUBSTITUTE($V12,";",REPT(" ",99)),1,99)),FIND(":",TRIM(MID(SUBSTITUTE($V12,";",REPT(" ",99)),1,99)))-1),Materiales!$A$2:$E$502,5,FALSE)*VALUE(MID(TRIM(MID(SUBSTITUTE($V12,";",REPT(" ",99)),1,99)),FIND(":",TRIM(MID(SUBSTITUTE($V12,";",REPT(" ",99)),1,99)))+1,99)),0) + IFERROR(VLOOKUP(LEFT(TRIM(MID(SUBSTITUTE($V12,";",REPT(" ",99)),100,99)),FIND(":",TRIM(MID(SUBSTITUTE($V12,";",REPT(" ",99)),100,99)))-1),Materiales!$A$2:$E$502,5,FALSE)*VALUE(MID(TRIM(MID(SUBSTITUTE($V12,";",REPT(" ",99)),100,99)),FIND(":",TRIM(MID(SUBSTITUTE($V12,";",REPT(" ",99)),100,99)))+1,99)),0) + IFERROR(VLOOKUP(LEFT(TRIM(MID(SUBSTITUTE($V12,";",REPT(" ",99)),199,99)),FIND(":",TRIM(MID(SUBSTITUTE($V12,";",REPT(" ",99)),199,99)))-1),Materiales!$A$2:$E$502,5,FALSE)*VALUE(MID(TRIM(MID(SUBSTITUTE($V12,";",REPT(" ",99)),199,99)),FIND(":",TRIM(MID(SUBSTITUTE($V12,";",REPT(" ",99)),199,99)))+1,99)),0) + IFERROR(VLOOKUP(LEFT(TRIM(MID(SUBSTITUTE($V12,";",REPT(" ",99)),298,99)),FIND(":",TRIM(MID(SUBSTITUTE($V12,";",REPT(" ",99)),298,99)))-1),Materiales!$A$2:$E$502,5,FALSE)*VALUE(MID(TRIM(MID(SUBSTITUTE($V12,";",REPT(" ",99)),298,99)),FIND(":",TRIM(MID(SUBSTITUTE($V12,";",REPT(" ",99)),298,99)))+1,99)),0) + IFERROR(VLOOKUP(LEFT(TRIM(MID(SUBSTITUTE($V12,";",REPT(" ",99)),397,99)),FIND(":",TRIM(MID(SUBSTITUTE($V12,";",REPT(" ",99)),397,99)))-1),Materiales!$A$2:$E$502,5,FALSE)*VALUE(MID(TRIM(MID(SUBSTITUTE($V12,";",REPT(" ",99)),397,99)),FIND(":",TRIM(MID(SUBSTITUTE($V12,";",REPT(" ",99)),397,99)))+1,99)),0) + IFERROR(VLOOKUP(LEFT(TRIM(MID(SUBSTITUTE($V12,";",REPT(" ",99)),496,99)),FIND(":",TRIM(MID(SUBSTITUTE($V12,";",REPT(" ",99)),496,99)))-1),Materiales!$A$2:$E$502,5,FALSE)*VALUE(MID(TRIM(MID(SUBSTITUTE($V12,";",REPT(" ",99)),496,99)),FIND(":",TRIM(MID(SUBSTITUTE($V12,";",REPT(" ",99)),496,99)))+1,99)),0) + IFERROR(VLOOKUP(LEFT(TRIM(MID(SUBSTITUTE($V12,";",REPT(" ",99)),595,99)),FIND(":",TRIM(MID(SUBSTITUTE($V12,";",REPT(" ",99)),595,99)))-1),Materiales!$A$2:$E$502,5,FALSE)*VALUE(MID(TRIM(MID(SUBSTITUTE($V12,";",REPT(" ",99)),595,99)),FIND(":",TRIM(MID(SUBSTITUTE($V12,";",REPT(" ",99)),595,99)))+1,99)),0) + IFERROR(VLOOKUP(LEFT(TRIM(MID(SUBSTITUTE($V12,";",REPT(" ",99)),694,99)),FIND(":",TRIM(MID(SUBSTITUTE($V12,";",REPT(" ",99)),694,99)))-1),Materiales!$A$2:$E$502,5,FALSE)*VALUE(MID(TRIM(MID(SUBSTITUTE($V12,";",REPT(" ",99)),694,99)),FIND(":",TRIM(MID(SUBSTITUTE($V12,";",REPT(" ",99)),694,99)))+1,99)),0) + IFERROR(VLOOKUP(LEFT(TRIM(MID(SUBSTITUTE($V12,";",REPT(" ",99)),793,99)),FIND(":",TRIM(MID(SUBSTITUTE($V12,";",REPT(" ",99)),793,99)))-1),Materiales!$A$2:$E$502,5,FALSE)*VALUE(MID(TRIM(MID(SUBSTITUTE($V12,";",REPT(" ",99)),793,99)),FIND(":",TRIM(MID(SUBSTITUTE($V12,";",REPT(" ",99)),793,99)))+1,99)),0) + IFERROR(VLOOKUP(LEFT(TRIM(MID(SUBSTITUTE($V12,";",REPT(" ",99)),892,99)),FIND(":",TRIM(MID(SUBSTITUTE($V12,";",REPT(" ",99)),892,99)))-1),Materiales!$A$2:$E$502,5,FALSE)*VALUE(MID(TRIM(MID(SUBSTITUTE($V12,";",REPT(" ",99)),892,99)),FIND(":",TRIM(MID(SUBSTITUTE($V12,";",REPT(" ",99)),892,99)))+1,99)),0)))</f>
        <v>0</v>
      </c>
      <c r="X12" s="39">
        <f t="shared" si="3"/>
        <v>722.6749729</v>
      </c>
      <c r="Y12" s="40" t="s">
        <v>195</v>
      </c>
      <c r="Z12" s="41">
        <f t="shared" si="4"/>
        <v>2168.024919</v>
      </c>
      <c r="AA12" s="42">
        <v>0.0</v>
      </c>
      <c r="AB12" s="18">
        <f t="shared" si="5"/>
        <v>2168.024919</v>
      </c>
      <c r="AC12" s="43">
        <v>2000.0</v>
      </c>
      <c r="AD12" s="42">
        <f t="shared" si="6"/>
        <v>1445.349946</v>
      </c>
      <c r="AE12" s="44">
        <f t="shared" si="7"/>
        <v>1277.325027</v>
      </c>
      <c r="AF12" s="45">
        <f t="shared" si="8"/>
        <v>0.883747933</v>
      </c>
    </row>
    <row r="13">
      <c r="A13" s="17" t="s">
        <v>210</v>
      </c>
      <c r="B13" s="17" t="s">
        <v>16</v>
      </c>
      <c r="C13" s="46">
        <v>1.0</v>
      </c>
      <c r="D13" s="38"/>
      <c r="E13" s="38"/>
      <c r="F13" s="18">
        <v>36.0</v>
      </c>
      <c r="G13" s="5">
        <f t="array" ref="G13">IF($A13="","",IFERROR($F13*(N($C13)*XLOOKUP($B13,Ceras!$A$2:$A$500,Ceras!$G$2:$G$500,0)+IF($D13="",0,N($E13)*XLOOKUP($D13,Ceras!$A$2:$A$500,Ceras!$G$2:$G$500,0))),"Revisar cera"))</f>
        <v>648</v>
      </c>
      <c r="H13" s="5">
        <f t="shared" si="1"/>
        <v>54</v>
      </c>
      <c r="I13" s="17" t="s">
        <v>32</v>
      </c>
      <c r="J13" s="18">
        <v>4.5</v>
      </c>
      <c r="K13" s="5">
        <f t="array" ref="K13">IF($A13="","",IFERROR($J13*XLOOKUP($I13,Pabilos!$A$2:$A$500,Pabilos!$H$2:$H$500,0),"Revisar pabilo"))</f>
        <v>81</v>
      </c>
      <c r="L13" s="17" t="s">
        <v>55</v>
      </c>
      <c r="M13" s="14">
        <f t="shared" si="10"/>
        <v>3.6</v>
      </c>
      <c r="N13" s="5">
        <f t="array" ref="N13">IF($A13="","",IFERROR($M13*XLOOKUP($L13,Esencias!$A$2:$A$501,Esencias!$G$2:$G$501,0),"Revisar esencia"))</f>
        <v>507.0422535</v>
      </c>
      <c r="O13" s="17" t="s">
        <v>81</v>
      </c>
      <c r="P13" s="18">
        <v>0.5</v>
      </c>
      <c r="Q13" s="5">
        <f t="array" ref="Q13">IF($A13="","",IFERROR(IF($P13="",1,$P13)*XLOOKUP($O13,Colores!$A$2:$A$500,Colores!$H$2:$H$500,0),"Revisar color"))</f>
        <v>46.15384615</v>
      </c>
      <c r="R13" s="3"/>
      <c r="S13" s="5">
        <f t="array" ref="S13">IF($A13="","",IF($R13="",0,IFERROR(VLOOKUP(LEFT(TRIM(MID(SUBSTITUTE($R13,";",REPT(" ",99)),1,99)),FIND(":",TRIM(MID(SUBSTITUTE($R13,";",REPT(" ",99)),1,99)))-1),Materiales!$A$2:$E$502,5,FALSE)*VALUE(MID(TRIM(MID(SUBSTITUTE($R13,";",REPT(" ",99)),1,99)),FIND(":",TRIM(MID(SUBSTITUTE($R13,";",REPT(" ",99)),1,99)))+1,99)),0) + IFERROR(VLOOKUP(LEFT(TRIM(MID(SUBSTITUTE($R13,";",REPT(" ",99)),100,99)),FIND(":",TRIM(MID(SUBSTITUTE($R13,";",REPT(" ",99)),100,99)))-1),Materiales!$A$2:$E$502,5,FALSE)*VALUE(MID(TRIM(MID(SUBSTITUTE($R13,";",REPT(" ",99)),100,99)),FIND(":",TRIM(MID(SUBSTITUTE($R13,";",REPT(" ",99)),100,99)))+1,99)),0) + IFERROR(VLOOKUP(LEFT(TRIM(MID(SUBSTITUTE($R13,";",REPT(" ",99)),199,99)),FIND(":",TRIM(MID(SUBSTITUTE($R13,";",REPT(" ",99)),199,99)))-1),Materiales!$A$2:$E$502,5,FALSE)*VALUE(MID(TRIM(MID(SUBSTITUTE($R13,";",REPT(" ",99)),199,99)),FIND(":",TRIM(MID(SUBSTITUTE($R13,";",REPT(" ",99)),199,99)))+1,99)),0) + IFERROR(VLOOKUP(LEFT(TRIM(MID(SUBSTITUTE($R13,";",REPT(" ",99)),298,99)),FIND(":",TRIM(MID(SUBSTITUTE($R13,";",REPT(" ",99)),298,99)))-1),Materiales!$A$2:$E$502,5,FALSE)*VALUE(MID(TRIM(MID(SUBSTITUTE($R13,";",REPT(" ",99)),298,99)),FIND(":",TRIM(MID(SUBSTITUTE($R13,";",REPT(" ",99)),298,99)))+1,99)),0) + IFERROR(VLOOKUP(LEFT(TRIM(MID(SUBSTITUTE($R13,";",REPT(" ",99)),397,99)),FIND(":",TRIM(MID(SUBSTITUTE($R13,";",REPT(" ",99)),397,99)))-1),Materiales!$A$2:$E$502,5,FALSE)*VALUE(MID(TRIM(MID(SUBSTITUTE($R13,";",REPT(" ",99)),397,99)),FIND(":",TRIM(MID(SUBSTITUTE($R13,";",REPT(" ",99)),397,99)))+1,99)),0) + IFERROR(VLOOKUP(LEFT(TRIM(MID(SUBSTITUTE($R13,";",REPT(" ",99)),496,99)),FIND(":",TRIM(MID(SUBSTITUTE($R13,";",REPT(" ",99)),496,99)))-1),Materiales!$A$2:$E$502,5,FALSE)*VALUE(MID(TRIM(MID(SUBSTITUTE($R13,";",REPT(" ",99)),496,99)),FIND(":",TRIM(MID(SUBSTITUTE($R13,";",REPT(" ",99)),496,99)))+1,99)),0) + IFERROR(VLOOKUP(LEFT(TRIM(MID(SUBSTITUTE($R13,";",REPT(" ",99)),595,99)),FIND(":",TRIM(MID(SUBSTITUTE($R13,";",REPT(" ",99)),595,99)))-1),Materiales!$A$2:$E$502,5,FALSE)*VALUE(MID(TRIM(MID(SUBSTITUTE($R13,";",REPT(" ",99)),595,99)),FIND(":",TRIM(MID(SUBSTITUTE($R13,";",REPT(" ",99)),595,99)))+1,99)),0) + IFERROR(VLOOKUP(LEFT(TRIM(MID(SUBSTITUTE($R13,";",REPT(" ",99)),694,99)),FIND(":",TRIM(MID(SUBSTITUTE($R13,";",REPT(" ",99)),694,99)))-1),Materiales!$A$2:$E$502,5,FALSE)*VALUE(MID(TRIM(MID(SUBSTITUTE($R13,";",REPT(" ",99)),694,99)),FIND(":",TRIM(MID(SUBSTITUTE($R13,";",REPT(" ",99)),694,99)))+1,99)),0) + IFERROR(VLOOKUP(LEFT(TRIM(MID(SUBSTITUTE($R13,";",REPT(" ",99)),793,99)),FIND(":",TRIM(MID(SUBSTITUTE($R13,";",REPT(" ",99)),793,99)))-1),Materiales!$A$2:$E$502,5,FALSE)*VALUE(MID(TRIM(MID(SUBSTITUTE($R13,";",REPT(" ",99)),793,99)),FIND(":",TRIM(MID(SUBSTITUTE($R13,";",REPT(" ",99)),793,99)))+1,99)),0) + IFERROR(VLOOKUP(LEFT(TRIM(MID(SUBSTITUTE($R13,";",REPT(" ",99)),892,99)),FIND(":",TRIM(MID(SUBSTITUTE($R13,";",REPT(" ",99)),892,99)))-1),Materiales!$A$2:$E$502,5,FALSE)*VALUE(MID(TRIM(MID(SUBSTITUTE($R13,";",REPT(" ",99)),892,99)),FIND(":",TRIM(MID(SUBSTITUTE($R13,";",REPT(" ",99)),892,99)))+1,99)),0)))</f>
        <v>0</v>
      </c>
      <c r="T13" s="3"/>
      <c r="U13" s="5">
        <f t="array" ref="U13">IF($A13="","",IF($T13="",0,IFERROR(VLOOKUP(LEFT(TRIM(MID(SUBSTITUTE($T13,";",REPT(" ",99)),1,99)),FIND(":",TRIM(MID(SUBSTITUTE($T13,";",REPT(" ",99)),1,99)))-1),Materiales!$A$2:$E$502,5,FALSE)*VALUE(MID(TRIM(MID(SUBSTITUTE($T13,";",REPT(" ",99)),1,99)),FIND(":",TRIM(MID(SUBSTITUTE($T13,";",REPT(" ",99)),1,99)))+1,99)),0) + IFERROR(VLOOKUP(LEFT(TRIM(MID(SUBSTITUTE($T13,";",REPT(" ",99)),100,99)),FIND(":",TRIM(MID(SUBSTITUTE($T13,";",REPT(" ",99)),100,99)))-1),Materiales!$A$2:$E$502,5,FALSE)*VALUE(MID(TRIM(MID(SUBSTITUTE($T13,";",REPT(" ",99)),100,99)),FIND(":",TRIM(MID(SUBSTITUTE($T13,";",REPT(" ",99)),100,99)))+1,99)),0) + IFERROR(VLOOKUP(LEFT(TRIM(MID(SUBSTITUTE($T13,";",REPT(" ",99)),199,99)),FIND(":",TRIM(MID(SUBSTITUTE($T13,";",REPT(" ",99)),199,99)))-1),Materiales!$A$2:$E$502,5,FALSE)*VALUE(MID(TRIM(MID(SUBSTITUTE($T13,";",REPT(" ",99)),199,99)),FIND(":",TRIM(MID(SUBSTITUTE($T13,";",REPT(" ",99)),199,99)))+1,99)),0) + IFERROR(VLOOKUP(LEFT(TRIM(MID(SUBSTITUTE($T13,";",REPT(" ",99)),298,99)),FIND(":",TRIM(MID(SUBSTITUTE($T13,";",REPT(" ",99)),298,99)))-1),Materiales!$A$2:$E$502,5,FALSE)*VALUE(MID(TRIM(MID(SUBSTITUTE($T13,";",REPT(" ",99)),298,99)),FIND(":",TRIM(MID(SUBSTITUTE($T13,";",REPT(" ",99)),298,99)))+1,99)),0) + IFERROR(VLOOKUP(LEFT(TRIM(MID(SUBSTITUTE($T13,";",REPT(" ",99)),397,99)),FIND(":",TRIM(MID(SUBSTITUTE($T13,";",REPT(" ",99)),397,99)))-1),Materiales!$A$2:$E$502,5,FALSE)*VALUE(MID(TRIM(MID(SUBSTITUTE($T13,";",REPT(" ",99)),397,99)),FIND(":",TRIM(MID(SUBSTITUTE($T13,";",REPT(" ",99)),397,99)))+1,99)),0) + IFERROR(VLOOKUP(LEFT(TRIM(MID(SUBSTITUTE($T13,";",REPT(" ",99)),496,99)),FIND(":",TRIM(MID(SUBSTITUTE($T13,";",REPT(" ",99)),496,99)))-1),Materiales!$A$2:$E$502,5,FALSE)*VALUE(MID(TRIM(MID(SUBSTITUTE($T13,";",REPT(" ",99)),496,99)),FIND(":",TRIM(MID(SUBSTITUTE($T13,";",REPT(" ",99)),496,99)))+1,99)),0) + IFERROR(VLOOKUP(LEFT(TRIM(MID(SUBSTITUTE($T13,";",REPT(" ",99)),595,99)),FIND(":",TRIM(MID(SUBSTITUTE($T13,";",REPT(" ",99)),595,99)))-1),Materiales!$A$2:$E$502,5,FALSE)*VALUE(MID(TRIM(MID(SUBSTITUTE($T13,";",REPT(" ",99)),595,99)),FIND(":",TRIM(MID(SUBSTITUTE($T13,";",REPT(" ",99)),595,99)))+1,99)),0) + IFERROR(VLOOKUP(LEFT(TRIM(MID(SUBSTITUTE($T13,";",REPT(" ",99)),694,99)),FIND(":",TRIM(MID(SUBSTITUTE($T13,";",REPT(" ",99)),694,99)))-1),Materiales!$A$2:$E$502,5,FALSE)*VALUE(MID(TRIM(MID(SUBSTITUTE($T13,";",REPT(" ",99)),694,99)),FIND(":",TRIM(MID(SUBSTITUTE($T13,";",REPT(" ",99)),694,99)))+1,99)),0) + IFERROR(VLOOKUP(LEFT(TRIM(MID(SUBSTITUTE($T13,";",REPT(" ",99)),793,99)),FIND(":",TRIM(MID(SUBSTITUTE($T13,";",REPT(" ",99)),793,99)))-1),Materiales!$A$2:$E$502,5,FALSE)*VALUE(MID(TRIM(MID(SUBSTITUTE($T13,";",REPT(" ",99)),793,99)),FIND(":",TRIM(MID(SUBSTITUTE($T13,";",REPT(" ",99)),793,99)))+1,99)),0) + IFERROR(VLOOKUP(LEFT(TRIM(MID(SUBSTITUTE($T13,";",REPT(" ",99)),892,99)),FIND(":",TRIM(MID(SUBSTITUTE($T13,";",REPT(" ",99)),892,99)))-1),Materiales!$A$2:$E$502,5,FALSE)*VALUE(MID(TRIM(MID(SUBSTITUTE($T13,";",REPT(" ",99)),892,99)),FIND(":",TRIM(MID(SUBSTITUTE($T13,";",REPT(" ",99)),892,99)))+1,99)),0)))</f>
        <v>0</v>
      </c>
      <c r="V13" s="3"/>
      <c r="W13" s="5">
        <f t="array" ref="W13">IF($A13="","",IF($V13="",0,IFERROR(VLOOKUP(LEFT(TRIM(MID(SUBSTITUTE($V13,";",REPT(" ",99)),1,99)),FIND(":",TRIM(MID(SUBSTITUTE($V13,";",REPT(" ",99)),1,99)))-1),Materiales!$A$2:$E$502,5,FALSE)*VALUE(MID(TRIM(MID(SUBSTITUTE($V13,";",REPT(" ",99)),1,99)),FIND(":",TRIM(MID(SUBSTITUTE($V13,";",REPT(" ",99)),1,99)))+1,99)),0) + IFERROR(VLOOKUP(LEFT(TRIM(MID(SUBSTITUTE($V13,";",REPT(" ",99)),100,99)),FIND(":",TRIM(MID(SUBSTITUTE($V13,";",REPT(" ",99)),100,99)))-1),Materiales!$A$2:$E$502,5,FALSE)*VALUE(MID(TRIM(MID(SUBSTITUTE($V13,";",REPT(" ",99)),100,99)),FIND(":",TRIM(MID(SUBSTITUTE($V13,";",REPT(" ",99)),100,99)))+1,99)),0) + IFERROR(VLOOKUP(LEFT(TRIM(MID(SUBSTITUTE($V13,";",REPT(" ",99)),199,99)),FIND(":",TRIM(MID(SUBSTITUTE($V13,";",REPT(" ",99)),199,99)))-1),Materiales!$A$2:$E$502,5,FALSE)*VALUE(MID(TRIM(MID(SUBSTITUTE($V13,";",REPT(" ",99)),199,99)),FIND(":",TRIM(MID(SUBSTITUTE($V13,";",REPT(" ",99)),199,99)))+1,99)),0) + IFERROR(VLOOKUP(LEFT(TRIM(MID(SUBSTITUTE($V13,";",REPT(" ",99)),298,99)),FIND(":",TRIM(MID(SUBSTITUTE($V13,";",REPT(" ",99)),298,99)))-1),Materiales!$A$2:$E$502,5,FALSE)*VALUE(MID(TRIM(MID(SUBSTITUTE($V13,";",REPT(" ",99)),298,99)),FIND(":",TRIM(MID(SUBSTITUTE($V13,";",REPT(" ",99)),298,99)))+1,99)),0) + IFERROR(VLOOKUP(LEFT(TRIM(MID(SUBSTITUTE($V13,";",REPT(" ",99)),397,99)),FIND(":",TRIM(MID(SUBSTITUTE($V13,";",REPT(" ",99)),397,99)))-1),Materiales!$A$2:$E$502,5,FALSE)*VALUE(MID(TRIM(MID(SUBSTITUTE($V13,";",REPT(" ",99)),397,99)),FIND(":",TRIM(MID(SUBSTITUTE($V13,";",REPT(" ",99)),397,99)))+1,99)),0) + IFERROR(VLOOKUP(LEFT(TRIM(MID(SUBSTITUTE($V13,";",REPT(" ",99)),496,99)),FIND(":",TRIM(MID(SUBSTITUTE($V13,";",REPT(" ",99)),496,99)))-1),Materiales!$A$2:$E$502,5,FALSE)*VALUE(MID(TRIM(MID(SUBSTITUTE($V13,";",REPT(" ",99)),496,99)),FIND(":",TRIM(MID(SUBSTITUTE($V13,";",REPT(" ",99)),496,99)))+1,99)),0) + IFERROR(VLOOKUP(LEFT(TRIM(MID(SUBSTITUTE($V13,";",REPT(" ",99)),595,99)),FIND(":",TRIM(MID(SUBSTITUTE($V13,";",REPT(" ",99)),595,99)))-1),Materiales!$A$2:$E$502,5,FALSE)*VALUE(MID(TRIM(MID(SUBSTITUTE($V13,";",REPT(" ",99)),595,99)),FIND(":",TRIM(MID(SUBSTITUTE($V13,";",REPT(" ",99)),595,99)))+1,99)),0) + IFERROR(VLOOKUP(LEFT(TRIM(MID(SUBSTITUTE($V13,";",REPT(" ",99)),694,99)),FIND(":",TRIM(MID(SUBSTITUTE($V13,";",REPT(" ",99)),694,99)))-1),Materiales!$A$2:$E$502,5,FALSE)*VALUE(MID(TRIM(MID(SUBSTITUTE($V13,";",REPT(" ",99)),694,99)),FIND(":",TRIM(MID(SUBSTITUTE($V13,";",REPT(" ",99)),694,99)))+1,99)),0) + IFERROR(VLOOKUP(LEFT(TRIM(MID(SUBSTITUTE($V13,";",REPT(" ",99)),793,99)),FIND(":",TRIM(MID(SUBSTITUTE($V13,";",REPT(" ",99)),793,99)))-1),Materiales!$A$2:$E$502,5,FALSE)*VALUE(MID(TRIM(MID(SUBSTITUTE($V13,";",REPT(" ",99)),793,99)),FIND(":",TRIM(MID(SUBSTITUTE($V13,";",REPT(" ",99)),793,99)))+1,99)),0) + IFERROR(VLOOKUP(LEFT(TRIM(MID(SUBSTITUTE($V13,";",REPT(" ",99)),892,99)),FIND(":",TRIM(MID(SUBSTITUTE($V13,";",REPT(" ",99)),892,99)))-1),Materiales!$A$2:$E$502,5,FALSE)*VALUE(MID(TRIM(MID(SUBSTITUTE($V13,";",REPT(" ",99)),892,99)),FIND(":",TRIM(MID(SUBSTITUTE($V13,";",REPT(" ",99)),892,99)))+1,99)),0)))</f>
        <v>0</v>
      </c>
      <c r="X13" s="39">
        <f t="shared" si="3"/>
        <v>1336.1961</v>
      </c>
      <c r="Y13" s="40" t="s">
        <v>195</v>
      </c>
      <c r="Z13" s="41">
        <f t="shared" si="4"/>
        <v>4008.588299</v>
      </c>
      <c r="AA13" s="42">
        <v>0.0</v>
      </c>
      <c r="AB13" s="18">
        <f t="shared" si="5"/>
        <v>4008.588299</v>
      </c>
      <c r="AC13" s="43">
        <v>4000.0</v>
      </c>
      <c r="AD13" s="42">
        <f t="shared" si="6"/>
        <v>2672.392199</v>
      </c>
      <c r="AE13" s="44">
        <f t="shared" si="7"/>
        <v>2663.8039</v>
      </c>
      <c r="AF13" s="45">
        <f t="shared" si="8"/>
        <v>0.9967862879</v>
      </c>
    </row>
    <row r="14">
      <c r="A14" s="17" t="s">
        <v>211</v>
      </c>
      <c r="B14" s="17" t="s">
        <v>16</v>
      </c>
      <c r="C14" s="46">
        <v>1.0</v>
      </c>
      <c r="D14" s="38"/>
      <c r="E14" s="38"/>
      <c r="F14" s="18">
        <v>13.0</v>
      </c>
      <c r="G14" s="5">
        <f t="array" ref="G14">IF($A14="","",IFERROR($F14*(N($C14)*XLOOKUP($B14,Ceras!$A$2:$A$500,Ceras!$G$2:$G$500,0)+IF($D14="",0,N($E14)*XLOOKUP($D14,Ceras!$A$2:$A$500,Ceras!$G$2:$G$500,0))),"Revisar cera"))</f>
        <v>234</v>
      </c>
      <c r="H14" s="5">
        <f t="shared" si="1"/>
        <v>19.5</v>
      </c>
      <c r="I14" s="17" t="s">
        <v>32</v>
      </c>
      <c r="J14" s="18">
        <v>4.0</v>
      </c>
      <c r="K14" s="5">
        <f t="array" ref="K14">IF($A14="","",IFERROR($J14*XLOOKUP($I14,Pabilos!$A$2:$A$500,Pabilos!$H$2:$H$500,0),"Revisar pabilo"))</f>
        <v>72</v>
      </c>
      <c r="L14" s="17" t="s">
        <v>55</v>
      </c>
      <c r="M14" s="14">
        <f t="shared" si="10"/>
        <v>1.3</v>
      </c>
      <c r="N14" s="5">
        <f t="array" ref="N14">IF($A14="","",IFERROR($M14*XLOOKUP($L14,Esencias!$A$2:$A$501,Esencias!$G$2:$G$501,0),"Revisar esencia"))</f>
        <v>183.0985915</v>
      </c>
      <c r="O14" s="17" t="s">
        <v>81</v>
      </c>
      <c r="P14" s="18">
        <v>0.5</v>
      </c>
      <c r="Q14" s="5">
        <f t="array" ref="Q14">IF($A14="","",IFERROR(IF($P14="",1,$P14)*XLOOKUP($O14,Colores!$A$2:$A$500,Colores!$H$2:$H$500,0),"Revisar color"))</f>
        <v>46.15384615</v>
      </c>
      <c r="R14" s="3"/>
      <c r="S14" s="5">
        <f t="array" ref="S14">IF($A14="","",IF($R14="",0,IFERROR(VLOOKUP(LEFT(TRIM(MID(SUBSTITUTE($R14,";",REPT(" ",99)),1,99)),FIND(":",TRIM(MID(SUBSTITUTE($R14,";",REPT(" ",99)),1,99)))-1),Materiales!$A$2:$E$502,5,FALSE)*VALUE(MID(TRIM(MID(SUBSTITUTE($R14,";",REPT(" ",99)),1,99)),FIND(":",TRIM(MID(SUBSTITUTE($R14,";",REPT(" ",99)),1,99)))+1,99)),0) + IFERROR(VLOOKUP(LEFT(TRIM(MID(SUBSTITUTE($R14,";",REPT(" ",99)),100,99)),FIND(":",TRIM(MID(SUBSTITUTE($R14,";",REPT(" ",99)),100,99)))-1),Materiales!$A$2:$E$502,5,FALSE)*VALUE(MID(TRIM(MID(SUBSTITUTE($R14,";",REPT(" ",99)),100,99)),FIND(":",TRIM(MID(SUBSTITUTE($R14,";",REPT(" ",99)),100,99)))+1,99)),0) + IFERROR(VLOOKUP(LEFT(TRIM(MID(SUBSTITUTE($R14,";",REPT(" ",99)),199,99)),FIND(":",TRIM(MID(SUBSTITUTE($R14,";",REPT(" ",99)),199,99)))-1),Materiales!$A$2:$E$502,5,FALSE)*VALUE(MID(TRIM(MID(SUBSTITUTE($R14,";",REPT(" ",99)),199,99)),FIND(":",TRIM(MID(SUBSTITUTE($R14,";",REPT(" ",99)),199,99)))+1,99)),0) + IFERROR(VLOOKUP(LEFT(TRIM(MID(SUBSTITUTE($R14,";",REPT(" ",99)),298,99)),FIND(":",TRIM(MID(SUBSTITUTE($R14,";",REPT(" ",99)),298,99)))-1),Materiales!$A$2:$E$502,5,FALSE)*VALUE(MID(TRIM(MID(SUBSTITUTE($R14,";",REPT(" ",99)),298,99)),FIND(":",TRIM(MID(SUBSTITUTE($R14,";",REPT(" ",99)),298,99)))+1,99)),0) + IFERROR(VLOOKUP(LEFT(TRIM(MID(SUBSTITUTE($R14,";",REPT(" ",99)),397,99)),FIND(":",TRIM(MID(SUBSTITUTE($R14,";",REPT(" ",99)),397,99)))-1),Materiales!$A$2:$E$502,5,FALSE)*VALUE(MID(TRIM(MID(SUBSTITUTE($R14,";",REPT(" ",99)),397,99)),FIND(":",TRIM(MID(SUBSTITUTE($R14,";",REPT(" ",99)),397,99)))+1,99)),0) + IFERROR(VLOOKUP(LEFT(TRIM(MID(SUBSTITUTE($R14,";",REPT(" ",99)),496,99)),FIND(":",TRIM(MID(SUBSTITUTE($R14,";",REPT(" ",99)),496,99)))-1),Materiales!$A$2:$E$502,5,FALSE)*VALUE(MID(TRIM(MID(SUBSTITUTE($R14,";",REPT(" ",99)),496,99)),FIND(":",TRIM(MID(SUBSTITUTE($R14,";",REPT(" ",99)),496,99)))+1,99)),0) + IFERROR(VLOOKUP(LEFT(TRIM(MID(SUBSTITUTE($R14,";",REPT(" ",99)),595,99)),FIND(":",TRIM(MID(SUBSTITUTE($R14,";",REPT(" ",99)),595,99)))-1),Materiales!$A$2:$E$502,5,FALSE)*VALUE(MID(TRIM(MID(SUBSTITUTE($R14,";",REPT(" ",99)),595,99)),FIND(":",TRIM(MID(SUBSTITUTE($R14,";",REPT(" ",99)),595,99)))+1,99)),0) + IFERROR(VLOOKUP(LEFT(TRIM(MID(SUBSTITUTE($R14,";",REPT(" ",99)),694,99)),FIND(":",TRIM(MID(SUBSTITUTE($R14,";",REPT(" ",99)),694,99)))-1),Materiales!$A$2:$E$502,5,FALSE)*VALUE(MID(TRIM(MID(SUBSTITUTE($R14,";",REPT(" ",99)),694,99)),FIND(":",TRIM(MID(SUBSTITUTE($R14,";",REPT(" ",99)),694,99)))+1,99)),0) + IFERROR(VLOOKUP(LEFT(TRIM(MID(SUBSTITUTE($R14,";",REPT(" ",99)),793,99)),FIND(":",TRIM(MID(SUBSTITUTE($R14,";",REPT(" ",99)),793,99)))-1),Materiales!$A$2:$E$502,5,FALSE)*VALUE(MID(TRIM(MID(SUBSTITUTE($R14,";",REPT(" ",99)),793,99)),FIND(":",TRIM(MID(SUBSTITUTE($R14,";",REPT(" ",99)),793,99)))+1,99)),0) + IFERROR(VLOOKUP(LEFT(TRIM(MID(SUBSTITUTE($R14,";",REPT(" ",99)),892,99)),FIND(":",TRIM(MID(SUBSTITUTE($R14,";",REPT(" ",99)),892,99)))-1),Materiales!$A$2:$E$502,5,FALSE)*VALUE(MID(TRIM(MID(SUBSTITUTE($R14,";",REPT(" ",99)),892,99)),FIND(":",TRIM(MID(SUBSTITUTE($R14,";",REPT(" ",99)),892,99)))+1,99)),0)))</f>
        <v>0</v>
      </c>
      <c r="T14" s="3"/>
      <c r="U14" s="5">
        <f t="array" ref="U14">IF($A14="","",IF($T14="",0,IFERROR(VLOOKUP(LEFT(TRIM(MID(SUBSTITUTE($T14,";",REPT(" ",99)),1,99)),FIND(":",TRIM(MID(SUBSTITUTE($T14,";",REPT(" ",99)),1,99)))-1),Materiales!$A$2:$E$502,5,FALSE)*VALUE(MID(TRIM(MID(SUBSTITUTE($T14,";",REPT(" ",99)),1,99)),FIND(":",TRIM(MID(SUBSTITUTE($T14,";",REPT(" ",99)),1,99)))+1,99)),0) + IFERROR(VLOOKUP(LEFT(TRIM(MID(SUBSTITUTE($T14,";",REPT(" ",99)),100,99)),FIND(":",TRIM(MID(SUBSTITUTE($T14,";",REPT(" ",99)),100,99)))-1),Materiales!$A$2:$E$502,5,FALSE)*VALUE(MID(TRIM(MID(SUBSTITUTE($T14,";",REPT(" ",99)),100,99)),FIND(":",TRIM(MID(SUBSTITUTE($T14,";",REPT(" ",99)),100,99)))+1,99)),0) + IFERROR(VLOOKUP(LEFT(TRIM(MID(SUBSTITUTE($T14,";",REPT(" ",99)),199,99)),FIND(":",TRIM(MID(SUBSTITUTE($T14,";",REPT(" ",99)),199,99)))-1),Materiales!$A$2:$E$502,5,FALSE)*VALUE(MID(TRIM(MID(SUBSTITUTE($T14,";",REPT(" ",99)),199,99)),FIND(":",TRIM(MID(SUBSTITUTE($T14,";",REPT(" ",99)),199,99)))+1,99)),0) + IFERROR(VLOOKUP(LEFT(TRIM(MID(SUBSTITUTE($T14,";",REPT(" ",99)),298,99)),FIND(":",TRIM(MID(SUBSTITUTE($T14,";",REPT(" ",99)),298,99)))-1),Materiales!$A$2:$E$502,5,FALSE)*VALUE(MID(TRIM(MID(SUBSTITUTE($T14,";",REPT(" ",99)),298,99)),FIND(":",TRIM(MID(SUBSTITUTE($T14,";",REPT(" ",99)),298,99)))+1,99)),0) + IFERROR(VLOOKUP(LEFT(TRIM(MID(SUBSTITUTE($T14,";",REPT(" ",99)),397,99)),FIND(":",TRIM(MID(SUBSTITUTE($T14,";",REPT(" ",99)),397,99)))-1),Materiales!$A$2:$E$502,5,FALSE)*VALUE(MID(TRIM(MID(SUBSTITUTE($T14,";",REPT(" ",99)),397,99)),FIND(":",TRIM(MID(SUBSTITUTE($T14,";",REPT(" ",99)),397,99)))+1,99)),0) + IFERROR(VLOOKUP(LEFT(TRIM(MID(SUBSTITUTE($T14,";",REPT(" ",99)),496,99)),FIND(":",TRIM(MID(SUBSTITUTE($T14,";",REPT(" ",99)),496,99)))-1),Materiales!$A$2:$E$502,5,FALSE)*VALUE(MID(TRIM(MID(SUBSTITUTE($T14,";",REPT(" ",99)),496,99)),FIND(":",TRIM(MID(SUBSTITUTE($T14,";",REPT(" ",99)),496,99)))+1,99)),0) + IFERROR(VLOOKUP(LEFT(TRIM(MID(SUBSTITUTE($T14,";",REPT(" ",99)),595,99)),FIND(":",TRIM(MID(SUBSTITUTE($T14,";",REPT(" ",99)),595,99)))-1),Materiales!$A$2:$E$502,5,FALSE)*VALUE(MID(TRIM(MID(SUBSTITUTE($T14,";",REPT(" ",99)),595,99)),FIND(":",TRIM(MID(SUBSTITUTE($T14,";",REPT(" ",99)),595,99)))+1,99)),0) + IFERROR(VLOOKUP(LEFT(TRIM(MID(SUBSTITUTE($T14,";",REPT(" ",99)),694,99)),FIND(":",TRIM(MID(SUBSTITUTE($T14,";",REPT(" ",99)),694,99)))-1),Materiales!$A$2:$E$502,5,FALSE)*VALUE(MID(TRIM(MID(SUBSTITUTE($T14,";",REPT(" ",99)),694,99)),FIND(":",TRIM(MID(SUBSTITUTE($T14,";",REPT(" ",99)),694,99)))+1,99)),0) + IFERROR(VLOOKUP(LEFT(TRIM(MID(SUBSTITUTE($T14,";",REPT(" ",99)),793,99)),FIND(":",TRIM(MID(SUBSTITUTE($T14,";",REPT(" ",99)),793,99)))-1),Materiales!$A$2:$E$502,5,FALSE)*VALUE(MID(TRIM(MID(SUBSTITUTE($T14,";",REPT(" ",99)),793,99)),FIND(":",TRIM(MID(SUBSTITUTE($T14,";",REPT(" ",99)),793,99)))+1,99)),0) + IFERROR(VLOOKUP(LEFT(TRIM(MID(SUBSTITUTE($T14,";",REPT(" ",99)),892,99)),FIND(":",TRIM(MID(SUBSTITUTE($T14,";",REPT(" ",99)),892,99)))-1),Materiales!$A$2:$E$502,5,FALSE)*VALUE(MID(TRIM(MID(SUBSTITUTE($T14,";",REPT(" ",99)),892,99)),FIND(":",TRIM(MID(SUBSTITUTE($T14,";",REPT(" ",99)),892,99)))+1,99)),0)))</f>
        <v>0</v>
      </c>
      <c r="V14" s="3"/>
      <c r="W14" s="5">
        <f t="array" ref="W14">IF($A14="","",IF($V14="",0,IFERROR(VLOOKUP(LEFT(TRIM(MID(SUBSTITUTE($V14,";",REPT(" ",99)),1,99)),FIND(":",TRIM(MID(SUBSTITUTE($V14,";",REPT(" ",99)),1,99)))-1),Materiales!$A$2:$E$502,5,FALSE)*VALUE(MID(TRIM(MID(SUBSTITUTE($V14,";",REPT(" ",99)),1,99)),FIND(":",TRIM(MID(SUBSTITUTE($V14,";",REPT(" ",99)),1,99)))+1,99)),0) + IFERROR(VLOOKUP(LEFT(TRIM(MID(SUBSTITUTE($V14,";",REPT(" ",99)),100,99)),FIND(":",TRIM(MID(SUBSTITUTE($V14,";",REPT(" ",99)),100,99)))-1),Materiales!$A$2:$E$502,5,FALSE)*VALUE(MID(TRIM(MID(SUBSTITUTE($V14,";",REPT(" ",99)),100,99)),FIND(":",TRIM(MID(SUBSTITUTE($V14,";",REPT(" ",99)),100,99)))+1,99)),0) + IFERROR(VLOOKUP(LEFT(TRIM(MID(SUBSTITUTE($V14,";",REPT(" ",99)),199,99)),FIND(":",TRIM(MID(SUBSTITUTE($V14,";",REPT(" ",99)),199,99)))-1),Materiales!$A$2:$E$502,5,FALSE)*VALUE(MID(TRIM(MID(SUBSTITUTE($V14,";",REPT(" ",99)),199,99)),FIND(":",TRIM(MID(SUBSTITUTE($V14,";",REPT(" ",99)),199,99)))+1,99)),0) + IFERROR(VLOOKUP(LEFT(TRIM(MID(SUBSTITUTE($V14,";",REPT(" ",99)),298,99)),FIND(":",TRIM(MID(SUBSTITUTE($V14,";",REPT(" ",99)),298,99)))-1),Materiales!$A$2:$E$502,5,FALSE)*VALUE(MID(TRIM(MID(SUBSTITUTE($V14,";",REPT(" ",99)),298,99)),FIND(":",TRIM(MID(SUBSTITUTE($V14,";",REPT(" ",99)),298,99)))+1,99)),0) + IFERROR(VLOOKUP(LEFT(TRIM(MID(SUBSTITUTE($V14,";",REPT(" ",99)),397,99)),FIND(":",TRIM(MID(SUBSTITUTE($V14,";",REPT(" ",99)),397,99)))-1),Materiales!$A$2:$E$502,5,FALSE)*VALUE(MID(TRIM(MID(SUBSTITUTE($V14,";",REPT(" ",99)),397,99)),FIND(":",TRIM(MID(SUBSTITUTE($V14,";",REPT(" ",99)),397,99)))+1,99)),0) + IFERROR(VLOOKUP(LEFT(TRIM(MID(SUBSTITUTE($V14,";",REPT(" ",99)),496,99)),FIND(":",TRIM(MID(SUBSTITUTE($V14,";",REPT(" ",99)),496,99)))-1),Materiales!$A$2:$E$502,5,FALSE)*VALUE(MID(TRIM(MID(SUBSTITUTE($V14,";",REPT(" ",99)),496,99)),FIND(":",TRIM(MID(SUBSTITUTE($V14,";",REPT(" ",99)),496,99)))+1,99)),0) + IFERROR(VLOOKUP(LEFT(TRIM(MID(SUBSTITUTE($V14,";",REPT(" ",99)),595,99)),FIND(":",TRIM(MID(SUBSTITUTE($V14,";",REPT(" ",99)),595,99)))-1),Materiales!$A$2:$E$502,5,FALSE)*VALUE(MID(TRIM(MID(SUBSTITUTE($V14,";",REPT(" ",99)),595,99)),FIND(":",TRIM(MID(SUBSTITUTE($V14,";",REPT(" ",99)),595,99)))+1,99)),0) + IFERROR(VLOOKUP(LEFT(TRIM(MID(SUBSTITUTE($V14,";",REPT(" ",99)),694,99)),FIND(":",TRIM(MID(SUBSTITUTE($V14,";",REPT(" ",99)),694,99)))-1),Materiales!$A$2:$E$502,5,FALSE)*VALUE(MID(TRIM(MID(SUBSTITUTE($V14,";",REPT(" ",99)),694,99)),FIND(":",TRIM(MID(SUBSTITUTE($V14,";",REPT(" ",99)),694,99)))+1,99)),0) + IFERROR(VLOOKUP(LEFT(TRIM(MID(SUBSTITUTE($V14,";",REPT(" ",99)),793,99)),FIND(":",TRIM(MID(SUBSTITUTE($V14,";",REPT(" ",99)),793,99)))-1),Materiales!$A$2:$E$502,5,FALSE)*VALUE(MID(TRIM(MID(SUBSTITUTE($V14,";",REPT(" ",99)),793,99)),FIND(":",TRIM(MID(SUBSTITUTE($V14,";",REPT(" ",99)),793,99)))+1,99)),0) + IFERROR(VLOOKUP(LEFT(TRIM(MID(SUBSTITUTE($V14,";",REPT(" ",99)),892,99)),FIND(":",TRIM(MID(SUBSTITUTE($V14,";",REPT(" ",99)),892,99)))-1),Materiales!$A$2:$E$502,5,FALSE)*VALUE(MID(TRIM(MID(SUBSTITUTE($V14,";",REPT(" ",99)),892,99)),FIND(":",TRIM(MID(SUBSTITUTE($V14,";",REPT(" ",99)),892,99)))+1,99)),0)))</f>
        <v>0</v>
      </c>
      <c r="X14" s="39">
        <f t="shared" si="3"/>
        <v>554.7524377</v>
      </c>
      <c r="Y14" s="40" t="s">
        <v>195</v>
      </c>
      <c r="Z14" s="41">
        <f t="shared" si="4"/>
        <v>1664.257313</v>
      </c>
      <c r="AA14" s="42">
        <v>0.0</v>
      </c>
      <c r="AB14" s="18">
        <f t="shared" si="5"/>
        <v>1664.257313</v>
      </c>
      <c r="AC14" s="43">
        <v>2000.0</v>
      </c>
      <c r="AD14" s="42">
        <f t="shared" si="6"/>
        <v>1109.504875</v>
      </c>
      <c r="AE14" s="44">
        <f t="shared" si="7"/>
        <v>1445.247562</v>
      </c>
      <c r="AF14" s="45">
        <f t="shared" si="8"/>
        <v>1.302605869</v>
      </c>
    </row>
    <row r="15">
      <c r="A15" s="17" t="s">
        <v>212</v>
      </c>
      <c r="B15" s="17" t="s">
        <v>16</v>
      </c>
      <c r="C15" s="46">
        <v>1.0</v>
      </c>
      <c r="D15" s="38"/>
      <c r="E15" s="38"/>
      <c r="F15" s="18">
        <v>29.0</v>
      </c>
      <c r="G15" s="5">
        <f t="array" ref="G15">IF($A15="","",IFERROR($F15*(N($C15)*XLOOKUP($B15,Ceras!$A$2:$A$500,Ceras!$G$2:$G$500,0)+IF($D15="",0,N($E15)*XLOOKUP($D15,Ceras!$A$2:$A$500,Ceras!$G$2:$G$500,0))),"Revisar cera"))</f>
        <v>522</v>
      </c>
      <c r="H15" s="5">
        <f t="shared" si="1"/>
        <v>43.5</v>
      </c>
      <c r="I15" s="17" t="s">
        <v>32</v>
      </c>
      <c r="J15" s="18">
        <v>4.0</v>
      </c>
      <c r="K15" s="5">
        <f t="array" ref="K15">IF($A15="","",IFERROR($J15*XLOOKUP($I15,Pabilos!$A$2:$A$500,Pabilos!$H$2:$H$500,0),"Revisar pabilo"))</f>
        <v>72</v>
      </c>
      <c r="L15" s="17" t="s">
        <v>55</v>
      </c>
      <c r="M15" s="14">
        <f t="shared" si="10"/>
        <v>2.9</v>
      </c>
      <c r="N15" s="5">
        <f t="array" ref="N15">IF($A15="","",IFERROR($M15*XLOOKUP($L15,Esencias!$A$2:$A$501,Esencias!$G$2:$G$501,0),"Revisar esencia"))</f>
        <v>408.4507042</v>
      </c>
      <c r="O15" s="17" t="s">
        <v>81</v>
      </c>
      <c r="P15" s="18">
        <v>1.0</v>
      </c>
      <c r="Q15" s="5">
        <f t="array" ref="Q15">IF($A15="","",IFERROR(IF($P15="",1,$P15)*XLOOKUP($O15,Colores!$A$2:$A$500,Colores!$H$2:$H$500,0),"Revisar color"))</f>
        <v>92.30769231</v>
      </c>
      <c r="R15" s="3"/>
      <c r="S15" s="5">
        <f t="array" ref="S15">IF($A15="","",IF($R15="",0,IFERROR(VLOOKUP(LEFT(TRIM(MID(SUBSTITUTE($R15,";",REPT(" ",99)),1,99)),FIND(":",TRIM(MID(SUBSTITUTE($R15,";",REPT(" ",99)),1,99)))-1),Materiales!$A$2:$E$502,5,FALSE)*VALUE(MID(TRIM(MID(SUBSTITUTE($R15,";",REPT(" ",99)),1,99)),FIND(":",TRIM(MID(SUBSTITUTE($R15,";",REPT(" ",99)),1,99)))+1,99)),0) + IFERROR(VLOOKUP(LEFT(TRIM(MID(SUBSTITUTE($R15,";",REPT(" ",99)),100,99)),FIND(":",TRIM(MID(SUBSTITUTE($R15,";",REPT(" ",99)),100,99)))-1),Materiales!$A$2:$E$502,5,FALSE)*VALUE(MID(TRIM(MID(SUBSTITUTE($R15,";",REPT(" ",99)),100,99)),FIND(":",TRIM(MID(SUBSTITUTE($R15,";",REPT(" ",99)),100,99)))+1,99)),0) + IFERROR(VLOOKUP(LEFT(TRIM(MID(SUBSTITUTE($R15,";",REPT(" ",99)),199,99)),FIND(":",TRIM(MID(SUBSTITUTE($R15,";",REPT(" ",99)),199,99)))-1),Materiales!$A$2:$E$502,5,FALSE)*VALUE(MID(TRIM(MID(SUBSTITUTE($R15,";",REPT(" ",99)),199,99)),FIND(":",TRIM(MID(SUBSTITUTE($R15,";",REPT(" ",99)),199,99)))+1,99)),0) + IFERROR(VLOOKUP(LEFT(TRIM(MID(SUBSTITUTE($R15,";",REPT(" ",99)),298,99)),FIND(":",TRIM(MID(SUBSTITUTE($R15,";",REPT(" ",99)),298,99)))-1),Materiales!$A$2:$E$502,5,FALSE)*VALUE(MID(TRIM(MID(SUBSTITUTE($R15,";",REPT(" ",99)),298,99)),FIND(":",TRIM(MID(SUBSTITUTE($R15,";",REPT(" ",99)),298,99)))+1,99)),0) + IFERROR(VLOOKUP(LEFT(TRIM(MID(SUBSTITUTE($R15,";",REPT(" ",99)),397,99)),FIND(":",TRIM(MID(SUBSTITUTE($R15,";",REPT(" ",99)),397,99)))-1),Materiales!$A$2:$E$502,5,FALSE)*VALUE(MID(TRIM(MID(SUBSTITUTE($R15,";",REPT(" ",99)),397,99)),FIND(":",TRIM(MID(SUBSTITUTE($R15,";",REPT(" ",99)),397,99)))+1,99)),0) + IFERROR(VLOOKUP(LEFT(TRIM(MID(SUBSTITUTE($R15,";",REPT(" ",99)),496,99)),FIND(":",TRIM(MID(SUBSTITUTE($R15,";",REPT(" ",99)),496,99)))-1),Materiales!$A$2:$E$502,5,FALSE)*VALUE(MID(TRIM(MID(SUBSTITUTE($R15,";",REPT(" ",99)),496,99)),FIND(":",TRIM(MID(SUBSTITUTE($R15,";",REPT(" ",99)),496,99)))+1,99)),0) + IFERROR(VLOOKUP(LEFT(TRIM(MID(SUBSTITUTE($R15,";",REPT(" ",99)),595,99)),FIND(":",TRIM(MID(SUBSTITUTE($R15,";",REPT(" ",99)),595,99)))-1),Materiales!$A$2:$E$502,5,FALSE)*VALUE(MID(TRIM(MID(SUBSTITUTE($R15,";",REPT(" ",99)),595,99)),FIND(":",TRIM(MID(SUBSTITUTE($R15,";",REPT(" ",99)),595,99)))+1,99)),0) + IFERROR(VLOOKUP(LEFT(TRIM(MID(SUBSTITUTE($R15,";",REPT(" ",99)),694,99)),FIND(":",TRIM(MID(SUBSTITUTE($R15,";",REPT(" ",99)),694,99)))-1),Materiales!$A$2:$E$502,5,FALSE)*VALUE(MID(TRIM(MID(SUBSTITUTE($R15,";",REPT(" ",99)),694,99)),FIND(":",TRIM(MID(SUBSTITUTE($R15,";",REPT(" ",99)),694,99)))+1,99)),0) + IFERROR(VLOOKUP(LEFT(TRIM(MID(SUBSTITUTE($R15,";",REPT(" ",99)),793,99)),FIND(":",TRIM(MID(SUBSTITUTE($R15,";",REPT(" ",99)),793,99)))-1),Materiales!$A$2:$E$502,5,FALSE)*VALUE(MID(TRIM(MID(SUBSTITUTE($R15,";",REPT(" ",99)),793,99)),FIND(":",TRIM(MID(SUBSTITUTE($R15,";",REPT(" ",99)),793,99)))+1,99)),0) + IFERROR(VLOOKUP(LEFT(TRIM(MID(SUBSTITUTE($R15,";",REPT(" ",99)),892,99)),FIND(":",TRIM(MID(SUBSTITUTE($R15,";",REPT(" ",99)),892,99)))-1),Materiales!$A$2:$E$502,5,FALSE)*VALUE(MID(TRIM(MID(SUBSTITUTE($R15,";",REPT(" ",99)),892,99)),FIND(":",TRIM(MID(SUBSTITUTE($R15,";",REPT(" ",99)),892,99)))+1,99)),0)))</f>
        <v>0</v>
      </c>
      <c r="T15" s="3"/>
      <c r="U15" s="5">
        <f t="array" ref="U15">IF($A15="","",IF($T15="",0,IFERROR(VLOOKUP(LEFT(TRIM(MID(SUBSTITUTE($T15,";",REPT(" ",99)),1,99)),FIND(":",TRIM(MID(SUBSTITUTE($T15,";",REPT(" ",99)),1,99)))-1),Materiales!$A$2:$E$502,5,FALSE)*VALUE(MID(TRIM(MID(SUBSTITUTE($T15,";",REPT(" ",99)),1,99)),FIND(":",TRIM(MID(SUBSTITUTE($T15,";",REPT(" ",99)),1,99)))+1,99)),0) + IFERROR(VLOOKUP(LEFT(TRIM(MID(SUBSTITUTE($T15,";",REPT(" ",99)),100,99)),FIND(":",TRIM(MID(SUBSTITUTE($T15,";",REPT(" ",99)),100,99)))-1),Materiales!$A$2:$E$502,5,FALSE)*VALUE(MID(TRIM(MID(SUBSTITUTE($T15,";",REPT(" ",99)),100,99)),FIND(":",TRIM(MID(SUBSTITUTE($T15,";",REPT(" ",99)),100,99)))+1,99)),0) + IFERROR(VLOOKUP(LEFT(TRIM(MID(SUBSTITUTE($T15,";",REPT(" ",99)),199,99)),FIND(":",TRIM(MID(SUBSTITUTE($T15,";",REPT(" ",99)),199,99)))-1),Materiales!$A$2:$E$502,5,FALSE)*VALUE(MID(TRIM(MID(SUBSTITUTE($T15,";",REPT(" ",99)),199,99)),FIND(":",TRIM(MID(SUBSTITUTE($T15,";",REPT(" ",99)),199,99)))+1,99)),0) + IFERROR(VLOOKUP(LEFT(TRIM(MID(SUBSTITUTE($T15,";",REPT(" ",99)),298,99)),FIND(":",TRIM(MID(SUBSTITUTE($T15,";",REPT(" ",99)),298,99)))-1),Materiales!$A$2:$E$502,5,FALSE)*VALUE(MID(TRIM(MID(SUBSTITUTE($T15,";",REPT(" ",99)),298,99)),FIND(":",TRIM(MID(SUBSTITUTE($T15,";",REPT(" ",99)),298,99)))+1,99)),0) + IFERROR(VLOOKUP(LEFT(TRIM(MID(SUBSTITUTE($T15,";",REPT(" ",99)),397,99)),FIND(":",TRIM(MID(SUBSTITUTE($T15,";",REPT(" ",99)),397,99)))-1),Materiales!$A$2:$E$502,5,FALSE)*VALUE(MID(TRIM(MID(SUBSTITUTE($T15,";",REPT(" ",99)),397,99)),FIND(":",TRIM(MID(SUBSTITUTE($T15,";",REPT(" ",99)),397,99)))+1,99)),0) + IFERROR(VLOOKUP(LEFT(TRIM(MID(SUBSTITUTE($T15,";",REPT(" ",99)),496,99)),FIND(":",TRIM(MID(SUBSTITUTE($T15,";",REPT(" ",99)),496,99)))-1),Materiales!$A$2:$E$502,5,FALSE)*VALUE(MID(TRIM(MID(SUBSTITUTE($T15,";",REPT(" ",99)),496,99)),FIND(":",TRIM(MID(SUBSTITUTE($T15,";",REPT(" ",99)),496,99)))+1,99)),0) + IFERROR(VLOOKUP(LEFT(TRIM(MID(SUBSTITUTE($T15,";",REPT(" ",99)),595,99)),FIND(":",TRIM(MID(SUBSTITUTE($T15,";",REPT(" ",99)),595,99)))-1),Materiales!$A$2:$E$502,5,FALSE)*VALUE(MID(TRIM(MID(SUBSTITUTE($T15,";",REPT(" ",99)),595,99)),FIND(":",TRIM(MID(SUBSTITUTE($T15,";",REPT(" ",99)),595,99)))+1,99)),0) + IFERROR(VLOOKUP(LEFT(TRIM(MID(SUBSTITUTE($T15,";",REPT(" ",99)),694,99)),FIND(":",TRIM(MID(SUBSTITUTE($T15,";",REPT(" ",99)),694,99)))-1),Materiales!$A$2:$E$502,5,FALSE)*VALUE(MID(TRIM(MID(SUBSTITUTE($T15,";",REPT(" ",99)),694,99)),FIND(":",TRIM(MID(SUBSTITUTE($T15,";",REPT(" ",99)),694,99)))+1,99)),0) + IFERROR(VLOOKUP(LEFT(TRIM(MID(SUBSTITUTE($T15,";",REPT(" ",99)),793,99)),FIND(":",TRIM(MID(SUBSTITUTE($T15,";",REPT(" ",99)),793,99)))-1),Materiales!$A$2:$E$502,5,FALSE)*VALUE(MID(TRIM(MID(SUBSTITUTE($T15,";",REPT(" ",99)),793,99)),FIND(":",TRIM(MID(SUBSTITUTE($T15,";",REPT(" ",99)),793,99)))+1,99)),0) + IFERROR(VLOOKUP(LEFT(TRIM(MID(SUBSTITUTE($T15,";",REPT(" ",99)),892,99)),FIND(":",TRIM(MID(SUBSTITUTE($T15,";",REPT(" ",99)),892,99)))-1),Materiales!$A$2:$E$502,5,FALSE)*VALUE(MID(TRIM(MID(SUBSTITUTE($T15,";",REPT(" ",99)),892,99)),FIND(":",TRIM(MID(SUBSTITUTE($T15,";",REPT(" ",99)),892,99)))+1,99)),0)))</f>
        <v>0</v>
      </c>
      <c r="V15" s="3"/>
      <c r="W15" s="5">
        <f t="array" ref="W15">IF($A15="","",IF($V15="",0,IFERROR(VLOOKUP(LEFT(TRIM(MID(SUBSTITUTE($V15,";",REPT(" ",99)),1,99)),FIND(":",TRIM(MID(SUBSTITUTE($V15,";",REPT(" ",99)),1,99)))-1),Materiales!$A$2:$E$502,5,FALSE)*VALUE(MID(TRIM(MID(SUBSTITUTE($V15,";",REPT(" ",99)),1,99)),FIND(":",TRIM(MID(SUBSTITUTE($V15,";",REPT(" ",99)),1,99)))+1,99)),0) + IFERROR(VLOOKUP(LEFT(TRIM(MID(SUBSTITUTE($V15,";",REPT(" ",99)),100,99)),FIND(":",TRIM(MID(SUBSTITUTE($V15,";",REPT(" ",99)),100,99)))-1),Materiales!$A$2:$E$502,5,FALSE)*VALUE(MID(TRIM(MID(SUBSTITUTE($V15,";",REPT(" ",99)),100,99)),FIND(":",TRIM(MID(SUBSTITUTE($V15,";",REPT(" ",99)),100,99)))+1,99)),0) + IFERROR(VLOOKUP(LEFT(TRIM(MID(SUBSTITUTE($V15,";",REPT(" ",99)),199,99)),FIND(":",TRIM(MID(SUBSTITUTE($V15,";",REPT(" ",99)),199,99)))-1),Materiales!$A$2:$E$502,5,FALSE)*VALUE(MID(TRIM(MID(SUBSTITUTE($V15,";",REPT(" ",99)),199,99)),FIND(":",TRIM(MID(SUBSTITUTE($V15,";",REPT(" ",99)),199,99)))+1,99)),0) + IFERROR(VLOOKUP(LEFT(TRIM(MID(SUBSTITUTE($V15,";",REPT(" ",99)),298,99)),FIND(":",TRIM(MID(SUBSTITUTE($V15,";",REPT(" ",99)),298,99)))-1),Materiales!$A$2:$E$502,5,FALSE)*VALUE(MID(TRIM(MID(SUBSTITUTE($V15,";",REPT(" ",99)),298,99)),FIND(":",TRIM(MID(SUBSTITUTE($V15,";",REPT(" ",99)),298,99)))+1,99)),0) + IFERROR(VLOOKUP(LEFT(TRIM(MID(SUBSTITUTE($V15,";",REPT(" ",99)),397,99)),FIND(":",TRIM(MID(SUBSTITUTE($V15,";",REPT(" ",99)),397,99)))-1),Materiales!$A$2:$E$502,5,FALSE)*VALUE(MID(TRIM(MID(SUBSTITUTE($V15,";",REPT(" ",99)),397,99)),FIND(":",TRIM(MID(SUBSTITUTE($V15,";",REPT(" ",99)),397,99)))+1,99)),0) + IFERROR(VLOOKUP(LEFT(TRIM(MID(SUBSTITUTE($V15,";",REPT(" ",99)),496,99)),FIND(":",TRIM(MID(SUBSTITUTE($V15,";",REPT(" ",99)),496,99)))-1),Materiales!$A$2:$E$502,5,FALSE)*VALUE(MID(TRIM(MID(SUBSTITUTE($V15,";",REPT(" ",99)),496,99)),FIND(":",TRIM(MID(SUBSTITUTE($V15,";",REPT(" ",99)),496,99)))+1,99)),0) + IFERROR(VLOOKUP(LEFT(TRIM(MID(SUBSTITUTE($V15,";",REPT(" ",99)),595,99)),FIND(":",TRIM(MID(SUBSTITUTE($V15,";",REPT(" ",99)),595,99)))-1),Materiales!$A$2:$E$502,5,FALSE)*VALUE(MID(TRIM(MID(SUBSTITUTE($V15,";",REPT(" ",99)),595,99)),FIND(":",TRIM(MID(SUBSTITUTE($V15,";",REPT(" ",99)),595,99)))+1,99)),0) + IFERROR(VLOOKUP(LEFT(TRIM(MID(SUBSTITUTE($V15,";",REPT(" ",99)),694,99)),FIND(":",TRIM(MID(SUBSTITUTE($V15,";",REPT(" ",99)),694,99)))-1),Materiales!$A$2:$E$502,5,FALSE)*VALUE(MID(TRIM(MID(SUBSTITUTE($V15,";",REPT(" ",99)),694,99)),FIND(":",TRIM(MID(SUBSTITUTE($V15,";",REPT(" ",99)),694,99)))+1,99)),0) + IFERROR(VLOOKUP(LEFT(TRIM(MID(SUBSTITUTE($V15,";",REPT(" ",99)),793,99)),FIND(":",TRIM(MID(SUBSTITUTE($V15,";",REPT(" ",99)),793,99)))-1),Materiales!$A$2:$E$502,5,FALSE)*VALUE(MID(TRIM(MID(SUBSTITUTE($V15,";",REPT(" ",99)),793,99)),FIND(":",TRIM(MID(SUBSTITUTE($V15,";",REPT(" ",99)),793,99)))+1,99)),0) + IFERROR(VLOOKUP(LEFT(TRIM(MID(SUBSTITUTE($V15,";",REPT(" ",99)),892,99)),FIND(":",TRIM(MID(SUBSTITUTE($V15,";",REPT(" ",99)),892,99)))-1),Materiales!$A$2:$E$502,5,FALSE)*VALUE(MID(TRIM(MID(SUBSTITUTE($V15,";",REPT(" ",99)),892,99)),FIND(":",TRIM(MID(SUBSTITUTE($V15,";",REPT(" ",99)),892,99)))+1,99)),0)))</f>
        <v>0</v>
      </c>
      <c r="X15" s="39">
        <f t="shared" si="3"/>
        <v>1138.258397</v>
      </c>
      <c r="Y15" s="40" t="s">
        <v>195</v>
      </c>
      <c r="Z15" s="41">
        <f t="shared" si="4"/>
        <v>3414.77519</v>
      </c>
      <c r="AA15" s="42">
        <v>0.0</v>
      </c>
      <c r="AB15" s="18">
        <f t="shared" si="5"/>
        <v>3414.77519</v>
      </c>
      <c r="AC15" s="43">
        <v>3500.0</v>
      </c>
      <c r="AD15" s="42">
        <f t="shared" si="6"/>
        <v>2276.516793</v>
      </c>
      <c r="AE15" s="44">
        <f t="shared" si="7"/>
        <v>2361.741603</v>
      </c>
      <c r="AF15" s="45">
        <f t="shared" si="8"/>
        <v>1.037436495</v>
      </c>
    </row>
    <row r="16">
      <c r="A16" s="17" t="s">
        <v>213</v>
      </c>
      <c r="B16" s="17" t="s">
        <v>16</v>
      </c>
      <c r="C16" s="46">
        <v>1.0</v>
      </c>
      <c r="D16" s="38"/>
      <c r="E16" s="38"/>
      <c r="F16" s="18">
        <v>79.0</v>
      </c>
      <c r="G16" s="5">
        <f t="array" ref="G16">IF($A16="","",IFERROR($F16*(N($C16)*XLOOKUP($B16,Ceras!$A$2:$A$500,Ceras!$G$2:$G$500,0)+IF($D16="",0,N($E16)*XLOOKUP($D16,Ceras!$A$2:$A$500,Ceras!$G$2:$G$500,0))),"Revisar cera"))</f>
        <v>1422</v>
      </c>
      <c r="H16" s="5">
        <f t="shared" si="1"/>
        <v>118.5</v>
      </c>
      <c r="I16" s="17" t="s">
        <v>32</v>
      </c>
      <c r="J16" s="18">
        <v>4.5</v>
      </c>
      <c r="K16" s="5">
        <f t="array" ref="K16">IF($A16="","",IFERROR($J16*XLOOKUP($I16,Pabilos!$A$2:$A$500,Pabilos!$H$2:$H$500,0),"Revisar pabilo"))</f>
        <v>81</v>
      </c>
      <c r="L16" s="17" t="s">
        <v>55</v>
      </c>
      <c r="M16" s="14">
        <f t="shared" si="10"/>
        <v>7.9</v>
      </c>
      <c r="N16" s="5">
        <f t="array" ref="N16">IF($A16="","",IFERROR($M16*XLOOKUP($L16,Esencias!$A$2:$A$501,Esencias!$G$2:$G$501,0),"Revisar esencia"))</f>
        <v>1112.676056</v>
      </c>
      <c r="O16" s="17" t="s">
        <v>81</v>
      </c>
      <c r="P16" s="18">
        <v>1.0</v>
      </c>
      <c r="Q16" s="5">
        <f t="array" ref="Q16">IF($A16="","",IFERROR(IF($P16="",1,$P16)*XLOOKUP($O16,Colores!$A$2:$A$500,Colores!$H$2:$H$500,0),"Revisar color"))</f>
        <v>92.30769231</v>
      </c>
      <c r="R16" s="3"/>
      <c r="S16" s="5">
        <f t="array" ref="S16">IF($A16="","",IF($R16="",0,IFERROR(VLOOKUP(LEFT(TRIM(MID(SUBSTITUTE($R16,";",REPT(" ",99)),1,99)),FIND(":",TRIM(MID(SUBSTITUTE($R16,";",REPT(" ",99)),1,99)))-1),Materiales!$A$2:$E$502,5,FALSE)*VALUE(MID(TRIM(MID(SUBSTITUTE($R16,";",REPT(" ",99)),1,99)),FIND(":",TRIM(MID(SUBSTITUTE($R16,";",REPT(" ",99)),1,99)))+1,99)),0) + IFERROR(VLOOKUP(LEFT(TRIM(MID(SUBSTITUTE($R16,";",REPT(" ",99)),100,99)),FIND(":",TRIM(MID(SUBSTITUTE($R16,";",REPT(" ",99)),100,99)))-1),Materiales!$A$2:$E$502,5,FALSE)*VALUE(MID(TRIM(MID(SUBSTITUTE($R16,";",REPT(" ",99)),100,99)),FIND(":",TRIM(MID(SUBSTITUTE($R16,";",REPT(" ",99)),100,99)))+1,99)),0) + IFERROR(VLOOKUP(LEFT(TRIM(MID(SUBSTITUTE($R16,";",REPT(" ",99)),199,99)),FIND(":",TRIM(MID(SUBSTITUTE($R16,";",REPT(" ",99)),199,99)))-1),Materiales!$A$2:$E$502,5,FALSE)*VALUE(MID(TRIM(MID(SUBSTITUTE($R16,";",REPT(" ",99)),199,99)),FIND(":",TRIM(MID(SUBSTITUTE($R16,";",REPT(" ",99)),199,99)))+1,99)),0) + IFERROR(VLOOKUP(LEFT(TRIM(MID(SUBSTITUTE($R16,";",REPT(" ",99)),298,99)),FIND(":",TRIM(MID(SUBSTITUTE($R16,";",REPT(" ",99)),298,99)))-1),Materiales!$A$2:$E$502,5,FALSE)*VALUE(MID(TRIM(MID(SUBSTITUTE($R16,";",REPT(" ",99)),298,99)),FIND(":",TRIM(MID(SUBSTITUTE($R16,";",REPT(" ",99)),298,99)))+1,99)),0) + IFERROR(VLOOKUP(LEFT(TRIM(MID(SUBSTITUTE($R16,";",REPT(" ",99)),397,99)),FIND(":",TRIM(MID(SUBSTITUTE($R16,";",REPT(" ",99)),397,99)))-1),Materiales!$A$2:$E$502,5,FALSE)*VALUE(MID(TRIM(MID(SUBSTITUTE($R16,";",REPT(" ",99)),397,99)),FIND(":",TRIM(MID(SUBSTITUTE($R16,";",REPT(" ",99)),397,99)))+1,99)),0) + IFERROR(VLOOKUP(LEFT(TRIM(MID(SUBSTITUTE($R16,";",REPT(" ",99)),496,99)),FIND(":",TRIM(MID(SUBSTITUTE($R16,";",REPT(" ",99)),496,99)))-1),Materiales!$A$2:$E$502,5,FALSE)*VALUE(MID(TRIM(MID(SUBSTITUTE($R16,";",REPT(" ",99)),496,99)),FIND(":",TRIM(MID(SUBSTITUTE($R16,";",REPT(" ",99)),496,99)))+1,99)),0) + IFERROR(VLOOKUP(LEFT(TRIM(MID(SUBSTITUTE($R16,";",REPT(" ",99)),595,99)),FIND(":",TRIM(MID(SUBSTITUTE($R16,";",REPT(" ",99)),595,99)))-1),Materiales!$A$2:$E$502,5,FALSE)*VALUE(MID(TRIM(MID(SUBSTITUTE($R16,";",REPT(" ",99)),595,99)),FIND(":",TRIM(MID(SUBSTITUTE($R16,";",REPT(" ",99)),595,99)))+1,99)),0) + IFERROR(VLOOKUP(LEFT(TRIM(MID(SUBSTITUTE($R16,";",REPT(" ",99)),694,99)),FIND(":",TRIM(MID(SUBSTITUTE($R16,";",REPT(" ",99)),694,99)))-1),Materiales!$A$2:$E$502,5,FALSE)*VALUE(MID(TRIM(MID(SUBSTITUTE($R16,";",REPT(" ",99)),694,99)),FIND(":",TRIM(MID(SUBSTITUTE($R16,";",REPT(" ",99)),694,99)))+1,99)),0) + IFERROR(VLOOKUP(LEFT(TRIM(MID(SUBSTITUTE($R16,";",REPT(" ",99)),793,99)),FIND(":",TRIM(MID(SUBSTITUTE($R16,";",REPT(" ",99)),793,99)))-1),Materiales!$A$2:$E$502,5,FALSE)*VALUE(MID(TRIM(MID(SUBSTITUTE($R16,";",REPT(" ",99)),793,99)),FIND(":",TRIM(MID(SUBSTITUTE($R16,";",REPT(" ",99)),793,99)))+1,99)),0) + IFERROR(VLOOKUP(LEFT(TRIM(MID(SUBSTITUTE($R16,";",REPT(" ",99)),892,99)),FIND(":",TRIM(MID(SUBSTITUTE($R16,";",REPT(" ",99)),892,99)))-1),Materiales!$A$2:$E$502,5,FALSE)*VALUE(MID(TRIM(MID(SUBSTITUTE($R16,";",REPT(" ",99)),892,99)),FIND(":",TRIM(MID(SUBSTITUTE($R16,";",REPT(" ",99)),892,99)))+1,99)),0)))</f>
        <v>0</v>
      </c>
      <c r="T16" s="3"/>
      <c r="U16" s="5">
        <f t="array" ref="U16">IF($A16="","",IF($T16="",0,IFERROR(VLOOKUP(LEFT(TRIM(MID(SUBSTITUTE($T16,";",REPT(" ",99)),1,99)),FIND(":",TRIM(MID(SUBSTITUTE($T16,";",REPT(" ",99)),1,99)))-1),Materiales!$A$2:$E$502,5,FALSE)*VALUE(MID(TRIM(MID(SUBSTITUTE($T16,";",REPT(" ",99)),1,99)),FIND(":",TRIM(MID(SUBSTITUTE($T16,";",REPT(" ",99)),1,99)))+1,99)),0) + IFERROR(VLOOKUP(LEFT(TRIM(MID(SUBSTITUTE($T16,";",REPT(" ",99)),100,99)),FIND(":",TRIM(MID(SUBSTITUTE($T16,";",REPT(" ",99)),100,99)))-1),Materiales!$A$2:$E$502,5,FALSE)*VALUE(MID(TRIM(MID(SUBSTITUTE($T16,";",REPT(" ",99)),100,99)),FIND(":",TRIM(MID(SUBSTITUTE($T16,";",REPT(" ",99)),100,99)))+1,99)),0) + IFERROR(VLOOKUP(LEFT(TRIM(MID(SUBSTITUTE($T16,";",REPT(" ",99)),199,99)),FIND(":",TRIM(MID(SUBSTITUTE($T16,";",REPT(" ",99)),199,99)))-1),Materiales!$A$2:$E$502,5,FALSE)*VALUE(MID(TRIM(MID(SUBSTITUTE($T16,";",REPT(" ",99)),199,99)),FIND(":",TRIM(MID(SUBSTITUTE($T16,";",REPT(" ",99)),199,99)))+1,99)),0) + IFERROR(VLOOKUP(LEFT(TRIM(MID(SUBSTITUTE($T16,";",REPT(" ",99)),298,99)),FIND(":",TRIM(MID(SUBSTITUTE($T16,";",REPT(" ",99)),298,99)))-1),Materiales!$A$2:$E$502,5,FALSE)*VALUE(MID(TRIM(MID(SUBSTITUTE($T16,";",REPT(" ",99)),298,99)),FIND(":",TRIM(MID(SUBSTITUTE($T16,";",REPT(" ",99)),298,99)))+1,99)),0) + IFERROR(VLOOKUP(LEFT(TRIM(MID(SUBSTITUTE($T16,";",REPT(" ",99)),397,99)),FIND(":",TRIM(MID(SUBSTITUTE($T16,";",REPT(" ",99)),397,99)))-1),Materiales!$A$2:$E$502,5,FALSE)*VALUE(MID(TRIM(MID(SUBSTITUTE($T16,";",REPT(" ",99)),397,99)),FIND(":",TRIM(MID(SUBSTITUTE($T16,";",REPT(" ",99)),397,99)))+1,99)),0) + IFERROR(VLOOKUP(LEFT(TRIM(MID(SUBSTITUTE($T16,";",REPT(" ",99)),496,99)),FIND(":",TRIM(MID(SUBSTITUTE($T16,";",REPT(" ",99)),496,99)))-1),Materiales!$A$2:$E$502,5,FALSE)*VALUE(MID(TRIM(MID(SUBSTITUTE($T16,";",REPT(" ",99)),496,99)),FIND(":",TRIM(MID(SUBSTITUTE($T16,";",REPT(" ",99)),496,99)))+1,99)),0) + IFERROR(VLOOKUP(LEFT(TRIM(MID(SUBSTITUTE($T16,";",REPT(" ",99)),595,99)),FIND(":",TRIM(MID(SUBSTITUTE($T16,";",REPT(" ",99)),595,99)))-1),Materiales!$A$2:$E$502,5,FALSE)*VALUE(MID(TRIM(MID(SUBSTITUTE($T16,";",REPT(" ",99)),595,99)),FIND(":",TRIM(MID(SUBSTITUTE($T16,";",REPT(" ",99)),595,99)))+1,99)),0) + IFERROR(VLOOKUP(LEFT(TRIM(MID(SUBSTITUTE($T16,";",REPT(" ",99)),694,99)),FIND(":",TRIM(MID(SUBSTITUTE($T16,";",REPT(" ",99)),694,99)))-1),Materiales!$A$2:$E$502,5,FALSE)*VALUE(MID(TRIM(MID(SUBSTITUTE($T16,";",REPT(" ",99)),694,99)),FIND(":",TRIM(MID(SUBSTITUTE($T16,";",REPT(" ",99)),694,99)))+1,99)),0) + IFERROR(VLOOKUP(LEFT(TRIM(MID(SUBSTITUTE($T16,";",REPT(" ",99)),793,99)),FIND(":",TRIM(MID(SUBSTITUTE($T16,";",REPT(" ",99)),793,99)))-1),Materiales!$A$2:$E$502,5,FALSE)*VALUE(MID(TRIM(MID(SUBSTITUTE($T16,";",REPT(" ",99)),793,99)),FIND(":",TRIM(MID(SUBSTITUTE($T16,";",REPT(" ",99)),793,99)))+1,99)),0) + IFERROR(VLOOKUP(LEFT(TRIM(MID(SUBSTITUTE($T16,";",REPT(" ",99)),892,99)),FIND(":",TRIM(MID(SUBSTITUTE($T16,";",REPT(" ",99)),892,99)))-1),Materiales!$A$2:$E$502,5,FALSE)*VALUE(MID(TRIM(MID(SUBSTITUTE($T16,";",REPT(" ",99)),892,99)),FIND(":",TRIM(MID(SUBSTITUTE($T16,";",REPT(" ",99)),892,99)))+1,99)),0)))</f>
        <v>0</v>
      </c>
      <c r="V16" s="3"/>
      <c r="W16" s="5">
        <f t="array" ref="W16">IF($A16="","",IF($V16="",0,IFERROR(VLOOKUP(LEFT(TRIM(MID(SUBSTITUTE($V16,";",REPT(" ",99)),1,99)),FIND(":",TRIM(MID(SUBSTITUTE($V16,";",REPT(" ",99)),1,99)))-1),Materiales!$A$2:$E$502,5,FALSE)*VALUE(MID(TRIM(MID(SUBSTITUTE($V16,";",REPT(" ",99)),1,99)),FIND(":",TRIM(MID(SUBSTITUTE($V16,";",REPT(" ",99)),1,99)))+1,99)),0) + IFERROR(VLOOKUP(LEFT(TRIM(MID(SUBSTITUTE($V16,";",REPT(" ",99)),100,99)),FIND(":",TRIM(MID(SUBSTITUTE($V16,";",REPT(" ",99)),100,99)))-1),Materiales!$A$2:$E$502,5,FALSE)*VALUE(MID(TRIM(MID(SUBSTITUTE($V16,";",REPT(" ",99)),100,99)),FIND(":",TRIM(MID(SUBSTITUTE($V16,";",REPT(" ",99)),100,99)))+1,99)),0) + IFERROR(VLOOKUP(LEFT(TRIM(MID(SUBSTITUTE($V16,";",REPT(" ",99)),199,99)),FIND(":",TRIM(MID(SUBSTITUTE($V16,";",REPT(" ",99)),199,99)))-1),Materiales!$A$2:$E$502,5,FALSE)*VALUE(MID(TRIM(MID(SUBSTITUTE($V16,";",REPT(" ",99)),199,99)),FIND(":",TRIM(MID(SUBSTITUTE($V16,";",REPT(" ",99)),199,99)))+1,99)),0) + IFERROR(VLOOKUP(LEFT(TRIM(MID(SUBSTITUTE($V16,";",REPT(" ",99)),298,99)),FIND(":",TRIM(MID(SUBSTITUTE($V16,";",REPT(" ",99)),298,99)))-1),Materiales!$A$2:$E$502,5,FALSE)*VALUE(MID(TRIM(MID(SUBSTITUTE($V16,";",REPT(" ",99)),298,99)),FIND(":",TRIM(MID(SUBSTITUTE($V16,";",REPT(" ",99)),298,99)))+1,99)),0) + IFERROR(VLOOKUP(LEFT(TRIM(MID(SUBSTITUTE($V16,";",REPT(" ",99)),397,99)),FIND(":",TRIM(MID(SUBSTITUTE($V16,";",REPT(" ",99)),397,99)))-1),Materiales!$A$2:$E$502,5,FALSE)*VALUE(MID(TRIM(MID(SUBSTITUTE($V16,";",REPT(" ",99)),397,99)),FIND(":",TRIM(MID(SUBSTITUTE($V16,";",REPT(" ",99)),397,99)))+1,99)),0) + IFERROR(VLOOKUP(LEFT(TRIM(MID(SUBSTITUTE($V16,";",REPT(" ",99)),496,99)),FIND(":",TRIM(MID(SUBSTITUTE($V16,";",REPT(" ",99)),496,99)))-1),Materiales!$A$2:$E$502,5,FALSE)*VALUE(MID(TRIM(MID(SUBSTITUTE($V16,";",REPT(" ",99)),496,99)),FIND(":",TRIM(MID(SUBSTITUTE($V16,";",REPT(" ",99)),496,99)))+1,99)),0) + IFERROR(VLOOKUP(LEFT(TRIM(MID(SUBSTITUTE($V16,";",REPT(" ",99)),595,99)),FIND(":",TRIM(MID(SUBSTITUTE($V16,";",REPT(" ",99)),595,99)))-1),Materiales!$A$2:$E$502,5,FALSE)*VALUE(MID(TRIM(MID(SUBSTITUTE($V16,";",REPT(" ",99)),595,99)),FIND(":",TRIM(MID(SUBSTITUTE($V16,";",REPT(" ",99)),595,99)))+1,99)),0) + IFERROR(VLOOKUP(LEFT(TRIM(MID(SUBSTITUTE($V16,";",REPT(" ",99)),694,99)),FIND(":",TRIM(MID(SUBSTITUTE($V16,";",REPT(" ",99)),694,99)))-1),Materiales!$A$2:$E$502,5,FALSE)*VALUE(MID(TRIM(MID(SUBSTITUTE($V16,";",REPT(" ",99)),694,99)),FIND(":",TRIM(MID(SUBSTITUTE($V16,";",REPT(" ",99)),694,99)))+1,99)),0) + IFERROR(VLOOKUP(LEFT(TRIM(MID(SUBSTITUTE($V16,";",REPT(" ",99)),793,99)),FIND(":",TRIM(MID(SUBSTITUTE($V16,";",REPT(" ",99)),793,99)))-1),Materiales!$A$2:$E$502,5,FALSE)*VALUE(MID(TRIM(MID(SUBSTITUTE($V16,";",REPT(" ",99)),793,99)),FIND(":",TRIM(MID(SUBSTITUTE($V16,";",REPT(" ",99)),793,99)))+1,99)),0) + IFERROR(VLOOKUP(LEFT(TRIM(MID(SUBSTITUTE($V16,";",REPT(" ",99)),892,99)),FIND(":",TRIM(MID(SUBSTITUTE($V16,";",REPT(" ",99)),892,99)))-1),Materiales!$A$2:$E$502,5,FALSE)*VALUE(MID(TRIM(MID(SUBSTITUTE($V16,";",REPT(" ",99)),892,99)),FIND(":",TRIM(MID(SUBSTITUTE($V16,";",REPT(" ",99)),892,99)))+1,99)),0)))</f>
        <v>0</v>
      </c>
      <c r="X16" s="39">
        <f t="shared" si="3"/>
        <v>2826.483749</v>
      </c>
      <c r="Y16" s="40" t="s">
        <v>195</v>
      </c>
      <c r="Z16" s="41">
        <f t="shared" si="4"/>
        <v>8479.451246</v>
      </c>
      <c r="AA16" s="42">
        <v>0.0</v>
      </c>
      <c r="AB16" s="18">
        <f t="shared" si="5"/>
        <v>8479.451246</v>
      </c>
      <c r="AC16" s="43">
        <v>8000.0</v>
      </c>
      <c r="AD16" s="42">
        <f t="shared" si="6"/>
        <v>5652.967497</v>
      </c>
      <c r="AE16" s="44">
        <f t="shared" si="7"/>
        <v>5173.516251</v>
      </c>
      <c r="AF16" s="45">
        <f t="shared" si="8"/>
        <v>0.9151859185</v>
      </c>
    </row>
    <row r="17">
      <c r="A17" s="17" t="s">
        <v>214</v>
      </c>
      <c r="B17" s="17" t="s">
        <v>16</v>
      </c>
      <c r="C17" s="46">
        <v>1.0</v>
      </c>
      <c r="D17" s="38"/>
      <c r="E17" s="38"/>
      <c r="F17" s="18">
        <v>24.0</v>
      </c>
      <c r="G17" s="5">
        <f t="array" ref="G17">IF($A17="","",IFERROR($F17*(N($C17)*XLOOKUP($B17,Ceras!$A$2:$A$500,Ceras!$G$2:$G$500,0)+IF($D17="",0,N($E17)*XLOOKUP($D17,Ceras!$A$2:$A$500,Ceras!$G$2:$G$500,0))),"Revisar cera"))</f>
        <v>432</v>
      </c>
      <c r="H17" s="5">
        <f t="shared" si="1"/>
        <v>36</v>
      </c>
      <c r="I17" s="17" t="s">
        <v>26</v>
      </c>
      <c r="J17" s="18">
        <v>6.0</v>
      </c>
      <c r="K17" s="5">
        <f t="array" ref="K17">IF($A17="","",IFERROR($J17*XLOOKUP($I17,Pabilos!$A$2:$A$500,Pabilos!$H$2:$H$500,0),"Revisar pabilo"))</f>
        <v>90</v>
      </c>
      <c r="L17" s="17" t="s">
        <v>55</v>
      </c>
      <c r="M17" s="14">
        <f t="shared" si="10"/>
        <v>2.4</v>
      </c>
      <c r="N17" s="5">
        <f t="array" ref="N17">IF($A17="","",IFERROR($M17*XLOOKUP($L17,Esencias!$A$2:$A$501,Esencias!$G$2:$G$501,0),"Revisar esencia"))</f>
        <v>338.028169</v>
      </c>
      <c r="O17" s="17" t="s">
        <v>81</v>
      </c>
      <c r="P17" s="18">
        <v>1.0</v>
      </c>
      <c r="Q17" s="5">
        <f t="array" ref="Q17">IF($A17="","",IFERROR(IF($P17="",1,$P17)*XLOOKUP($O17,Colores!$A$2:$A$500,Colores!$H$2:$H$500,0),"Revisar color"))</f>
        <v>92.30769231</v>
      </c>
      <c r="R17" s="3"/>
      <c r="S17" s="5">
        <f t="array" ref="S17">IF($A17="","",IF($R17="",0,IFERROR(VLOOKUP(LEFT(TRIM(MID(SUBSTITUTE($R17,";",REPT(" ",99)),1,99)),FIND(":",TRIM(MID(SUBSTITUTE($R17,";",REPT(" ",99)),1,99)))-1),Materiales!$A$2:$E$502,5,FALSE)*VALUE(MID(TRIM(MID(SUBSTITUTE($R17,";",REPT(" ",99)),1,99)),FIND(":",TRIM(MID(SUBSTITUTE($R17,";",REPT(" ",99)),1,99)))+1,99)),0) + IFERROR(VLOOKUP(LEFT(TRIM(MID(SUBSTITUTE($R17,";",REPT(" ",99)),100,99)),FIND(":",TRIM(MID(SUBSTITUTE($R17,";",REPT(" ",99)),100,99)))-1),Materiales!$A$2:$E$502,5,FALSE)*VALUE(MID(TRIM(MID(SUBSTITUTE($R17,";",REPT(" ",99)),100,99)),FIND(":",TRIM(MID(SUBSTITUTE($R17,";",REPT(" ",99)),100,99)))+1,99)),0) + IFERROR(VLOOKUP(LEFT(TRIM(MID(SUBSTITUTE($R17,";",REPT(" ",99)),199,99)),FIND(":",TRIM(MID(SUBSTITUTE($R17,";",REPT(" ",99)),199,99)))-1),Materiales!$A$2:$E$502,5,FALSE)*VALUE(MID(TRIM(MID(SUBSTITUTE($R17,";",REPT(" ",99)),199,99)),FIND(":",TRIM(MID(SUBSTITUTE($R17,";",REPT(" ",99)),199,99)))+1,99)),0) + IFERROR(VLOOKUP(LEFT(TRIM(MID(SUBSTITUTE($R17,";",REPT(" ",99)),298,99)),FIND(":",TRIM(MID(SUBSTITUTE($R17,";",REPT(" ",99)),298,99)))-1),Materiales!$A$2:$E$502,5,FALSE)*VALUE(MID(TRIM(MID(SUBSTITUTE($R17,";",REPT(" ",99)),298,99)),FIND(":",TRIM(MID(SUBSTITUTE($R17,";",REPT(" ",99)),298,99)))+1,99)),0) + IFERROR(VLOOKUP(LEFT(TRIM(MID(SUBSTITUTE($R17,";",REPT(" ",99)),397,99)),FIND(":",TRIM(MID(SUBSTITUTE($R17,";",REPT(" ",99)),397,99)))-1),Materiales!$A$2:$E$502,5,FALSE)*VALUE(MID(TRIM(MID(SUBSTITUTE($R17,";",REPT(" ",99)),397,99)),FIND(":",TRIM(MID(SUBSTITUTE($R17,";",REPT(" ",99)),397,99)))+1,99)),0) + IFERROR(VLOOKUP(LEFT(TRIM(MID(SUBSTITUTE($R17,";",REPT(" ",99)),496,99)),FIND(":",TRIM(MID(SUBSTITUTE($R17,";",REPT(" ",99)),496,99)))-1),Materiales!$A$2:$E$502,5,FALSE)*VALUE(MID(TRIM(MID(SUBSTITUTE($R17,";",REPT(" ",99)),496,99)),FIND(":",TRIM(MID(SUBSTITUTE($R17,";",REPT(" ",99)),496,99)))+1,99)),0) + IFERROR(VLOOKUP(LEFT(TRIM(MID(SUBSTITUTE($R17,";",REPT(" ",99)),595,99)),FIND(":",TRIM(MID(SUBSTITUTE($R17,";",REPT(" ",99)),595,99)))-1),Materiales!$A$2:$E$502,5,FALSE)*VALUE(MID(TRIM(MID(SUBSTITUTE($R17,";",REPT(" ",99)),595,99)),FIND(":",TRIM(MID(SUBSTITUTE($R17,";",REPT(" ",99)),595,99)))+1,99)),0) + IFERROR(VLOOKUP(LEFT(TRIM(MID(SUBSTITUTE($R17,";",REPT(" ",99)),694,99)),FIND(":",TRIM(MID(SUBSTITUTE($R17,";",REPT(" ",99)),694,99)))-1),Materiales!$A$2:$E$502,5,FALSE)*VALUE(MID(TRIM(MID(SUBSTITUTE($R17,";",REPT(" ",99)),694,99)),FIND(":",TRIM(MID(SUBSTITUTE($R17,";",REPT(" ",99)),694,99)))+1,99)),0) + IFERROR(VLOOKUP(LEFT(TRIM(MID(SUBSTITUTE($R17,";",REPT(" ",99)),793,99)),FIND(":",TRIM(MID(SUBSTITUTE($R17,";",REPT(" ",99)),793,99)))-1),Materiales!$A$2:$E$502,5,FALSE)*VALUE(MID(TRIM(MID(SUBSTITUTE($R17,";",REPT(" ",99)),793,99)),FIND(":",TRIM(MID(SUBSTITUTE($R17,";",REPT(" ",99)),793,99)))+1,99)),0) + IFERROR(VLOOKUP(LEFT(TRIM(MID(SUBSTITUTE($R17,";",REPT(" ",99)),892,99)),FIND(":",TRIM(MID(SUBSTITUTE($R17,";",REPT(" ",99)),892,99)))-1),Materiales!$A$2:$E$502,5,FALSE)*VALUE(MID(TRIM(MID(SUBSTITUTE($R17,";",REPT(" ",99)),892,99)),FIND(":",TRIM(MID(SUBSTITUTE($R17,";",REPT(" ",99)),892,99)))+1,99)),0)))</f>
        <v>0</v>
      </c>
      <c r="T17" s="3"/>
      <c r="U17" s="5">
        <f t="array" ref="U17">IF($A17="","",IF($T17="",0,IFERROR(VLOOKUP(LEFT(TRIM(MID(SUBSTITUTE($T17,";",REPT(" ",99)),1,99)),FIND(":",TRIM(MID(SUBSTITUTE($T17,";",REPT(" ",99)),1,99)))-1),Materiales!$A$2:$E$502,5,FALSE)*VALUE(MID(TRIM(MID(SUBSTITUTE($T17,";",REPT(" ",99)),1,99)),FIND(":",TRIM(MID(SUBSTITUTE($T17,";",REPT(" ",99)),1,99)))+1,99)),0) + IFERROR(VLOOKUP(LEFT(TRIM(MID(SUBSTITUTE($T17,";",REPT(" ",99)),100,99)),FIND(":",TRIM(MID(SUBSTITUTE($T17,";",REPT(" ",99)),100,99)))-1),Materiales!$A$2:$E$502,5,FALSE)*VALUE(MID(TRIM(MID(SUBSTITUTE($T17,";",REPT(" ",99)),100,99)),FIND(":",TRIM(MID(SUBSTITUTE($T17,";",REPT(" ",99)),100,99)))+1,99)),0) + IFERROR(VLOOKUP(LEFT(TRIM(MID(SUBSTITUTE($T17,";",REPT(" ",99)),199,99)),FIND(":",TRIM(MID(SUBSTITUTE($T17,";",REPT(" ",99)),199,99)))-1),Materiales!$A$2:$E$502,5,FALSE)*VALUE(MID(TRIM(MID(SUBSTITUTE($T17,";",REPT(" ",99)),199,99)),FIND(":",TRIM(MID(SUBSTITUTE($T17,";",REPT(" ",99)),199,99)))+1,99)),0) + IFERROR(VLOOKUP(LEFT(TRIM(MID(SUBSTITUTE($T17,";",REPT(" ",99)),298,99)),FIND(":",TRIM(MID(SUBSTITUTE($T17,";",REPT(" ",99)),298,99)))-1),Materiales!$A$2:$E$502,5,FALSE)*VALUE(MID(TRIM(MID(SUBSTITUTE($T17,";",REPT(" ",99)),298,99)),FIND(":",TRIM(MID(SUBSTITUTE($T17,";",REPT(" ",99)),298,99)))+1,99)),0) + IFERROR(VLOOKUP(LEFT(TRIM(MID(SUBSTITUTE($T17,";",REPT(" ",99)),397,99)),FIND(":",TRIM(MID(SUBSTITUTE($T17,";",REPT(" ",99)),397,99)))-1),Materiales!$A$2:$E$502,5,FALSE)*VALUE(MID(TRIM(MID(SUBSTITUTE($T17,";",REPT(" ",99)),397,99)),FIND(":",TRIM(MID(SUBSTITUTE($T17,";",REPT(" ",99)),397,99)))+1,99)),0) + IFERROR(VLOOKUP(LEFT(TRIM(MID(SUBSTITUTE($T17,";",REPT(" ",99)),496,99)),FIND(":",TRIM(MID(SUBSTITUTE($T17,";",REPT(" ",99)),496,99)))-1),Materiales!$A$2:$E$502,5,FALSE)*VALUE(MID(TRIM(MID(SUBSTITUTE($T17,";",REPT(" ",99)),496,99)),FIND(":",TRIM(MID(SUBSTITUTE($T17,";",REPT(" ",99)),496,99)))+1,99)),0) + IFERROR(VLOOKUP(LEFT(TRIM(MID(SUBSTITUTE($T17,";",REPT(" ",99)),595,99)),FIND(":",TRIM(MID(SUBSTITUTE($T17,";",REPT(" ",99)),595,99)))-1),Materiales!$A$2:$E$502,5,FALSE)*VALUE(MID(TRIM(MID(SUBSTITUTE($T17,";",REPT(" ",99)),595,99)),FIND(":",TRIM(MID(SUBSTITUTE($T17,";",REPT(" ",99)),595,99)))+1,99)),0) + IFERROR(VLOOKUP(LEFT(TRIM(MID(SUBSTITUTE($T17,";",REPT(" ",99)),694,99)),FIND(":",TRIM(MID(SUBSTITUTE($T17,";",REPT(" ",99)),694,99)))-1),Materiales!$A$2:$E$502,5,FALSE)*VALUE(MID(TRIM(MID(SUBSTITUTE($T17,";",REPT(" ",99)),694,99)),FIND(":",TRIM(MID(SUBSTITUTE($T17,";",REPT(" ",99)),694,99)))+1,99)),0) + IFERROR(VLOOKUP(LEFT(TRIM(MID(SUBSTITUTE($T17,";",REPT(" ",99)),793,99)),FIND(":",TRIM(MID(SUBSTITUTE($T17,";",REPT(" ",99)),793,99)))-1),Materiales!$A$2:$E$502,5,FALSE)*VALUE(MID(TRIM(MID(SUBSTITUTE($T17,";",REPT(" ",99)),793,99)),FIND(":",TRIM(MID(SUBSTITUTE($T17,";",REPT(" ",99)),793,99)))+1,99)),0) + IFERROR(VLOOKUP(LEFT(TRIM(MID(SUBSTITUTE($T17,";",REPT(" ",99)),892,99)),FIND(":",TRIM(MID(SUBSTITUTE($T17,";",REPT(" ",99)),892,99)))-1),Materiales!$A$2:$E$502,5,FALSE)*VALUE(MID(TRIM(MID(SUBSTITUTE($T17,";",REPT(" ",99)),892,99)),FIND(":",TRIM(MID(SUBSTITUTE($T17,";",REPT(" ",99)),892,99)))+1,99)),0)))</f>
        <v>0</v>
      </c>
      <c r="V17" s="3"/>
      <c r="W17" s="5">
        <f t="array" ref="W17">IF($A17="","",IF($V17="",0,IFERROR(VLOOKUP(LEFT(TRIM(MID(SUBSTITUTE($V17,";",REPT(" ",99)),1,99)),FIND(":",TRIM(MID(SUBSTITUTE($V17,";",REPT(" ",99)),1,99)))-1),Materiales!$A$2:$E$502,5,FALSE)*VALUE(MID(TRIM(MID(SUBSTITUTE($V17,";",REPT(" ",99)),1,99)),FIND(":",TRIM(MID(SUBSTITUTE($V17,";",REPT(" ",99)),1,99)))+1,99)),0) + IFERROR(VLOOKUP(LEFT(TRIM(MID(SUBSTITUTE($V17,";",REPT(" ",99)),100,99)),FIND(":",TRIM(MID(SUBSTITUTE($V17,";",REPT(" ",99)),100,99)))-1),Materiales!$A$2:$E$502,5,FALSE)*VALUE(MID(TRIM(MID(SUBSTITUTE($V17,";",REPT(" ",99)),100,99)),FIND(":",TRIM(MID(SUBSTITUTE($V17,";",REPT(" ",99)),100,99)))+1,99)),0) + IFERROR(VLOOKUP(LEFT(TRIM(MID(SUBSTITUTE($V17,";",REPT(" ",99)),199,99)),FIND(":",TRIM(MID(SUBSTITUTE($V17,";",REPT(" ",99)),199,99)))-1),Materiales!$A$2:$E$502,5,FALSE)*VALUE(MID(TRIM(MID(SUBSTITUTE($V17,";",REPT(" ",99)),199,99)),FIND(":",TRIM(MID(SUBSTITUTE($V17,";",REPT(" ",99)),199,99)))+1,99)),0) + IFERROR(VLOOKUP(LEFT(TRIM(MID(SUBSTITUTE($V17,";",REPT(" ",99)),298,99)),FIND(":",TRIM(MID(SUBSTITUTE($V17,";",REPT(" ",99)),298,99)))-1),Materiales!$A$2:$E$502,5,FALSE)*VALUE(MID(TRIM(MID(SUBSTITUTE($V17,";",REPT(" ",99)),298,99)),FIND(":",TRIM(MID(SUBSTITUTE($V17,";",REPT(" ",99)),298,99)))+1,99)),0) + IFERROR(VLOOKUP(LEFT(TRIM(MID(SUBSTITUTE($V17,";",REPT(" ",99)),397,99)),FIND(":",TRIM(MID(SUBSTITUTE($V17,";",REPT(" ",99)),397,99)))-1),Materiales!$A$2:$E$502,5,FALSE)*VALUE(MID(TRIM(MID(SUBSTITUTE($V17,";",REPT(" ",99)),397,99)),FIND(":",TRIM(MID(SUBSTITUTE($V17,";",REPT(" ",99)),397,99)))+1,99)),0) + IFERROR(VLOOKUP(LEFT(TRIM(MID(SUBSTITUTE($V17,";",REPT(" ",99)),496,99)),FIND(":",TRIM(MID(SUBSTITUTE($V17,";",REPT(" ",99)),496,99)))-1),Materiales!$A$2:$E$502,5,FALSE)*VALUE(MID(TRIM(MID(SUBSTITUTE($V17,";",REPT(" ",99)),496,99)),FIND(":",TRIM(MID(SUBSTITUTE($V17,";",REPT(" ",99)),496,99)))+1,99)),0) + IFERROR(VLOOKUP(LEFT(TRIM(MID(SUBSTITUTE($V17,";",REPT(" ",99)),595,99)),FIND(":",TRIM(MID(SUBSTITUTE($V17,";",REPT(" ",99)),595,99)))-1),Materiales!$A$2:$E$502,5,FALSE)*VALUE(MID(TRIM(MID(SUBSTITUTE($V17,";",REPT(" ",99)),595,99)),FIND(":",TRIM(MID(SUBSTITUTE($V17,";",REPT(" ",99)),595,99)))+1,99)),0) + IFERROR(VLOOKUP(LEFT(TRIM(MID(SUBSTITUTE($V17,";",REPT(" ",99)),694,99)),FIND(":",TRIM(MID(SUBSTITUTE($V17,";",REPT(" ",99)),694,99)))-1),Materiales!$A$2:$E$502,5,FALSE)*VALUE(MID(TRIM(MID(SUBSTITUTE($V17,";",REPT(" ",99)),694,99)),FIND(":",TRIM(MID(SUBSTITUTE($V17,";",REPT(" ",99)),694,99)))+1,99)),0) + IFERROR(VLOOKUP(LEFT(TRIM(MID(SUBSTITUTE($V17,";",REPT(" ",99)),793,99)),FIND(":",TRIM(MID(SUBSTITUTE($V17,";",REPT(" ",99)),793,99)))-1),Materiales!$A$2:$E$502,5,FALSE)*VALUE(MID(TRIM(MID(SUBSTITUTE($V17,";",REPT(" ",99)),793,99)),FIND(":",TRIM(MID(SUBSTITUTE($V17,";",REPT(" ",99)),793,99)))+1,99)),0) + IFERROR(VLOOKUP(LEFT(TRIM(MID(SUBSTITUTE($V17,";",REPT(" ",99)),892,99)),FIND(":",TRIM(MID(SUBSTITUTE($V17,";",REPT(" ",99)),892,99)))-1),Materiales!$A$2:$E$502,5,FALSE)*VALUE(MID(TRIM(MID(SUBSTITUTE($V17,";",REPT(" ",99)),892,99)),FIND(":",TRIM(MID(SUBSTITUTE($V17,";",REPT(" ",99)),892,99)))+1,99)),0)))</f>
        <v>0</v>
      </c>
      <c r="X17" s="39">
        <f t="shared" si="3"/>
        <v>988.3358613</v>
      </c>
      <c r="Y17" s="40" t="s">
        <v>195</v>
      </c>
      <c r="Z17" s="41">
        <f t="shared" si="4"/>
        <v>2965.007584</v>
      </c>
      <c r="AA17" s="42">
        <v>0.0</v>
      </c>
      <c r="AB17" s="18">
        <f t="shared" si="5"/>
        <v>2965.007584</v>
      </c>
      <c r="AC17" s="43">
        <v>3000.0</v>
      </c>
      <c r="AD17" s="42">
        <f t="shared" si="6"/>
        <v>1976.671723</v>
      </c>
      <c r="AE17" s="44">
        <f t="shared" si="7"/>
        <v>2011.664139</v>
      </c>
      <c r="AF17" s="45">
        <f t="shared" si="8"/>
        <v>1.017702695</v>
      </c>
    </row>
    <row r="18">
      <c r="A18" s="17" t="s">
        <v>215</v>
      </c>
      <c r="B18" s="17" t="s">
        <v>16</v>
      </c>
      <c r="C18" s="46">
        <v>1.0</v>
      </c>
      <c r="D18" s="38"/>
      <c r="E18" s="38"/>
      <c r="F18" s="18">
        <v>12.0</v>
      </c>
      <c r="G18" s="5">
        <f t="array" ref="G18">IF($A18="","",IFERROR($F18*(N($C18)*XLOOKUP($B18,Ceras!$A$2:$A$500,Ceras!$G$2:$G$500,0)+IF($D18="",0,N($E18)*XLOOKUP($D18,Ceras!$A$2:$A$500,Ceras!$G$2:$G$500,0))),"Revisar cera"))</f>
        <v>216</v>
      </c>
      <c r="H18" s="5">
        <f t="shared" si="1"/>
        <v>18</v>
      </c>
      <c r="I18" s="17" t="s">
        <v>26</v>
      </c>
      <c r="J18" s="18">
        <v>3.0</v>
      </c>
      <c r="K18" s="5">
        <f t="array" ref="K18">IF($A18="","",IFERROR($J18*XLOOKUP($I18,Pabilos!$A$2:$A$500,Pabilos!$H$2:$H$500,0),"Revisar pabilo"))</f>
        <v>45</v>
      </c>
      <c r="L18" s="17" t="s">
        <v>55</v>
      </c>
      <c r="M18" s="14">
        <f t="shared" si="10"/>
        <v>1.2</v>
      </c>
      <c r="N18" s="5">
        <f t="array" ref="N18">IF($A18="","",IFERROR($M18*XLOOKUP($L18,Esencias!$A$2:$A$501,Esencias!$G$2:$G$501,0),"Revisar esencia"))</f>
        <v>169.0140845</v>
      </c>
      <c r="O18" s="17" t="s">
        <v>81</v>
      </c>
      <c r="P18" s="18">
        <v>0.5</v>
      </c>
      <c r="Q18" s="5">
        <f t="array" ref="Q18">IF($A18="","",IFERROR(IF($P18="",1,$P18)*XLOOKUP($O18,Colores!$A$2:$A$500,Colores!$H$2:$H$500,0),"Revisar color"))</f>
        <v>46.15384615</v>
      </c>
      <c r="R18" s="3"/>
      <c r="S18" s="5">
        <f t="array" ref="S18">IF($A18="","",IF($R18="",0,IFERROR(VLOOKUP(LEFT(TRIM(MID(SUBSTITUTE($R18,";",REPT(" ",99)),1,99)),FIND(":",TRIM(MID(SUBSTITUTE($R18,";",REPT(" ",99)),1,99)))-1),Materiales!$A$2:$E$502,5,FALSE)*VALUE(MID(TRIM(MID(SUBSTITUTE($R18,";",REPT(" ",99)),1,99)),FIND(":",TRIM(MID(SUBSTITUTE($R18,";",REPT(" ",99)),1,99)))+1,99)),0) + IFERROR(VLOOKUP(LEFT(TRIM(MID(SUBSTITUTE($R18,";",REPT(" ",99)),100,99)),FIND(":",TRIM(MID(SUBSTITUTE($R18,";",REPT(" ",99)),100,99)))-1),Materiales!$A$2:$E$502,5,FALSE)*VALUE(MID(TRIM(MID(SUBSTITUTE($R18,";",REPT(" ",99)),100,99)),FIND(":",TRIM(MID(SUBSTITUTE($R18,";",REPT(" ",99)),100,99)))+1,99)),0) + IFERROR(VLOOKUP(LEFT(TRIM(MID(SUBSTITUTE($R18,";",REPT(" ",99)),199,99)),FIND(":",TRIM(MID(SUBSTITUTE($R18,";",REPT(" ",99)),199,99)))-1),Materiales!$A$2:$E$502,5,FALSE)*VALUE(MID(TRIM(MID(SUBSTITUTE($R18,";",REPT(" ",99)),199,99)),FIND(":",TRIM(MID(SUBSTITUTE($R18,";",REPT(" ",99)),199,99)))+1,99)),0) + IFERROR(VLOOKUP(LEFT(TRIM(MID(SUBSTITUTE($R18,";",REPT(" ",99)),298,99)),FIND(":",TRIM(MID(SUBSTITUTE($R18,";",REPT(" ",99)),298,99)))-1),Materiales!$A$2:$E$502,5,FALSE)*VALUE(MID(TRIM(MID(SUBSTITUTE($R18,";",REPT(" ",99)),298,99)),FIND(":",TRIM(MID(SUBSTITUTE($R18,";",REPT(" ",99)),298,99)))+1,99)),0) + IFERROR(VLOOKUP(LEFT(TRIM(MID(SUBSTITUTE($R18,";",REPT(" ",99)),397,99)),FIND(":",TRIM(MID(SUBSTITUTE($R18,";",REPT(" ",99)),397,99)))-1),Materiales!$A$2:$E$502,5,FALSE)*VALUE(MID(TRIM(MID(SUBSTITUTE($R18,";",REPT(" ",99)),397,99)),FIND(":",TRIM(MID(SUBSTITUTE($R18,";",REPT(" ",99)),397,99)))+1,99)),0) + IFERROR(VLOOKUP(LEFT(TRIM(MID(SUBSTITUTE($R18,";",REPT(" ",99)),496,99)),FIND(":",TRIM(MID(SUBSTITUTE($R18,";",REPT(" ",99)),496,99)))-1),Materiales!$A$2:$E$502,5,FALSE)*VALUE(MID(TRIM(MID(SUBSTITUTE($R18,";",REPT(" ",99)),496,99)),FIND(":",TRIM(MID(SUBSTITUTE($R18,";",REPT(" ",99)),496,99)))+1,99)),0) + IFERROR(VLOOKUP(LEFT(TRIM(MID(SUBSTITUTE($R18,";",REPT(" ",99)),595,99)),FIND(":",TRIM(MID(SUBSTITUTE($R18,";",REPT(" ",99)),595,99)))-1),Materiales!$A$2:$E$502,5,FALSE)*VALUE(MID(TRIM(MID(SUBSTITUTE($R18,";",REPT(" ",99)),595,99)),FIND(":",TRIM(MID(SUBSTITUTE($R18,";",REPT(" ",99)),595,99)))+1,99)),0) + IFERROR(VLOOKUP(LEFT(TRIM(MID(SUBSTITUTE($R18,";",REPT(" ",99)),694,99)),FIND(":",TRIM(MID(SUBSTITUTE($R18,";",REPT(" ",99)),694,99)))-1),Materiales!$A$2:$E$502,5,FALSE)*VALUE(MID(TRIM(MID(SUBSTITUTE($R18,";",REPT(" ",99)),694,99)),FIND(":",TRIM(MID(SUBSTITUTE($R18,";",REPT(" ",99)),694,99)))+1,99)),0) + IFERROR(VLOOKUP(LEFT(TRIM(MID(SUBSTITUTE($R18,";",REPT(" ",99)),793,99)),FIND(":",TRIM(MID(SUBSTITUTE($R18,";",REPT(" ",99)),793,99)))-1),Materiales!$A$2:$E$502,5,FALSE)*VALUE(MID(TRIM(MID(SUBSTITUTE($R18,";",REPT(" ",99)),793,99)),FIND(":",TRIM(MID(SUBSTITUTE($R18,";",REPT(" ",99)),793,99)))+1,99)),0) + IFERROR(VLOOKUP(LEFT(TRIM(MID(SUBSTITUTE($R18,";",REPT(" ",99)),892,99)),FIND(":",TRIM(MID(SUBSTITUTE($R18,";",REPT(" ",99)),892,99)))-1),Materiales!$A$2:$E$502,5,FALSE)*VALUE(MID(TRIM(MID(SUBSTITUTE($R18,";",REPT(" ",99)),892,99)),FIND(":",TRIM(MID(SUBSTITUTE($R18,";",REPT(" ",99)),892,99)))+1,99)),0)))</f>
        <v>0</v>
      </c>
      <c r="T18" s="3"/>
      <c r="U18" s="5">
        <f t="array" ref="U18">IF($A18="","",IF($T18="",0,IFERROR(VLOOKUP(LEFT(TRIM(MID(SUBSTITUTE($T18,";",REPT(" ",99)),1,99)),FIND(":",TRIM(MID(SUBSTITUTE($T18,";",REPT(" ",99)),1,99)))-1),Materiales!$A$2:$E$502,5,FALSE)*VALUE(MID(TRIM(MID(SUBSTITUTE($T18,";",REPT(" ",99)),1,99)),FIND(":",TRIM(MID(SUBSTITUTE($T18,";",REPT(" ",99)),1,99)))+1,99)),0) + IFERROR(VLOOKUP(LEFT(TRIM(MID(SUBSTITUTE($T18,";",REPT(" ",99)),100,99)),FIND(":",TRIM(MID(SUBSTITUTE($T18,";",REPT(" ",99)),100,99)))-1),Materiales!$A$2:$E$502,5,FALSE)*VALUE(MID(TRIM(MID(SUBSTITUTE($T18,";",REPT(" ",99)),100,99)),FIND(":",TRIM(MID(SUBSTITUTE($T18,";",REPT(" ",99)),100,99)))+1,99)),0) + IFERROR(VLOOKUP(LEFT(TRIM(MID(SUBSTITUTE($T18,";",REPT(" ",99)),199,99)),FIND(":",TRIM(MID(SUBSTITUTE($T18,";",REPT(" ",99)),199,99)))-1),Materiales!$A$2:$E$502,5,FALSE)*VALUE(MID(TRIM(MID(SUBSTITUTE($T18,";",REPT(" ",99)),199,99)),FIND(":",TRIM(MID(SUBSTITUTE($T18,";",REPT(" ",99)),199,99)))+1,99)),0) + IFERROR(VLOOKUP(LEFT(TRIM(MID(SUBSTITUTE($T18,";",REPT(" ",99)),298,99)),FIND(":",TRIM(MID(SUBSTITUTE($T18,";",REPT(" ",99)),298,99)))-1),Materiales!$A$2:$E$502,5,FALSE)*VALUE(MID(TRIM(MID(SUBSTITUTE($T18,";",REPT(" ",99)),298,99)),FIND(":",TRIM(MID(SUBSTITUTE($T18,";",REPT(" ",99)),298,99)))+1,99)),0) + IFERROR(VLOOKUP(LEFT(TRIM(MID(SUBSTITUTE($T18,";",REPT(" ",99)),397,99)),FIND(":",TRIM(MID(SUBSTITUTE($T18,";",REPT(" ",99)),397,99)))-1),Materiales!$A$2:$E$502,5,FALSE)*VALUE(MID(TRIM(MID(SUBSTITUTE($T18,";",REPT(" ",99)),397,99)),FIND(":",TRIM(MID(SUBSTITUTE($T18,";",REPT(" ",99)),397,99)))+1,99)),0) + IFERROR(VLOOKUP(LEFT(TRIM(MID(SUBSTITUTE($T18,";",REPT(" ",99)),496,99)),FIND(":",TRIM(MID(SUBSTITUTE($T18,";",REPT(" ",99)),496,99)))-1),Materiales!$A$2:$E$502,5,FALSE)*VALUE(MID(TRIM(MID(SUBSTITUTE($T18,";",REPT(" ",99)),496,99)),FIND(":",TRIM(MID(SUBSTITUTE($T18,";",REPT(" ",99)),496,99)))+1,99)),0) + IFERROR(VLOOKUP(LEFT(TRIM(MID(SUBSTITUTE($T18,";",REPT(" ",99)),595,99)),FIND(":",TRIM(MID(SUBSTITUTE($T18,";",REPT(" ",99)),595,99)))-1),Materiales!$A$2:$E$502,5,FALSE)*VALUE(MID(TRIM(MID(SUBSTITUTE($T18,";",REPT(" ",99)),595,99)),FIND(":",TRIM(MID(SUBSTITUTE($T18,";",REPT(" ",99)),595,99)))+1,99)),0) + IFERROR(VLOOKUP(LEFT(TRIM(MID(SUBSTITUTE($T18,";",REPT(" ",99)),694,99)),FIND(":",TRIM(MID(SUBSTITUTE($T18,";",REPT(" ",99)),694,99)))-1),Materiales!$A$2:$E$502,5,FALSE)*VALUE(MID(TRIM(MID(SUBSTITUTE($T18,";",REPT(" ",99)),694,99)),FIND(":",TRIM(MID(SUBSTITUTE($T18,";",REPT(" ",99)),694,99)))+1,99)),0) + IFERROR(VLOOKUP(LEFT(TRIM(MID(SUBSTITUTE($T18,";",REPT(" ",99)),793,99)),FIND(":",TRIM(MID(SUBSTITUTE($T18,";",REPT(" ",99)),793,99)))-1),Materiales!$A$2:$E$502,5,FALSE)*VALUE(MID(TRIM(MID(SUBSTITUTE($T18,";",REPT(" ",99)),793,99)),FIND(":",TRIM(MID(SUBSTITUTE($T18,";",REPT(" ",99)),793,99)))+1,99)),0) + IFERROR(VLOOKUP(LEFT(TRIM(MID(SUBSTITUTE($T18,";",REPT(" ",99)),892,99)),FIND(":",TRIM(MID(SUBSTITUTE($T18,";",REPT(" ",99)),892,99)))-1),Materiales!$A$2:$E$502,5,FALSE)*VALUE(MID(TRIM(MID(SUBSTITUTE($T18,";",REPT(" ",99)),892,99)),FIND(":",TRIM(MID(SUBSTITUTE($T18,";",REPT(" ",99)),892,99)))+1,99)),0)))</f>
        <v>0</v>
      </c>
      <c r="V18" s="17" t="s">
        <v>216</v>
      </c>
      <c r="W18" s="5">
        <f t="array" ref="W18">IF($A18="","",IF($V18="",0,IFERROR(VLOOKUP(LEFT(TRIM(MID(SUBSTITUTE($V18,";",REPT(" ",99)),1,99)),FIND(":",TRIM(MID(SUBSTITUTE($V18,";",REPT(" ",99)),1,99)))-1),Materiales!$A$2:$E$502,5,FALSE)*VALUE(MID(TRIM(MID(SUBSTITUTE($V18,";",REPT(" ",99)),1,99)),FIND(":",TRIM(MID(SUBSTITUTE($V18,";",REPT(" ",99)),1,99)))+1,99)),0) + IFERROR(VLOOKUP(LEFT(TRIM(MID(SUBSTITUTE($V18,";",REPT(" ",99)),100,99)),FIND(":",TRIM(MID(SUBSTITUTE($V18,";",REPT(" ",99)),100,99)))-1),Materiales!$A$2:$E$502,5,FALSE)*VALUE(MID(TRIM(MID(SUBSTITUTE($V18,";",REPT(" ",99)),100,99)),FIND(":",TRIM(MID(SUBSTITUTE($V18,";",REPT(" ",99)),100,99)))+1,99)),0) + IFERROR(VLOOKUP(LEFT(TRIM(MID(SUBSTITUTE($V18,";",REPT(" ",99)),199,99)),FIND(":",TRIM(MID(SUBSTITUTE($V18,";",REPT(" ",99)),199,99)))-1),Materiales!$A$2:$E$502,5,FALSE)*VALUE(MID(TRIM(MID(SUBSTITUTE($V18,";",REPT(" ",99)),199,99)),FIND(":",TRIM(MID(SUBSTITUTE($V18,";",REPT(" ",99)),199,99)))+1,99)),0) + IFERROR(VLOOKUP(LEFT(TRIM(MID(SUBSTITUTE($V18,";",REPT(" ",99)),298,99)),FIND(":",TRIM(MID(SUBSTITUTE($V18,";",REPT(" ",99)),298,99)))-1),Materiales!$A$2:$E$502,5,FALSE)*VALUE(MID(TRIM(MID(SUBSTITUTE($V18,";",REPT(" ",99)),298,99)),FIND(":",TRIM(MID(SUBSTITUTE($V18,";",REPT(" ",99)),298,99)))+1,99)),0) + IFERROR(VLOOKUP(LEFT(TRIM(MID(SUBSTITUTE($V18,";",REPT(" ",99)),397,99)),FIND(":",TRIM(MID(SUBSTITUTE($V18,";",REPT(" ",99)),397,99)))-1),Materiales!$A$2:$E$502,5,FALSE)*VALUE(MID(TRIM(MID(SUBSTITUTE($V18,";",REPT(" ",99)),397,99)),FIND(":",TRIM(MID(SUBSTITUTE($V18,";",REPT(" ",99)),397,99)))+1,99)),0) + IFERROR(VLOOKUP(LEFT(TRIM(MID(SUBSTITUTE($V18,";",REPT(" ",99)),496,99)),FIND(":",TRIM(MID(SUBSTITUTE($V18,";",REPT(" ",99)),496,99)))-1),Materiales!$A$2:$E$502,5,FALSE)*VALUE(MID(TRIM(MID(SUBSTITUTE($V18,";",REPT(" ",99)),496,99)),FIND(":",TRIM(MID(SUBSTITUTE($V18,";",REPT(" ",99)),496,99)))+1,99)),0) + IFERROR(VLOOKUP(LEFT(TRIM(MID(SUBSTITUTE($V18,";",REPT(" ",99)),595,99)),FIND(":",TRIM(MID(SUBSTITUTE($V18,";",REPT(" ",99)),595,99)))-1),Materiales!$A$2:$E$502,5,FALSE)*VALUE(MID(TRIM(MID(SUBSTITUTE($V18,";",REPT(" ",99)),595,99)),FIND(":",TRIM(MID(SUBSTITUTE($V18,";",REPT(" ",99)),595,99)))+1,99)),0) + IFERROR(VLOOKUP(LEFT(TRIM(MID(SUBSTITUTE($V18,";",REPT(" ",99)),694,99)),FIND(":",TRIM(MID(SUBSTITUTE($V18,";",REPT(" ",99)),694,99)))-1),Materiales!$A$2:$E$502,5,FALSE)*VALUE(MID(TRIM(MID(SUBSTITUTE($V18,";",REPT(" ",99)),694,99)),FIND(":",TRIM(MID(SUBSTITUTE($V18,";",REPT(" ",99)),694,99)))+1,99)),0) + IFERROR(VLOOKUP(LEFT(TRIM(MID(SUBSTITUTE($V18,";",REPT(" ",99)),793,99)),FIND(":",TRIM(MID(SUBSTITUTE($V18,";",REPT(" ",99)),793,99)))-1),Materiales!$A$2:$E$502,5,FALSE)*VALUE(MID(TRIM(MID(SUBSTITUTE($V18,";",REPT(" ",99)),793,99)),FIND(":",TRIM(MID(SUBSTITUTE($V18,";",REPT(" ",99)),793,99)))+1,99)),0) + IFERROR(VLOOKUP(LEFT(TRIM(MID(SUBSTITUTE($V18,";",REPT(" ",99)),892,99)),FIND(":",TRIM(MID(SUBSTITUTE($V18,";",REPT(" ",99)),892,99)))-1),Materiales!$A$2:$E$502,5,FALSE)*VALUE(MID(TRIM(MID(SUBSTITUTE($V18,";",REPT(" ",99)),892,99)),FIND(":",TRIM(MID(SUBSTITUTE($V18,";",REPT(" ",99)),892,99)))+1,99)),0)))</f>
        <v>3000</v>
      </c>
      <c r="X18" s="39">
        <f t="shared" si="3"/>
        <v>3494.167931</v>
      </c>
      <c r="Y18" s="40" t="s">
        <v>195</v>
      </c>
      <c r="Z18" s="41">
        <f t="shared" si="4"/>
        <v>10482.50379</v>
      </c>
      <c r="AA18" s="42">
        <v>0.0</v>
      </c>
      <c r="AB18" s="18">
        <f t="shared" si="5"/>
        <v>10482.50379</v>
      </c>
      <c r="AC18" s="43">
        <v>6000.0</v>
      </c>
      <c r="AD18" s="42">
        <f t="shared" si="6"/>
        <v>6988.335861</v>
      </c>
      <c r="AE18" s="44">
        <f t="shared" si="7"/>
        <v>2505.832069</v>
      </c>
      <c r="AF18" s="45">
        <f t="shared" si="8"/>
        <v>0.3585735029</v>
      </c>
    </row>
    <row r="19">
      <c r="A19" s="17" t="s">
        <v>217</v>
      </c>
      <c r="B19" s="17" t="s">
        <v>16</v>
      </c>
      <c r="C19" s="46">
        <v>1.0</v>
      </c>
      <c r="D19" s="38"/>
      <c r="E19" s="38"/>
      <c r="F19" s="18">
        <v>110.0</v>
      </c>
      <c r="G19" s="5">
        <f t="array" ref="G19">IF($A19="","",IFERROR($F19*(N($C19)*XLOOKUP($B19,Ceras!$A$2:$A$500,Ceras!$G$2:$G$500,0)+IF($D19="",0,N($E19)*XLOOKUP($D19,Ceras!$A$2:$A$500,Ceras!$G$2:$G$500,0))),"Revisar cera"))</f>
        <v>1980</v>
      </c>
      <c r="H19" s="5">
        <f t="shared" si="1"/>
        <v>165</v>
      </c>
      <c r="I19" s="17" t="s">
        <v>34</v>
      </c>
      <c r="J19" s="18">
        <v>9.0</v>
      </c>
      <c r="K19" s="5">
        <f t="array" ref="K19">IF($A19="","",IFERROR($J19*XLOOKUP($I19,Pabilos!$A$2:$A$500,Pabilos!$H$2:$H$500,0),"Revisar pabilo"))</f>
        <v>180</v>
      </c>
      <c r="L19" s="17" t="s">
        <v>55</v>
      </c>
      <c r="M19" s="14">
        <f t="shared" si="10"/>
        <v>11</v>
      </c>
      <c r="N19" s="5">
        <f t="array" ref="N19">IF($A19="","",IFERROR($M19*XLOOKUP($L19,Esencias!$A$2:$A$501,Esencias!$G$2:$G$501,0),"Revisar esencia"))</f>
        <v>1549.295775</v>
      </c>
      <c r="O19" s="17" t="s">
        <v>81</v>
      </c>
      <c r="P19" s="18">
        <v>1.0</v>
      </c>
      <c r="Q19" s="5">
        <f t="array" ref="Q19">IF($A19="","",IFERROR(IF($P19="",1,$P19)*XLOOKUP($O19,Colores!$A$2:$A$500,Colores!$H$2:$H$500,0),"Revisar color"))</f>
        <v>92.30769231</v>
      </c>
      <c r="R19" s="3"/>
      <c r="S19" s="5">
        <f t="array" ref="S19">IF($A19="","",IF($R19="",0,IFERROR(VLOOKUP(LEFT(TRIM(MID(SUBSTITUTE($R19,";",REPT(" ",99)),1,99)),FIND(":",TRIM(MID(SUBSTITUTE($R19,";",REPT(" ",99)),1,99)))-1),Materiales!$A$2:$E$502,5,FALSE)*VALUE(MID(TRIM(MID(SUBSTITUTE($R19,";",REPT(" ",99)),1,99)),FIND(":",TRIM(MID(SUBSTITUTE($R19,";",REPT(" ",99)),1,99)))+1,99)),0) + IFERROR(VLOOKUP(LEFT(TRIM(MID(SUBSTITUTE($R19,";",REPT(" ",99)),100,99)),FIND(":",TRIM(MID(SUBSTITUTE($R19,";",REPT(" ",99)),100,99)))-1),Materiales!$A$2:$E$502,5,FALSE)*VALUE(MID(TRIM(MID(SUBSTITUTE($R19,";",REPT(" ",99)),100,99)),FIND(":",TRIM(MID(SUBSTITUTE($R19,";",REPT(" ",99)),100,99)))+1,99)),0) + IFERROR(VLOOKUP(LEFT(TRIM(MID(SUBSTITUTE($R19,";",REPT(" ",99)),199,99)),FIND(":",TRIM(MID(SUBSTITUTE($R19,";",REPT(" ",99)),199,99)))-1),Materiales!$A$2:$E$502,5,FALSE)*VALUE(MID(TRIM(MID(SUBSTITUTE($R19,";",REPT(" ",99)),199,99)),FIND(":",TRIM(MID(SUBSTITUTE($R19,";",REPT(" ",99)),199,99)))+1,99)),0) + IFERROR(VLOOKUP(LEFT(TRIM(MID(SUBSTITUTE($R19,";",REPT(" ",99)),298,99)),FIND(":",TRIM(MID(SUBSTITUTE($R19,";",REPT(" ",99)),298,99)))-1),Materiales!$A$2:$E$502,5,FALSE)*VALUE(MID(TRIM(MID(SUBSTITUTE($R19,";",REPT(" ",99)),298,99)),FIND(":",TRIM(MID(SUBSTITUTE($R19,";",REPT(" ",99)),298,99)))+1,99)),0) + IFERROR(VLOOKUP(LEFT(TRIM(MID(SUBSTITUTE($R19,";",REPT(" ",99)),397,99)),FIND(":",TRIM(MID(SUBSTITUTE($R19,";",REPT(" ",99)),397,99)))-1),Materiales!$A$2:$E$502,5,FALSE)*VALUE(MID(TRIM(MID(SUBSTITUTE($R19,";",REPT(" ",99)),397,99)),FIND(":",TRIM(MID(SUBSTITUTE($R19,";",REPT(" ",99)),397,99)))+1,99)),0) + IFERROR(VLOOKUP(LEFT(TRIM(MID(SUBSTITUTE($R19,";",REPT(" ",99)),496,99)),FIND(":",TRIM(MID(SUBSTITUTE($R19,";",REPT(" ",99)),496,99)))-1),Materiales!$A$2:$E$502,5,FALSE)*VALUE(MID(TRIM(MID(SUBSTITUTE($R19,";",REPT(" ",99)),496,99)),FIND(":",TRIM(MID(SUBSTITUTE($R19,";",REPT(" ",99)),496,99)))+1,99)),0) + IFERROR(VLOOKUP(LEFT(TRIM(MID(SUBSTITUTE($R19,";",REPT(" ",99)),595,99)),FIND(":",TRIM(MID(SUBSTITUTE($R19,";",REPT(" ",99)),595,99)))-1),Materiales!$A$2:$E$502,5,FALSE)*VALUE(MID(TRIM(MID(SUBSTITUTE($R19,";",REPT(" ",99)),595,99)),FIND(":",TRIM(MID(SUBSTITUTE($R19,";",REPT(" ",99)),595,99)))+1,99)),0) + IFERROR(VLOOKUP(LEFT(TRIM(MID(SUBSTITUTE($R19,";",REPT(" ",99)),694,99)),FIND(":",TRIM(MID(SUBSTITUTE($R19,";",REPT(" ",99)),694,99)))-1),Materiales!$A$2:$E$502,5,FALSE)*VALUE(MID(TRIM(MID(SUBSTITUTE($R19,";",REPT(" ",99)),694,99)),FIND(":",TRIM(MID(SUBSTITUTE($R19,";",REPT(" ",99)),694,99)))+1,99)),0) + IFERROR(VLOOKUP(LEFT(TRIM(MID(SUBSTITUTE($R19,";",REPT(" ",99)),793,99)),FIND(":",TRIM(MID(SUBSTITUTE($R19,";",REPT(" ",99)),793,99)))-1),Materiales!$A$2:$E$502,5,FALSE)*VALUE(MID(TRIM(MID(SUBSTITUTE($R19,";",REPT(" ",99)),793,99)),FIND(":",TRIM(MID(SUBSTITUTE($R19,";",REPT(" ",99)),793,99)))+1,99)),0) + IFERROR(VLOOKUP(LEFT(TRIM(MID(SUBSTITUTE($R19,";",REPT(" ",99)),892,99)),FIND(":",TRIM(MID(SUBSTITUTE($R19,";",REPT(" ",99)),892,99)))-1),Materiales!$A$2:$E$502,5,FALSE)*VALUE(MID(TRIM(MID(SUBSTITUTE($R19,";",REPT(" ",99)),892,99)),FIND(":",TRIM(MID(SUBSTITUTE($R19,";",REPT(" ",99)),892,99)))+1,99)),0)))</f>
        <v>0</v>
      </c>
      <c r="T19" s="3"/>
      <c r="U19" s="5">
        <f t="array" ref="U19">IF($A19="","",IF($T19="",0,IFERROR(VLOOKUP(LEFT(TRIM(MID(SUBSTITUTE($T19,";",REPT(" ",99)),1,99)),FIND(":",TRIM(MID(SUBSTITUTE($T19,";",REPT(" ",99)),1,99)))-1),Materiales!$A$2:$E$502,5,FALSE)*VALUE(MID(TRIM(MID(SUBSTITUTE($T19,";",REPT(" ",99)),1,99)),FIND(":",TRIM(MID(SUBSTITUTE($T19,";",REPT(" ",99)),1,99)))+1,99)),0) + IFERROR(VLOOKUP(LEFT(TRIM(MID(SUBSTITUTE($T19,";",REPT(" ",99)),100,99)),FIND(":",TRIM(MID(SUBSTITUTE($T19,";",REPT(" ",99)),100,99)))-1),Materiales!$A$2:$E$502,5,FALSE)*VALUE(MID(TRIM(MID(SUBSTITUTE($T19,";",REPT(" ",99)),100,99)),FIND(":",TRIM(MID(SUBSTITUTE($T19,";",REPT(" ",99)),100,99)))+1,99)),0) + IFERROR(VLOOKUP(LEFT(TRIM(MID(SUBSTITUTE($T19,";",REPT(" ",99)),199,99)),FIND(":",TRIM(MID(SUBSTITUTE($T19,";",REPT(" ",99)),199,99)))-1),Materiales!$A$2:$E$502,5,FALSE)*VALUE(MID(TRIM(MID(SUBSTITUTE($T19,";",REPT(" ",99)),199,99)),FIND(":",TRIM(MID(SUBSTITUTE($T19,";",REPT(" ",99)),199,99)))+1,99)),0) + IFERROR(VLOOKUP(LEFT(TRIM(MID(SUBSTITUTE($T19,";",REPT(" ",99)),298,99)),FIND(":",TRIM(MID(SUBSTITUTE($T19,";",REPT(" ",99)),298,99)))-1),Materiales!$A$2:$E$502,5,FALSE)*VALUE(MID(TRIM(MID(SUBSTITUTE($T19,";",REPT(" ",99)),298,99)),FIND(":",TRIM(MID(SUBSTITUTE($T19,";",REPT(" ",99)),298,99)))+1,99)),0) + IFERROR(VLOOKUP(LEFT(TRIM(MID(SUBSTITUTE($T19,";",REPT(" ",99)),397,99)),FIND(":",TRIM(MID(SUBSTITUTE($T19,";",REPT(" ",99)),397,99)))-1),Materiales!$A$2:$E$502,5,FALSE)*VALUE(MID(TRIM(MID(SUBSTITUTE($T19,";",REPT(" ",99)),397,99)),FIND(":",TRIM(MID(SUBSTITUTE($T19,";",REPT(" ",99)),397,99)))+1,99)),0) + IFERROR(VLOOKUP(LEFT(TRIM(MID(SUBSTITUTE($T19,";",REPT(" ",99)),496,99)),FIND(":",TRIM(MID(SUBSTITUTE($T19,";",REPT(" ",99)),496,99)))-1),Materiales!$A$2:$E$502,5,FALSE)*VALUE(MID(TRIM(MID(SUBSTITUTE($T19,";",REPT(" ",99)),496,99)),FIND(":",TRIM(MID(SUBSTITUTE($T19,";",REPT(" ",99)),496,99)))+1,99)),0) + IFERROR(VLOOKUP(LEFT(TRIM(MID(SUBSTITUTE($T19,";",REPT(" ",99)),595,99)),FIND(":",TRIM(MID(SUBSTITUTE($T19,";",REPT(" ",99)),595,99)))-1),Materiales!$A$2:$E$502,5,FALSE)*VALUE(MID(TRIM(MID(SUBSTITUTE($T19,";",REPT(" ",99)),595,99)),FIND(":",TRIM(MID(SUBSTITUTE($T19,";",REPT(" ",99)),595,99)))+1,99)),0) + IFERROR(VLOOKUP(LEFT(TRIM(MID(SUBSTITUTE($T19,";",REPT(" ",99)),694,99)),FIND(":",TRIM(MID(SUBSTITUTE($T19,";",REPT(" ",99)),694,99)))-1),Materiales!$A$2:$E$502,5,FALSE)*VALUE(MID(TRIM(MID(SUBSTITUTE($T19,";",REPT(" ",99)),694,99)),FIND(":",TRIM(MID(SUBSTITUTE($T19,";",REPT(" ",99)),694,99)))+1,99)),0) + IFERROR(VLOOKUP(LEFT(TRIM(MID(SUBSTITUTE($T19,";",REPT(" ",99)),793,99)),FIND(":",TRIM(MID(SUBSTITUTE($T19,";",REPT(" ",99)),793,99)))-1),Materiales!$A$2:$E$502,5,FALSE)*VALUE(MID(TRIM(MID(SUBSTITUTE($T19,";",REPT(" ",99)),793,99)),FIND(":",TRIM(MID(SUBSTITUTE($T19,";",REPT(" ",99)),793,99)))+1,99)),0) + IFERROR(VLOOKUP(LEFT(TRIM(MID(SUBSTITUTE($T19,";",REPT(" ",99)),892,99)),FIND(":",TRIM(MID(SUBSTITUTE($T19,";",REPT(" ",99)),892,99)))-1),Materiales!$A$2:$E$502,5,FALSE)*VALUE(MID(TRIM(MID(SUBSTITUTE($T19,";",REPT(" ",99)),892,99)),FIND(":",TRIM(MID(SUBSTITUTE($T19,";",REPT(" ",99)),892,99)))+1,99)),0)))</f>
        <v>0</v>
      </c>
      <c r="V19" s="17"/>
      <c r="W19" s="5">
        <f t="array" ref="W19">IF($A19="","",IF($V19="",0,IFERROR(VLOOKUP(LEFT(TRIM(MID(SUBSTITUTE($V19,";",REPT(" ",99)),1,99)),FIND(":",TRIM(MID(SUBSTITUTE($V19,";",REPT(" ",99)),1,99)))-1),Materiales!$A$2:$E$502,5,FALSE)*VALUE(MID(TRIM(MID(SUBSTITUTE($V19,";",REPT(" ",99)),1,99)),FIND(":",TRIM(MID(SUBSTITUTE($V19,";",REPT(" ",99)),1,99)))+1,99)),0) + IFERROR(VLOOKUP(LEFT(TRIM(MID(SUBSTITUTE($V19,";",REPT(" ",99)),100,99)),FIND(":",TRIM(MID(SUBSTITUTE($V19,";",REPT(" ",99)),100,99)))-1),Materiales!$A$2:$E$502,5,FALSE)*VALUE(MID(TRIM(MID(SUBSTITUTE($V19,";",REPT(" ",99)),100,99)),FIND(":",TRIM(MID(SUBSTITUTE($V19,";",REPT(" ",99)),100,99)))+1,99)),0) + IFERROR(VLOOKUP(LEFT(TRIM(MID(SUBSTITUTE($V19,";",REPT(" ",99)),199,99)),FIND(":",TRIM(MID(SUBSTITUTE($V19,";",REPT(" ",99)),199,99)))-1),Materiales!$A$2:$E$502,5,FALSE)*VALUE(MID(TRIM(MID(SUBSTITUTE($V19,";",REPT(" ",99)),199,99)),FIND(":",TRIM(MID(SUBSTITUTE($V19,";",REPT(" ",99)),199,99)))+1,99)),0) + IFERROR(VLOOKUP(LEFT(TRIM(MID(SUBSTITUTE($V19,";",REPT(" ",99)),298,99)),FIND(":",TRIM(MID(SUBSTITUTE($V19,";",REPT(" ",99)),298,99)))-1),Materiales!$A$2:$E$502,5,FALSE)*VALUE(MID(TRIM(MID(SUBSTITUTE($V19,";",REPT(" ",99)),298,99)),FIND(":",TRIM(MID(SUBSTITUTE($V19,";",REPT(" ",99)),298,99)))+1,99)),0) + IFERROR(VLOOKUP(LEFT(TRIM(MID(SUBSTITUTE($V19,";",REPT(" ",99)),397,99)),FIND(":",TRIM(MID(SUBSTITUTE($V19,";",REPT(" ",99)),397,99)))-1),Materiales!$A$2:$E$502,5,FALSE)*VALUE(MID(TRIM(MID(SUBSTITUTE($V19,";",REPT(" ",99)),397,99)),FIND(":",TRIM(MID(SUBSTITUTE($V19,";",REPT(" ",99)),397,99)))+1,99)),0) + IFERROR(VLOOKUP(LEFT(TRIM(MID(SUBSTITUTE($V19,";",REPT(" ",99)),496,99)),FIND(":",TRIM(MID(SUBSTITUTE($V19,";",REPT(" ",99)),496,99)))-1),Materiales!$A$2:$E$502,5,FALSE)*VALUE(MID(TRIM(MID(SUBSTITUTE($V19,";",REPT(" ",99)),496,99)),FIND(":",TRIM(MID(SUBSTITUTE($V19,";",REPT(" ",99)),496,99)))+1,99)),0) + IFERROR(VLOOKUP(LEFT(TRIM(MID(SUBSTITUTE($V19,";",REPT(" ",99)),595,99)),FIND(":",TRIM(MID(SUBSTITUTE($V19,";",REPT(" ",99)),595,99)))-1),Materiales!$A$2:$E$502,5,FALSE)*VALUE(MID(TRIM(MID(SUBSTITUTE($V19,";",REPT(" ",99)),595,99)),FIND(":",TRIM(MID(SUBSTITUTE($V19,";",REPT(" ",99)),595,99)))+1,99)),0) + IFERROR(VLOOKUP(LEFT(TRIM(MID(SUBSTITUTE($V19,";",REPT(" ",99)),694,99)),FIND(":",TRIM(MID(SUBSTITUTE($V19,";",REPT(" ",99)),694,99)))-1),Materiales!$A$2:$E$502,5,FALSE)*VALUE(MID(TRIM(MID(SUBSTITUTE($V19,";",REPT(" ",99)),694,99)),FIND(":",TRIM(MID(SUBSTITUTE($V19,";",REPT(" ",99)),694,99)))+1,99)),0) + IFERROR(VLOOKUP(LEFT(TRIM(MID(SUBSTITUTE($V19,";",REPT(" ",99)),793,99)),FIND(":",TRIM(MID(SUBSTITUTE($V19,";",REPT(" ",99)),793,99)))-1),Materiales!$A$2:$E$502,5,FALSE)*VALUE(MID(TRIM(MID(SUBSTITUTE($V19,";",REPT(" ",99)),793,99)),FIND(":",TRIM(MID(SUBSTITUTE($V19,";",REPT(" ",99)),793,99)))+1,99)),0) + IFERROR(VLOOKUP(LEFT(TRIM(MID(SUBSTITUTE($V19,";",REPT(" ",99)),892,99)),FIND(":",TRIM(MID(SUBSTITUTE($V19,";",REPT(" ",99)),892,99)))-1),Materiales!$A$2:$E$502,5,FALSE)*VALUE(MID(TRIM(MID(SUBSTITUTE($V19,";",REPT(" ",99)),892,99)),FIND(":",TRIM(MID(SUBSTITUTE($V19,";",REPT(" ",99)),892,99)))+1,99)),0)))</f>
        <v>0</v>
      </c>
      <c r="X19" s="39">
        <f t="shared" si="3"/>
        <v>3966.603467</v>
      </c>
      <c r="Y19" s="40" t="s">
        <v>195</v>
      </c>
      <c r="Z19" s="41">
        <f t="shared" si="4"/>
        <v>11899.8104</v>
      </c>
      <c r="AA19" s="42">
        <v>0.0</v>
      </c>
      <c r="AB19" s="18">
        <f t="shared" si="5"/>
        <v>11899.8104</v>
      </c>
      <c r="AC19" s="43">
        <v>12000.0</v>
      </c>
      <c r="AD19" s="42">
        <f t="shared" si="6"/>
        <v>7933.206934</v>
      </c>
      <c r="AE19" s="44">
        <f t="shared" si="7"/>
        <v>8033.396533</v>
      </c>
      <c r="AF19" s="45">
        <f t="shared" si="8"/>
        <v>1.012629142</v>
      </c>
    </row>
    <row r="20">
      <c r="A20" s="17" t="s">
        <v>218</v>
      </c>
      <c r="B20" s="17" t="s">
        <v>16</v>
      </c>
      <c r="C20" s="46">
        <v>1.0</v>
      </c>
      <c r="D20" s="38"/>
      <c r="E20" s="38"/>
      <c r="F20" s="18">
        <v>82.0</v>
      </c>
      <c r="G20" s="5">
        <f t="array" ref="G20">IF($A20="","",IFERROR($F20*(N($C20)*XLOOKUP($B20,Ceras!$A$2:$A$500,Ceras!$G$2:$G$500,0)+IF($D20="",0,N($E20)*XLOOKUP($D20,Ceras!$A$2:$A$500,Ceras!$G$2:$G$500,0))),"Revisar cera"))</f>
        <v>1476</v>
      </c>
      <c r="H20" s="5">
        <f t="shared" si="1"/>
        <v>123</v>
      </c>
      <c r="I20" s="17" t="s">
        <v>34</v>
      </c>
      <c r="J20" s="18">
        <v>6.0</v>
      </c>
      <c r="K20" s="5">
        <f t="array" ref="K20">IF($A20="","",IFERROR($J20*XLOOKUP($I20,Pabilos!$A$2:$A$500,Pabilos!$H$2:$H$500,0),"Revisar pabilo"))</f>
        <v>120</v>
      </c>
      <c r="L20" s="17" t="s">
        <v>55</v>
      </c>
      <c r="M20" s="14">
        <f t="shared" si="10"/>
        <v>8.2</v>
      </c>
      <c r="N20" s="5">
        <f t="array" ref="N20">IF($A20="","",IFERROR($M20*XLOOKUP($L20,Esencias!$A$2:$A$501,Esencias!$G$2:$G$501,0),"Revisar esencia"))</f>
        <v>1154.929577</v>
      </c>
      <c r="O20" s="17" t="s">
        <v>81</v>
      </c>
      <c r="P20" s="18">
        <v>1.0</v>
      </c>
      <c r="Q20" s="5">
        <f t="array" ref="Q20">IF($A20="","",IFERROR(IF($P20="",1,$P20)*XLOOKUP($O20,Colores!$A$2:$A$500,Colores!$H$2:$H$500,0),"Revisar color"))</f>
        <v>92.30769231</v>
      </c>
      <c r="R20" s="3"/>
      <c r="S20" s="5">
        <f t="array" ref="S20">IF($A20="","",IF($R20="",0,IFERROR(VLOOKUP(LEFT(TRIM(MID(SUBSTITUTE($R20,";",REPT(" ",99)),1,99)),FIND(":",TRIM(MID(SUBSTITUTE($R20,";",REPT(" ",99)),1,99)))-1),Materiales!$A$2:$E$502,5,FALSE)*VALUE(MID(TRIM(MID(SUBSTITUTE($R20,";",REPT(" ",99)),1,99)),FIND(":",TRIM(MID(SUBSTITUTE($R20,";",REPT(" ",99)),1,99)))+1,99)),0) + IFERROR(VLOOKUP(LEFT(TRIM(MID(SUBSTITUTE($R20,";",REPT(" ",99)),100,99)),FIND(":",TRIM(MID(SUBSTITUTE($R20,";",REPT(" ",99)),100,99)))-1),Materiales!$A$2:$E$502,5,FALSE)*VALUE(MID(TRIM(MID(SUBSTITUTE($R20,";",REPT(" ",99)),100,99)),FIND(":",TRIM(MID(SUBSTITUTE($R20,";",REPT(" ",99)),100,99)))+1,99)),0) + IFERROR(VLOOKUP(LEFT(TRIM(MID(SUBSTITUTE($R20,";",REPT(" ",99)),199,99)),FIND(":",TRIM(MID(SUBSTITUTE($R20,";",REPT(" ",99)),199,99)))-1),Materiales!$A$2:$E$502,5,FALSE)*VALUE(MID(TRIM(MID(SUBSTITUTE($R20,";",REPT(" ",99)),199,99)),FIND(":",TRIM(MID(SUBSTITUTE($R20,";",REPT(" ",99)),199,99)))+1,99)),0) + IFERROR(VLOOKUP(LEFT(TRIM(MID(SUBSTITUTE($R20,";",REPT(" ",99)),298,99)),FIND(":",TRIM(MID(SUBSTITUTE($R20,";",REPT(" ",99)),298,99)))-1),Materiales!$A$2:$E$502,5,FALSE)*VALUE(MID(TRIM(MID(SUBSTITUTE($R20,";",REPT(" ",99)),298,99)),FIND(":",TRIM(MID(SUBSTITUTE($R20,";",REPT(" ",99)),298,99)))+1,99)),0) + IFERROR(VLOOKUP(LEFT(TRIM(MID(SUBSTITUTE($R20,";",REPT(" ",99)),397,99)),FIND(":",TRIM(MID(SUBSTITUTE($R20,";",REPT(" ",99)),397,99)))-1),Materiales!$A$2:$E$502,5,FALSE)*VALUE(MID(TRIM(MID(SUBSTITUTE($R20,";",REPT(" ",99)),397,99)),FIND(":",TRIM(MID(SUBSTITUTE($R20,";",REPT(" ",99)),397,99)))+1,99)),0) + IFERROR(VLOOKUP(LEFT(TRIM(MID(SUBSTITUTE($R20,";",REPT(" ",99)),496,99)),FIND(":",TRIM(MID(SUBSTITUTE($R20,";",REPT(" ",99)),496,99)))-1),Materiales!$A$2:$E$502,5,FALSE)*VALUE(MID(TRIM(MID(SUBSTITUTE($R20,";",REPT(" ",99)),496,99)),FIND(":",TRIM(MID(SUBSTITUTE($R20,";",REPT(" ",99)),496,99)))+1,99)),0) + IFERROR(VLOOKUP(LEFT(TRIM(MID(SUBSTITUTE($R20,";",REPT(" ",99)),595,99)),FIND(":",TRIM(MID(SUBSTITUTE($R20,";",REPT(" ",99)),595,99)))-1),Materiales!$A$2:$E$502,5,FALSE)*VALUE(MID(TRIM(MID(SUBSTITUTE($R20,";",REPT(" ",99)),595,99)),FIND(":",TRIM(MID(SUBSTITUTE($R20,";",REPT(" ",99)),595,99)))+1,99)),0) + IFERROR(VLOOKUP(LEFT(TRIM(MID(SUBSTITUTE($R20,";",REPT(" ",99)),694,99)),FIND(":",TRIM(MID(SUBSTITUTE($R20,";",REPT(" ",99)),694,99)))-1),Materiales!$A$2:$E$502,5,FALSE)*VALUE(MID(TRIM(MID(SUBSTITUTE($R20,";",REPT(" ",99)),694,99)),FIND(":",TRIM(MID(SUBSTITUTE($R20,";",REPT(" ",99)),694,99)))+1,99)),0) + IFERROR(VLOOKUP(LEFT(TRIM(MID(SUBSTITUTE($R20,";",REPT(" ",99)),793,99)),FIND(":",TRIM(MID(SUBSTITUTE($R20,";",REPT(" ",99)),793,99)))-1),Materiales!$A$2:$E$502,5,FALSE)*VALUE(MID(TRIM(MID(SUBSTITUTE($R20,";",REPT(" ",99)),793,99)),FIND(":",TRIM(MID(SUBSTITUTE($R20,";",REPT(" ",99)),793,99)))+1,99)),0) + IFERROR(VLOOKUP(LEFT(TRIM(MID(SUBSTITUTE($R20,";",REPT(" ",99)),892,99)),FIND(":",TRIM(MID(SUBSTITUTE($R20,";",REPT(" ",99)),892,99)))-1),Materiales!$A$2:$E$502,5,FALSE)*VALUE(MID(TRIM(MID(SUBSTITUTE($R20,";",REPT(" ",99)),892,99)),FIND(":",TRIM(MID(SUBSTITUTE($R20,";",REPT(" ",99)),892,99)))+1,99)),0)))</f>
        <v>0</v>
      </c>
      <c r="T20" s="3"/>
      <c r="U20" s="5">
        <f t="array" ref="U20">IF($A20="","",IF($T20="",0,IFERROR(VLOOKUP(LEFT(TRIM(MID(SUBSTITUTE($T20,";",REPT(" ",99)),1,99)),FIND(":",TRIM(MID(SUBSTITUTE($T20,";",REPT(" ",99)),1,99)))-1),Materiales!$A$2:$E$502,5,FALSE)*VALUE(MID(TRIM(MID(SUBSTITUTE($T20,";",REPT(" ",99)),1,99)),FIND(":",TRIM(MID(SUBSTITUTE($T20,";",REPT(" ",99)),1,99)))+1,99)),0) + IFERROR(VLOOKUP(LEFT(TRIM(MID(SUBSTITUTE($T20,";",REPT(" ",99)),100,99)),FIND(":",TRIM(MID(SUBSTITUTE($T20,";",REPT(" ",99)),100,99)))-1),Materiales!$A$2:$E$502,5,FALSE)*VALUE(MID(TRIM(MID(SUBSTITUTE($T20,";",REPT(" ",99)),100,99)),FIND(":",TRIM(MID(SUBSTITUTE($T20,";",REPT(" ",99)),100,99)))+1,99)),0) + IFERROR(VLOOKUP(LEFT(TRIM(MID(SUBSTITUTE($T20,";",REPT(" ",99)),199,99)),FIND(":",TRIM(MID(SUBSTITUTE($T20,";",REPT(" ",99)),199,99)))-1),Materiales!$A$2:$E$502,5,FALSE)*VALUE(MID(TRIM(MID(SUBSTITUTE($T20,";",REPT(" ",99)),199,99)),FIND(":",TRIM(MID(SUBSTITUTE($T20,";",REPT(" ",99)),199,99)))+1,99)),0) + IFERROR(VLOOKUP(LEFT(TRIM(MID(SUBSTITUTE($T20,";",REPT(" ",99)),298,99)),FIND(":",TRIM(MID(SUBSTITUTE($T20,";",REPT(" ",99)),298,99)))-1),Materiales!$A$2:$E$502,5,FALSE)*VALUE(MID(TRIM(MID(SUBSTITUTE($T20,";",REPT(" ",99)),298,99)),FIND(":",TRIM(MID(SUBSTITUTE($T20,";",REPT(" ",99)),298,99)))+1,99)),0) + IFERROR(VLOOKUP(LEFT(TRIM(MID(SUBSTITUTE($T20,";",REPT(" ",99)),397,99)),FIND(":",TRIM(MID(SUBSTITUTE($T20,";",REPT(" ",99)),397,99)))-1),Materiales!$A$2:$E$502,5,FALSE)*VALUE(MID(TRIM(MID(SUBSTITUTE($T20,";",REPT(" ",99)),397,99)),FIND(":",TRIM(MID(SUBSTITUTE($T20,";",REPT(" ",99)),397,99)))+1,99)),0) + IFERROR(VLOOKUP(LEFT(TRIM(MID(SUBSTITUTE($T20,";",REPT(" ",99)),496,99)),FIND(":",TRIM(MID(SUBSTITUTE($T20,";",REPT(" ",99)),496,99)))-1),Materiales!$A$2:$E$502,5,FALSE)*VALUE(MID(TRIM(MID(SUBSTITUTE($T20,";",REPT(" ",99)),496,99)),FIND(":",TRIM(MID(SUBSTITUTE($T20,";",REPT(" ",99)),496,99)))+1,99)),0) + IFERROR(VLOOKUP(LEFT(TRIM(MID(SUBSTITUTE($T20,";",REPT(" ",99)),595,99)),FIND(":",TRIM(MID(SUBSTITUTE($T20,";",REPT(" ",99)),595,99)))-1),Materiales!$A$2:$E$502,5,FALSE)*VALUE(MID(TRIM(MID(SUBSTITUTE($T20,";",REPT(" ",99)),595,99)),FIND(":",TRIM(MID(SUBSTITUTE($T20,";",REPT(" ",99)),595,99)))+1,99)),0) + IFERROR(VLOOKUP(LEFT(TRIM(MID(SUBSTITUTE($T20,";",REPT(" ",99)),694,99)),FIND(":",TRIM(MID(SUBSTITUTE($T20,";",REPT(" ",99)),694,99)))-1),Materiales!$A$2:$E$502,5,FALSE)*VALUE(MID(TRIM(MID(SUBSTITUTE($T20,";",REPT(" ",99)),694,99)),FIND(":",TRIM(MID(SUBSTITUTE($T20,";",REPT(" ",99)),694,99)))+1,99)),0) + IFERROR(VLOOKUP(LEFT(TRIM(MID(SUBSTITUTE($T20,";",REPT(" ",99)),793,99)),FIND(":",TRIM(MID(SUBSTITUTE($T20,";",REPT(" ",99)),793,99)))-1),Materiales!$A$2:$E$502,5,FALSE)*VALUE(MID(TRIM(MID(SUBSTITUTE($T20,";",REPT(" ",99)),793,99)),FIND(":",TRIM(MID(SUBSTITUTE($T20,";",REPT(" ",99)),793,99)))+1,99)),0) + IFERROR(VLOOKUP(LEFT(TRIM(MID(SUBSTITUTE($T20,";",REPT(" ",99)),892,99)),FIND(":",TRIM(MID(SUBSTITUTE($T20,";",REPT(" ",99)),892,99)))-1),Materiales!$A$2:$E$502,5,FALSE)*VALUE(MID(TRIM(MID(SUBSTITUTE($T20,";",REPT(" ",99)),892,99)),FIND(":",TRIM(MID(SUBSTITUTE($T20,";",REPT(" ",99)),892,99)))+1,99)),0)))</f>
        <v>0</v>
      </c>
      <c r="V20" s="17"/>
      <c r="W20" s="5">
        <f t="array" ref="W20">IF($A20="","",IF($V20="",0,IFERROR(VLOOKUP(LEFT(TRIM(MID(SUBSTITUTE($V20,";",REPT(" ",99)),1,99)),FIND(":",TRIM(MID(SUBSTITUTE($V20,";",REPT(" ",99)),1,99)))-1),Materiales!$A$2:$E$502,5,FALSE)*VALUE(MID(TRIM(MID(SUBSTITUTE($V20,";",REPT(" ",99)),1,99)),FIND(":",TRIM(MID(SUBSTITUTE($V20,";",REPT(" ",99)),1,99)))+1,99)),0) + IFERROR(VLOOKUP(LEFT(TRIM(MID(SUBSTITUTE($V20,";",REPT(" ",99)),100,99)),FIND(":",TRIM(MID(SUBSTITUTE($V20,";",REPT(" ",99)),100,99)))-1),Materiales!$A$2:$E$502,5,FALSE)*VALUE(MID(TRIM(MID(SUBSTITUTE($V20,";",REPT(" ",99)),100,99)),FIND(":",TRIM(MID(SUBSTITUTE($V20,";",REPT(" ",99)),100,99)))+1,99)),0) + IFERROR(VLOOKUP(LEFT(TRIM(MID(SUBSTITUTE($V20,";",REPT(" ",99)),199,99)),FIND(":",TRIM(MID(SUBSTITUTE($V20,";",REPT(" ",99)),199,99)))-1),Materiales!$A$2:$E$502,5,FALSE)*VALUE(MID(TRIM(MID(SUBSTITUTE($V20,";",REPT(" ",99)),199,99)),FIND(":",TRIM(MID(SUBSTITUTE($V20,";",REPT(" ",99)),199,99)))+1,99)),0) + IFERROR(VLOOKUP(LEFT(TRIM(MID(SUBSTITUTE($V20,";",REPT(" ",99)),298,99)),FIND(":",TRIM(MID(SUBSTITUTE($V20,";",REPT(" ",99)),298,99)))-1),Materiales!$A$2:$E$502,5,FALSE)*VALUE(MID(TRIM(MID(SUBSTITUTE($V20,";",REPT(" ",99)),298,99)),FIND(":",TRIM(MID(SUBSTITUTE($V20,";",REPT(" ",99)),298,99)))+1,99)),0) + IFERROR(VLOOKUP(LEFT(TRIM(MID(SUBSTITUTE($V20,";",REPT(" ",99)),397,99)),FIND(":",TRIM(MID(SUBSTITUTE($V20,";",REPT(" ",99)),397,99)))-1),Materiales!$A$2:$E$502,5,FALSE)*VALUE(MID(TRIM(MID(SUBSTITUTE($V20,";",REPT(" ",99)),397,99)),FIND(":",TRIM(MID(SUBSTITUTE($V20,";",REPT(" ",99)),397,99)))+1,99)),0) + IFERROR(VLOOKUP(LEFT(TRIM(MID(SUBSTITUTE($V20,";",REPT(" ",99)),496,99)),FIND(":",TRIM(MID(SUBSTITUTE($V20,";",REPT(" ",99)),496,99)))-1),Materiales!$A$2:$E$502,5,FALSE)*VALUE(MID(TRIM(MID(SUBSTITUTE($V20,";",REPT(" ",99)),496,99)),FIND(":",TRIM(MID(SUBSTITUTE($V20,";",REPT(" ",99)),496,99)))+1,99)),0) + IFERROR(VLOOKUP(LEFT(TRIM(MID(SUBSTITUTE($V20,";",REPT(" ",99)),595,99)),FIND(":",TRIM(MID(SUBSTITUTE($V20,";",REPT(" ",99)),595,99)))-1),Materiales!$A$2:$E$502,5,FALSE)*VALUE(MID(TRIM(MID(SUBSTITUTE($V20,";",REPT(" ",99)),595,99)),FIND(":",TRIM(MID(SUBSTITUTE($V20,";",REPT(" ",99)),595,99)))+1,99)),0) + IFERROR(VLOOKUP(LEFT(TRIM(MID(SUBSTITUTE($V20,";",REPT(" ",99)),694,99)),FIND(":",TRIM(MID(SUBSTITUTE($V20,";",REPT(" ",99)),694,99)))-1),Materiales!$A$2:$E$502,5,FALSE)*VALUE(MID(TRIM(MID(SUBSTITUTE($V20,";",REPT(" ",99)),694,99)),FIND(":",TRIM(MID(SUBSTITUTE($V20,";",REPT(" ",99)),694,99)))+1,99)),0) + IFERROR(VLOOKUP(LEFT(TRIM(MID(SUBSTITUTE($V20,";",REPT(" ",99)),793,99)),FIND(":",TRIM(MID(SUBSTITUTE($V20,";",REPT(" ",99)),793,99)))-1),Materiales!$A$2:$E$502,5,FALSE)*VALUE(MID(TRIM(MID(SUBSTITUTE($V20,";",REPT(" ",99)),793,99)),FIND(":",TRIM(MID(SUBSTITUTE($V20,";",REPT(" ",99)),793,99)))+1,99)),0) + IFERROR(VLOOKUP(LEFT(TRIM(MID(SUBSTITUTE($V20,";",REPT(" ",99)),892,99)),FIND(":",TRIM(MID(SUBSTITUTE($V20,";",REPT(" ",99)),892,99)))-1),Materiales!$A$2:$E$502,5,FALSE)*VALUE(MID(TRIM(MID(SUBSTITUTE($V20,";",REPT(" ",99)),892,99)),FIND(":",TRIM(MID(SUBSTITUTE($V20,";",REPT(" ",99)),892,99)))+1,99)),0)))</f>
        <v>0</v>
      </c>
      <c r="X20" s="39">
        <f t="shared" si="3"/>
        <v>2966.23727</v>
      </c>
      <c r="Y20" s="40" t="s">
        <v>195</v>
      </c>
      <c r="Z20" s="41">
        <f t="shared" si="4"/>
        <v>8898.711809</v>
      </c>
      <c r="AA20" s="42">
        <v>0.0</v>
      </c>
      <c r="AB20" s="18">
        <f t="shared" si="5"/>
        <v>8898.711809</v>
      </c>
      <c r="AC20" s="43">
        <v>9000.0</v>
      </c>
      <c r="AD20" s="42">
        <f t="shared" si="6"/>
        <v>5932.47454</v>
      </c>
      <c r="AE20" s="44">
        <f t="shared" si="7"/>
        <v>6033.76273</v>
      </c>
      <c r="AF20" s="45">
        <f t="shared" si="8"/>
        <v>1.017073515</v>
      </c>
    </row>
    <row r="21">
      <c r="A21" s="17"/>
      <c r="B21" s="17"/>
      <c r="C21" s="46"/>
      <c r="D21" s="38"/>
      <c r="E21" s="38"/>
      <c r="F21" s="18"/>
      <c r="G21" s="5"/>
      <c r="H21" s="5"/>
      <c r="I21" s="17"/>
      <c r="J21" s="18"/>
      <c r="K21" s="5"/>
      <c r="L21" s="17"/>
      <c r="M21" s="14"/>
      <c r="N21" s="5"/>
      <c r="O21" s="17"/>
      <c r="P21" s="18"/>
      <c r="Q21" s="5"/>
      <c r="R21" s="3"/>
      <c r="S21" s="5"/>
      <c r="T21" s="3"/>
      <c r="U21" s="5"/>
      <c r="V21" s="17"/>
      <c r="W21" s="5"/>
      <c r="X21" s="39"/>
      <c r="Y21" s="40"/>
      <c r="Z21" s="41"/>
      <c r="AA21" s="42"/>
      <c r="AB21" s="18"/>
      <c r="AC21" s="43"/>
      <c r="AD21" s="42"/>
      <c r="AE21" s="44"/>
      <c r="AF21" s="45"/>
    </row>
    <row r="22">
      <c r="A22" s="17" t="s">
        <v>219</v>
      </c>
      <c r="B22" s="17" t="s">
        <v>16</v>
      </c>
      <c r="C22" s="46">
        <v>1.0</v>
      </c>
      <c r="D22" s="38"/>
      <c r="E22" s="38"/>
      <c r="F22" s="18">
        <v>19.0</v>
      </c>
      <c r="G22" s="5">
        <f t="array" ref="G22">IF($A22="","",IFERROR($F22*(N($C22)*XLOOKUP($B22,Ceras!$A$2:$A$500,Ceras!$G$2:$G$500,0)+IF($D22="",0,N($E22)*XLOOKUP($D22,Ceras!$A$2:$A$500,Ceras!$G$2:$G$500,0))),"Revisar cera"))</f>
        <v>342</v>
      </c>
      <c r="H22" s="5">
        <f t="shared" ref="H22:H48" si="11">F22*1.5</f>
        <v>28.5</v>
      </c>
      <c r="I22" s="17" t="s">
        <v>32</v>
      </c>
      <c r="J22" s="18">
        <v>4.0</v>
      </c>
      <c r="K22" s="5">
        <f t="array" ref="K22">IF($A22="","",IFERROR($J22*XLOOKUP($I22,Pabilos!$A$2:$A$500,Pabilos!$H$2:$H$500,0),"Revisar pabilo"))</f>
        <v>72</v>
      </c>
      <c r="L22" s="17" t="s">
        <v>55</v>
      </c>
      <c r="M22" s="14">
        <f t="shared" ref="M22:M35" si="12">F22/10</f>
        <v>1.9</v>
      </c>
      <c r="N22" s="5">
        <f t="array" ref="N22">IF($A22="","",IFERROR($M22*XLOOKUP($L22,Esencias!$A$2:$A$501,Esencias!$G$2:$G$501,0),"Revisar esencia"))</f>
        <v>267.6056338</v>
      </c>
      <c r="O22" s="17" t="s">
        <v>81</v>
      </c>
      <c r="P22" s="18">
        <v>0.5</v>
      </c>
      <c r="Q22" s="5">
        <f t="array" ref="Q22">IF($A22="","",IFERROR(IF($P22="",1,$P22)*XLOOKUP($O22,Colores!$A$2:$A$500,Colores!$H$2:$H$500,0),"Revisar color"))</f>
        <v>46.15384615</v>
      </c>
      <c r="R22" s="3"/>
      <c r="S22" s="5">
        <f t="array" ref="S22">IF($A22="","",IF($R22="",0,IFERROR(VLOOKUP(LEFT(TRIM(MID(SUBSTITUTE($R22,";",REPT(" ",99)),1,99)),FIND(":",TRIM(MID(SUBSTITUTE($R22,";",REPT(" ",99)),1,99)))-1),Materiales!$A$2:$E$502,5,FALSE)*VALUE(MID(TRIM(MID(SUBSTITUTE($R22,";",REPT(" ",99)),1,99)),FIND(":",TRIM(MID(SUBSTITUTE($R22,";",REPT(" ",99)),1,99)))+1,99)),0) + IFERROR(VLOOKUP(LEFT(TRIM(MID(SUBSTITUTE($R22,";",REPT(" ",99)),100,99)),FIND(":",TRIM(MID(SUBSTITUTE($R22,";",REPT(" ",99)),100,99)))-1),Materiales!$A$2:$E$502,5,FALSE)*VALUE(MID(TRIM(MID(SUBSTITUTE($R22,";",REPT(" ",99)),100,99)),FIND(":",TRIM(MID(SUBSTITUTE($R22,";",REPT(" ",99)),100,99)))+1,99)),0) + IFERROR(VLOOKUP(LEFT(TRIM(MID(SUBSTITUTE($R22,";",REPT(" ",99)),199,99)),FIND(":",TRIM(MID(SUBSTITUTE($R22,";",REPT(" ",99)),199,99)))-1),Materiales!$A$2:$E$502,5,FALSE)*VALUE(MID(TRIM(MID(SUBSTITUTE($R22,";",REPT(" ",99)),199,99)),FIND(":",TRIM(MID(SUBSTITUTE($R22,";",REPT(" ",99)),199,99)))+1,99)),0) + IFERROR(VLOOKUP(LEFT(TRIM(MID(SUBSTITUTE($R22,";",REPT(" ",99)),298,99)),FIND(":",TRIM(MID(SUBSTITUTE($R22,";",REPT(" ",99)),298,99)))-1),Materiales!$A$2:$E$502,5,FALSE)*VALUE(MID(TRIM(MID(SUBSTITUTE($R22,";",REPT(" ",99)),298,99)),FIND(":",TRIM(MID(SUBSTITUTE($R22,";",REPT(" ",99)),298,99)))+1,99)),0) + IFERROR(VLOOKUP(LEFT(TRIM(MID(SUBSTITUTE($R22,";",REPT(" ",99)),397,99)),FIND(":",TRIM(MID(SUBSTITUTE($R22,";",REPT(" ",99)),397,99)))-1),Materiales!$A$2:$E$502,5,FALSE)*VALUE(MID(TRIM(MID(SUBSTITUTE($R22,";",REPT(" ",99)),397,99)),FIND(":",TRIM(MID(SUBSTITUTE($R22,";",REPT(" ",99)),397,99)))+1,99)),0) + IFERROR(VLOOKUP(LEFT(TRIM(MID(SUBSTITUTE($R22,";",REPT(" ",99)),496,99)),FIND(":",TRIM(MID(SUBSTITUTE($R22,";",REPT(" ",99)),496,99)))-1),Materiales!$A$2:$E$502,5,FALSE)*VALUE(MID(TRIM(MID(SUBSTITUTE($R22,";",REPT(" ",99)),496,99)),FIND(":",TRIM(MID(SUBSTITUTE($R22,";",REPT(" ",99)),496,99)))+1,99)),0) + IFERROR(VLOOKUP(LEFT(TRIM(MID(SUBSTITUTE($R22,";",REPT(" ",99)),595,99)),FIND(":",TRIM(MID(SUBSTITUTE($R22,";",REPT(" ",99)),595,99)))-1),Materiales!$A$2:$E$502,5,FALSE)*VALUE(MID(TRIM(MID(SUBSTITUTE($R22,";",REPT(" ",99)),595,99)),FIND(":",TRIM(MID(SUBSTITUTE($R22,";",REPT(" ",99)),595,99)))+1,99)),0) + IFERROR(VLOOKUP(LEFT(TRIM(MID(SUBSTITUTE($R22,";",REPT(" ",99)),694,99)),FIND(":",TRIM(MID(SUBSTITUTE($R22,";",REPT(" ",99)),694,99)))-1),Materiales!$A$2:$E$502,5,FALSE)*VALUE(MID(TRIM(MID(SUBSTITUTE($R22,";",REPT(" ",99)),694,99)),FIND(":",TRIM(MID(SUBSTITUTE($R22,";",REPT(" ",99)),694,99)))+1,99)),0) + IFERROR(VLOOKUP(LEFT(TRIM(MID(SUBSTITUTE($R22,";",REPT(" ",99)),793,99)),FIND(":",TRIM(MID(SUBSTITUTE($R22,";",REPT(" ",99)),793,99)))-1),Materiales!$A$2:$E$502,5,FALSE)*VALUE(MID(TRIM(MID(SUBSTITUTE($R22,";",REPT(" ",99)),793,99)),FIND(":",TRIM(MID(SUBSTITUTE($R22,";",REPT(" ",99)),793,99)))+1,99)),0) + IFERROR(VLOOKUP(LEFT(TRIM(MID(SUBSTITUTE($R22,";",REPT(" ",99)),892,99)),FIND(":",TRIM(MID(SUBSTITUTE($R22,";",REPT(" ",99)),892,99)))-1),Materiales!$A$2:$E$502,5,FALSE)*VALUE(MID(TRIM(MID(SUBSTITUTE($R22,";",REPT(" ",99)),892,99)),FIND(":",TRIM(MID(SUBSTITUTE($R22,";",REPT(" ",99)),892,99)))+1,99)),0)))</f>
        <v>0</v>
      </c>
      <c r="T22" s="3"/>
      <c r="U22" s="5">
        <f t="array" ref="U22">IF($A22="","",IF($T22="",0,IFERROR(VLOOKUP(LEFT(TRIM(MID(SUBSTITUTE($T22,";",REPT(" ",99)),1,99)),FIND(":",TRIM(MID(SUBSTITUTE($T22,";",REPT(" ",99)),1,99)))-1),Materiales!$A$2:$E$502,5,FALSE)*VALUE(MID(TRIM(MID(SUBSTITUTE($T22,";",REPT(" ",99)),1,99)),FIND(":",TRIM(MID(SUBSTITUTE($T22,";",REPT(" ",99)),1,99)))+1,99)),0) + IFERROR(VLOOKUP(LEFT(TRIM(MID(SUBSTITUTE($T22,";",REPT(" ",99)),100,99)),FIND(":",TRIM(MID(SUBSTITUTE($T22,";",REPT(" ",99)),100,99)))-1),Materiales!$A$2:$E$502,5,FALSE)*VALUE(MID(TRIM(MID(SUBSTITUTE($T22,";",REPT(" ",99)),100,99)),FIND(":",TRIM(MID(SUBSTITUTE($T22,";",REPT(" ",99)),100,99)))+1,99)),0) + IFERROR(VLOOKUP(LEFT(TRIM(MID(SUBSTITUTE($T22,";",REPT(" ",99)),199,99)),FIND(":",TRIM(MID(SUBSTITUTE($T22,";",REPT(" ",99)),199,99)))-1),Materiales!$A$2:$E$502,5,FALSE)*VALUE(MID(TRIM(MID(SUBSTITUTE($T22,";",REPT(" ",99)),199,99)),FIND(":",TRIM(MID(SUBSTITUTE($T22,";",REPT(" ",99)),199,99)))+1,99)),0) + IFERROR(VLOOKUP(LEFT(TRIM(MID(SUBSTITUTE($T22,";",REPT(" ",99)),298,99)),FIND(":",TRIM(MID(SUBSTITUTE($T22,";",REPT(" ",99)),298,99)))-1),Materiales!$A$2:$E$502,5,FALSE)*VALUE(MID(TRIM(MID(SUBSTITUTE($T22,";",REPT(" ",99)),298,99)),FIND(":",TRIM(MID(SUBSTITUTE($T22,";",REPT(" ",99)),298,99)))+1,99)),0) + IFERROR(VLOOKUP(LEFT(TRIM(MID(SUBSTITUTE($T22,";",REPT(" ",99)),397,99)),FIND(":",TRIM(MID(SUBSTITUTE($T22,";",REPT(" ",99)),397,99)))-1),Materiales!$A$2:$E$502,5,FALSE)*VALUE(MID(TRIM(MID(SUBSTITUTE($T22,";",REPT(" ",99)),397,99)),FIND(":",TRIM(MID(SUBSTITUTE($T22,";",REPT(" ",99)),397,99)))+1,99)),0) + IFERROR(VLOOKUP(LEFT(TRIM(MID(SUBSTITUTE($T22,";",REPT(" ",99)),496,99)),FIND(":",TRIM(MID(SUBSTITUTE($T22,";",REPT(" ",99)),496,99)))-1),Materiales!$A$2:$E$502,5,FALSE)*VALUE(MID(TRIM(MID(SUBSTITUTE($T22,";",REPT(" ",99)),496,99)),FIND(":",TRIM(MID(SUBSTITUTE($T22,";",REPT(" ",99)),496,99)))+1,99)),0) + IFERROR(VLOOKUP(LEFT(TRIM(MID(SUBSTITUTE($T22,";",REPT(" ",99)),595,99)),FIND(":",TRIM(MID(SUBSTITUTE($T22,";",REPT(" ",99)),595,99)))-1),Materiales!$A$2:$E$502,5,FALSE)*VALUE(MID(TRIM(MID(SUBSTITUTE($T22,";",REPT(" ",99)),595,99)),FIND(":",TRIM(MID(SUBSTITUTE($T22,";",REPT(" ",99)),595,99)))+1,99)),0) + IFERROR(VLOOKUP(LEFT(TRIM(MID(SUBSTITUTE($T22,";",REPT(" ",99)),694,99)),FIND(":",TRIM(MID(SUBSTITUTE($T22,";",REPT(" ",99)),694,99)))-1),Materiales!$A$2:$E$502,5,FALSE)*VALUE(MID(TRIM(MID(SUBSTITUTE($T22,";",REPT(" ",99)),694,99)),FIND(":",TRIM(MID(SUBSTITUTE($T22,";",REPT(" ",99)),694,99)))+1,99)),0) + IFERROR(VLOOKUP(LEFT(TRIM(MID(SUBSTITUTE($T22,";",REPT(" ",99)),793,99)),FIND(":",TRIM(MID(SUBSTITUTE($T22,";",REPT(" ",99)),793,99)))-1),Materiales!$A$2:$E$502,5,FALSE)*VALUE(MID(TRIM(MID(SUBSTITUTE($T22,";",REPT(" ",99)),793,99)),FIND(":",TRIM(MID(SUBSTITUTE($T22,";",REPT(" ",99)),793,99)))+1,99)),0) + IFERROR(VLOOKUP(LEFT(TRIM(MID(SUBSTITUTE($T22,";",REPT(" ",99)),892,99)),FIND(":",TRIM(MID(SUBSTITUTE($T22,";",REPT(" ",99)),892,99)))-1),Materiales!$A$2:$E$502,5,FALSE)*VALUE(MID(TRIM(MID(SUBSTITUTE($T22,";",REPT(" ",99)),892,99)),FIND(":",TRIM(MID(SUBSTITUTE($T22,";",REPT(" ",99)),892,99)))+1,99)),0)))</f>
        <v>0</v>
      </c>
      <c r="V22" s="3"/>
      <c r="W22" s="5">
        <f t="array" ref="W22">IF($A22="","",IF($V22="",0,IFERROR(VLOOKUP(LEFT(TRIM(MID(SUBSTITUTE($V22,";",REPT(" ",99)),1,99)),FIND(":",TRIM(MID(SUBSTITUTE($V22,";",REPT(" ",99)),1,99)))-1),Materiales!$A$2:$E$502,5,FALSE)*VALUE(MID(TRIM(MID(SUBSTITUTE($V22,";",REPT(" ",99)),1,99)),FIND(":",TRIM(MID(SUBSTITUTE($V22,";",REPT(" ",99)),1,99)))+1,99)),0) + IFERROR(VLOOKUP(LEFT(TRIM(MID(SUBSTITUTE($V22,";",REPT(" ",99)),100,99)),FIND(":",TRIM(MID(SUBSTITUTE($V22,";",REPT(" ",99)),100,99)))-1),Materiales!$A$2:$E$502,5,FALSE)*VALUE(MID(TRIM(MID(SUBSTITUTE($V22,";",REPT(" ",99)),100,99)),FIND(":",TRIM(MID(SUBSTITUTE($V22,";",REPT(" ",99)),100,99)))+1,99)),0) + IFERROR(VLOOKUP(LEFT(TRIM(MID(SUBSTITUTE($V22,";",REPT(" ",99)),199,99)),FIND(":",TRIM(MID(SUBSTITUTE($V22,";",REPT(" ",99)),199,99)))-1),Materiales!$A$2:$E$502,5,FALSE)*VALUE(MID(TRIM(MID(SUBSTITUTE($V22,";",REPT(" ",99)),199,99)),FIND(":",TRIM(MID(SUBSTITUTE($V22,";",REPT(" ",99)),199,99)))+1,99)),0) + IFERROR(VLOOKUP(LEFT(TRIM(MID(SUBSTITUTE($V22,";",REPT(" ",99)),298,99)),FIND(":",TRIM(MID(SUBSTITUTE($V22,";",REPT(" ",99)),298,99)))-1),Materiales!$A$2:$E$502,5,FALSE)*VALUE(MID(TRIM(MID(SUBSTITUTE($V22,";",REPT(" ",99)),298,99)),FIND(":",TRIM(MID(SUBSTITUTE($V22,";",REPT(" ",99)),298,99)))+1,99)),0) + IFERROR(VLOOKUP(LEFT(TRIM(MID(SUBSTITUTE($V22,";",REPT(" ",99)),397,99)),FIND(":",TRIM(MID(SUBSTITUTE($V22,";",REPT(" ",99)),397,99)))-1),Materiales!$A$2:$E$502,5,FALSE)*VALUE(MID(TRIM(MID(SUBSTITUTE($V22,";",REPT(" ",99)),397,99)),FIND(":",TRIM(MID(SUBSTITUTE($V22,";",REPT(" ",99)),397,99)))+1,99)),0) + IFERROR(VLOOKUP(LEFT(TRIM(MID(SUBSTITUTE($V22,";",REPT(" ",99)),496,99)),FIND(":",TRIM(MID(SUBSTITUTE($V22,";",REPT(" ",99)),496,99)))-1),Materiales!$A$2:$E$502,5,FALSE)*VALUE(MID(TRIM(MID(SUBSTITUTE($V22,";",REPT(" ",99)),496,99)),FIND(":",TRIM(MID(SUBSTITUTE($V22,";",REPT(" ",99)),496,99)))+1,99)),0) + IFERROR(VLOOKUP(LEFT(TRIM(MID(SUBSTITUTE($V22,";",REPT(" ",99)),595,99)),FIND(":",TRIM(MID(SUBSTITUTE($V22,";",REPT(" ",99)),595,99)))-1),Materiales!$A$2:$E$502,5,FALSE)*VALUE(MID(TRIM(MID(SUBSTITUTE($V22,";",REPT(" ",99)),595,99)),FIND(":",TRIM(MID(SUBSTITUTE($V22,";",REPT(" ",99)),595,99)))+1,99)),0) + IFERROR(VLOOKUP(LEFT(TRIM(MID(SUBSTITUTE($V22,";",REPT(" ",99)),694,99)),FIND(":",TRIM(MID(SUBSTITUTE($V22,";",REPT(" ",99)),694,99)))-1),Materiales!$A$2:$E$502,5,FALSE)*VALUE(MID(TRIM(MID(SUBSTITUTE($V22,";",REPT(" ",99)),694,99)),FIND(":",TRIM(MID(SUBSTITUTE($V22,";",REPT(" ",99)),694,99)))+1,99)),0) + IFERROR(VLOOKUP(LEFT(TRIM(MID(SUBSTITUTE($V22,";",REPT(" ",99)),793,99)),FIND(":",TRIM(MID(SUBSTITUTE($V22,";",REPT(" ",99)),793,99)))-1),Materiales!$A$2:$E$502,5,FALSE)*VALUE(MID(TRIM(MID(SUBSTITUTE($V22,";",REPT(" ",99)),793,99)),FIND(":",TRIM(MID(SUBSTITUTE($V22,";",REPT(" ",99)),793,99)))+1,99)),0) + IFERROR(VLOOKUP(LEFT(TRIM(MID(SUBSTITUTE($V22,";",REPT(" ",99)),892,99)),FIND(":",TRIM(MID(SUBSTITUTE($V22,";",REPT(" ",99)),892,99)))-1),Materiales!$A$2:$E$502,5,FALSE)*VALUE(MID(TRIM(MID(SUBSTITUTE($V22,";",REPT(" ",99)),892,99)),FIND(":",TRIM(MID(SUBSTITUTE($V22,";",REPT(" ",99)),892,99)))+1,99)),0)))</f>
        <v>0</v>
      </c>
      <c r="X22" s="39">
        <f t="shared" ref="X22:X165" si="13">IF($A22="","",SUM($G22,$H22,$K22,$N22,$Q22,$S22,$U22,$W22))</f>
        <v>756.25948</v>
      </c>
      <c r="Y22" s="40" t="s">
        <v>195</v>
      </c>
      <c r="Z22" s="41">
        <f t="shared" ref="Z22:Z48" si="14">X22*Y22</f>
        <v>2268.77844</v>
      </c>
      <c r="AA22" s="42">
        <v>0.0</v>
      </c>
      <c r="AB22" s="18">
        <f t="shared" ref="AB22:AB48" si="15">AA22+Z22</f>
        <v>2268.77844</v>
      </c>
      <c r="AC22" s="43">
        <v>2500.0</v>
      </c>
      <c r="AD22" s="42">
        <f t="shared" ref="AD22:AD48" si="16">AB22-X22</f>
        <v>1512.51896</v>
      </c>
      <c r="AE22" s="44">
        <f t="shared" ref="AE22:AE155" si="17">AC22-X22</f>
        <v>1743.74052</v>
      </c>
      <c r="AF22" s="45">
        <f t="shared" ref="AF22:AF111" si="18">AE22/AD22</f>
        <v>1.152871842</v>
      </c>
    </row>
    <row r="23">
      <c r="A23" s="17" t="s">
        <v>220</v>
      </c>
      <c r="B23" s="17" t="s">
        <v>16</v>
      </c>
      <c r="C23" s="46">
        <v>1.0</v>
      </c>
      <c r="D23" s="38"/>
      <c r="E23" s="38"/>
      <c r="F23" s="18">
        <v>51.0</v>
      </c>
      <c r="G23" s="5">
        <f t="array" ref="G23">IF($A23="","",IFERROR($F23*(N($C23)*XLOOKUP($B23,Ceras!$A$2:$A$500,Ceras!$G$2:$G$500,0)+IF($D23="",0,N($E23)*XLOOKUP($D23,Ceras!$A$2:$A$500,Ceras!$G$2:$G$500,0))),"Revisar cera"))</f>
        <v>918</v>
      </c>
      <c r="H23" s="5">
        <f t="shared" si="11"/>
        <v>76.5</v>
      </c>
      <c r="I23" s="17" t="s">
        <v>32</v>
      </c>
      <c r="J23" s="18">
        <v>5.0</v>
      </c>
      <c r="K23" s="5">
        <f t="array" ref="K23">IF($A23="","",IFERROR($J23*XLOOKUP($I23,Pabilos!$A$2:$A$500,Pabilos!$H$2:$H$500,0),"Revisar pabilo"))</f>
        <v>90</v>
      </c>
      <c r="L23" s="17" t="s">
        <v>55</v>
      </c>
      <c r="M23" s="14">
        <f t="shared" si="12"/>
        <v>5.1</v>
      </c>
      <c r="N23" s="5">
        <f t="array" ref="N23">IF($A23="","",IFERROR($M23*XLOOKUP($L23,Esencias!$A$2:$A$501,Esencias!$G$2:$G$501,0),"Revisar esencia"))</f>
        <v>718.3098592</v>
      </c>
      <c r="O23" s="17" t="s">
        <v>81</v>
      </c>
      <c r="P23" s="18">
        <v>1.0</v>
      </c>
      <c r="Q23" s="5">
        <f t="array" ref="Q23">IF($A23="","",IFERROR(IF($P23="",1,$P23)*XLOOKUP($O23,Colores!$A$2:$A$500,Colores!$H$2:$H$500,0),"Revisar color"))</f>
        <v>92.30769231</v>
      </c>
      <c r="R23" s="3"/>
      <c r="S23" s="5">
        <f t="array" ref="S23">IF($A23="","",IF($R23="",0,IFERROR(VLOOKUP(LEFT(TRIM(MID(SUBSTITUTE($R23,";",REPT(" ",99)),1,99)),FIND(":",TRIM(MID(SUBSTITUTE($R23,";",REPT(" ",99)),1,99)))-1),Materiales!$A$2:$E$502,5,FALSE)*VALUE(MID(TRIM(MID(SUBSTITUTE($R23,";",REPT(" ",99)),1,99)),FIND(":",TRIM(MID(SUBSTITUTE($R23,";",REPT(" ",99)),1,99)))+1,99)),0) + IFERROR(VLOOKUP(LEFT(TRIM(MID(SUBSTITUTE($R23,";",REPT(" ",99)),100,99)),FIND(":",TRIM(MID(SUBSTITUTE($R23,";",REPT(" ",99)),100,99)))-1),Materiales!$A$2:$E$502,5,FALSE)*VALUE(MID(TRIM(MID(SUBSTITUTE($R23,";",REPT(" ",99)),100,99)),FIND(":",TRIM(MID(SUBSTITUTE($R23,";",REPT(" ",99)),100,99)))+1,99)),0) + IFERROR(VLOOKUP(LEFT(TRIM(MID(SUBSTITUTE($R23,";",REPT(" ",99)),199,99)),FIND(":",TRIM(MID(SUBSTITUTE($R23,";",REPT(" ",99)),199,99)))-1),Materiales!$A$2:$E$502,5,FALSE)*VALUE(MID(TRIM(MID(SUBSTITUTE($R23,";",REPT(" ",99)),199,99)),FIND(":",TRIM(MID(SUBSTITUTE($R23,";",REPT(" ",99)),199,99)))+1,99)),0) + IFERROR(VLOOKUP(LEFT(TRIM(MID(SUBSTITUTE($R23,";",REPT(" ",99)),298,99)),FIND(":",TRIM(MID(SUBSTITUTE($R23,";",REPT(" ",99)),298,99)))-1),Materiales!$A$2:$E$502,5,FALSE)*VALUE(MID(TRIM(MID(SUBSTITUTE($R23,";",REPT(" ",99)),298,99)),FIND(":",TRIM(MID(SUBSTITUTE($R23,";",REPT(" ",99)),298,99)))+1,99)),0) + IFERROR(VLOOKUP(LEFT(TRIM(MID(SUBSTITUTE($R23,";",REPT(" ",99)),397,99)),FIND(":",TRIM(MID(SUBSTITUTE($R23,";",REPT(" ",99)),397,99)))-1),Materiales!$A$2:$E$502,5,FALSE)*VALUE(MID(TRIM(MID(SUBSTITUTE($R23,";",REPT(" ",99)),397,99)),FIND(":",TRIM(MID(SUBSTITUTE($R23,";",REPT(" ",99)),397,99)))+1,99)),0) + IFERROR(VLOOKUP(LEFT(TRIM(MID(SUBSTITUTE($R23,";",REPT(" ",99)),496,99)),FIND(":",TRIM(MID(SUBSTITUTE($R23,";",REPT(" ",99)),496,99)))-1),Materiales!$A$2:$E$502,5,FALSE)*VALUE(MID(TRIM(MID(SUBSTITUTE($R23,";",REPT(" ",99)),496,99)),FIND(":",TRIM(MID(SUBSTITUTE($R23,";",REPT(" ",99)),496,99)))+1,99)),0) + IFERROR(VLOOKUP(LEFT(TRIM(MID(SUBSTITUTE($R23,";",REPT(" ",99)),595,99)),FIND(":",TRIM(MID(SUBSTITUTE($R23,";",REPT(" ",99)),595,99)))-1),Materiales!$A$2:$E$502,5,FALSE)*VALUE(MID(TRIM(MID(SUBSTITUTE($R23,";",REPT(" ",99)),595,99)),FIND(":",TRIM(MID(SUBSTITUTE($R23,";",REPT(" ",99)),595,99)))+1,99)),0) + IFERROR(VLOOKUP(LEFT(TRIM(MID(SUBSTITUTE($R23,";",REPT(" ",99)),694,99)),FIND(":",TRIM(MID(SUBSTITUTE($R23,";",REPT(" ",99)),694,99)))-1),Materiales!$A$2:$E$502,5,FALSE)*VALUE(MID(TRIM(MID(SUBSTITUTE($R23,";",REPT(" ",99)),694,99)),FIND(":",TRIM(MID(SUBSTITUTE($R23,";",REPT(" ",99)),694,99)))+1,99)),0) + IFERROR(VLOOKUP(LEFT(TRIM(MID(SUBSTITUTE($R23,";",REPT(" ",99)),793,99)),FIND(":",TRIM(MID(SUBSTITUTE($R23,";",REPT(" ",99)),793,99)))-1),Materiales!$A$2:$E$502,5,FALSE)*VALUE(MID(TRIM(MID(SUBSTITUTE($R23,";",REPT(" ",99)),793,99)),FIND(":",TRIM(MID(SUBSTITUTE($R23,";",REPT(" ",99)),793,99)))+1,99)),0) + IFERROR(VLOOKUP(LEFT(TRIM(MID(SUBSTITUTE($R23,";",REPT(" ",99)),892,99)),FIND(":",TRIM(MID(SUBSTITUTE($R23,";",REPT(" ",99)),892,99)))-1),Materiales!$A$2:$E$502,5,FALSE)*VALUE(MID(TRIM(MID(SUBSTITUTE($R23,";",REPT(" ",99)),892,99)),FIND(":",TRIM(MID(SUBSTITUTE($R23,";",REPT(" ",99)),892,99)))+1,99)),0)))</f>
        <v>0</v>
      </c>
      <c r="T23" s="3"/>
      <c r="U23" s="5">
        <f t="array" ref="U23">IF($A23="","",IF($T23="",0,IFERROR(VLOOKUP(LEFT(TRIM(MID(SUBSTITUTE($T23,";",REPT(" ",99)),1,99)),FIND(":",TRIM(MID(SUBSTITUTE($T23,";",REPT(" ",99)),1,99)))-1),Materiales!$A$2:$E$502,5,FALSE)*VALUE(MID(TRIM(MID(SUBSTITUTE($T23,";",REPT(" ",99)),1,99)),FIND(":",TRIM(MID(SUBSTITUTE($T23,";",REPT(" ",99)),1,99)))+1,99)),0) + IFERROR(VLOOKUP(LEFT(TRIM(MID(SUBSTITUTE($T23,";",REPT(" ",99)),100,99)),FIND(":",TRIM(MID(SUBSTITUTE($T23,";",REPT(" ",99)),100,99)))-1),Materiales!$A$2:$E$502,5,FALSE)*VALUE(MID(TRIM(MID(SUBSTITUTE($T23,";",REPT(" ",99)),100,99)),FIND(":",TRIM(MID(SUBSTITUTE($T23,";",REPT(" ",99)),100,99)))+1,99)),0) + IFERROR(VLOOKUP(LEFT(TRIM(MID(SUBSTITUTE($T23,";",REPT(" ",99)),199,99)),FIND(":",TRIM(MID(SUBSTITUTE($T23,";",REPT(" ",99)),199,99)))-1),Materiales!$A$2:$E$502,5,FALSE)*VALUE(MID(TRIM(MID(SUBSTITUTE($T23,";",REPT(" ",99)),199,99)),FIND(":",TRIM(MID(SUBSTITUTE($T23,";",REPT(" ",99)),199,99)))+1,99)),0) + IFERROR(VLOOKUP(LEFT(TRIM(MID(SUBSTITUTE($T23,";",REPT(" ",99)),298,99)),FIND(":",TRIM(MID(SUBSTITUTE($T23,";",REPT(" ",99)),298,99)))-1),Materiales!$A$2:$E$502,5,FALSE)*VALUE(MID(TRIM(MID(SUBSTITUTE($T23,";",REPT(" ",99)),298,99)),FIND(":",TRIM(MID(SUBSTITUTE($T23,";",REPT(" ",99)),298,99)))+1,99)),0) + IFERROR(VLOOKUP(LEFT(TRIM(MID(SUBSTITUTE($T23,";",REPT(" ",99)),397,99)),FIND(":",TRIM(MID(SUBSTITUTE($T23,";",REPT(" ",99)),397,99)))-1),Materiales!$A$2:$E$502,5,FALSE)*VALUE(MID(TRIM(MID(SUBSTITUTE($T23,";",REPT(" ",99)),397,99)),FIND(":",TRIM(MID(SUBSTITUTE($T23,";",REPT(" ",99)),397,99)))+1,99)),0) + IFERROR(VLOOKUP(LEFT(TRIM(MID(SUBSTITUTE($T23,";",REPT(" ",99)),496,99)),FIND(":",TRIM(MID(SUBSTITUTE($T23,";",REPT(" ",99)),496,99)))-1),Materiales!$A$2:$E$502,5,FALSE)*VALUE(MID(TRIM(MID(SUBSTITUTE($T23,";",REPT(" ",99)),496,99)),FIND(":",TRIM(MID(SUBSTITUTE($T23,";",REPT(" ",99)),496,99)))+1,99)),0) + IFERROR(VLOOKUP(LEFT(TRIM(MID(SUBSTITUTE($T23,";",REPT(" ",99)),595,99)),FIND(":",TRIM(MID(SUBSTITUTE($T23,";",REPT(" ",99)),595,99)))-1),Materiales!$A$2:$E$502,5,FALSE)*VALUE(MID(TRIM(MID(SUBSTITUTE($T23,";",REPT(" ",99)),595,99)),FIND(":",TRIM(MID(SUBSTITUTE($T23,";",REPT(" ",99)),595,99)))+1,99)),0) + IFERROR(VLOOKUP(LEFT(TRIM(MID(SUBSTITUTE($T23,";",REPT(" ",99)),694,99)),FIND(":",TRIM(MID(SUBSTITUTE($T23,";",REPT(" ",99)),694,99)))-1),Materiales!$A$2:$E$502,5,FALSE)*VALUE(MID(TRIM(MID(SUBSTITUTE($T23,";",REPT(" ",99)),694,99)),FIND(":",TRIM(MID(SUBSTITUTE($T23,";",REPT(" ",99)),694,99)))+1,99)),0) + IFERROR(VLOOKUP(LEFT(TRIM(MID(SUBSTITUTE($T23,";",REPT(" ",99)),793,99)),FIND(":",TRIM(MID(SUBSTITUTE($T23,";",REPT(" ",99)),793,99)))-1),Materiales!$A$2:$E$502,5,FALSE)*VALUE(MID(TRIM(MID(SUBSTITUTE($T23,";",REPT(" ",99)),793,99)),FIND(":",TRIM(MID(SUBSTITUTE($T23,";",REPT(" ",99)),793,99)))+1,99)),0) + IFERROR(VLOOKUP(LEFT(TRIM(MID(SUBSTITUTE($T23,";",REPT(" ",99)),892,99)),FIND(":",TRIM(MID(SUBSTITUTE($T23,";",REPT(" ",99)),892,99)))-1),Materiales!$A$2:$E$502,5,FALSE)*VALUE(MID(TRIM(MID(SUBSTITUTE($T23,";",REPT(" ",99)),892,99)),FIND(":",TRIM(MID(SUBSTITUTE($T23,";",REPT(" ",99)),892,99)))+1,99)),0)))</f>
        <v>0</v>
      </c>
      <c r="V23" s="3"/>
      <c r="W23" s="5">
        <f t="array" ref="W23">IF($A23="","",IF($V23="",0,IFERROR(VLOOKUP(LEFT(TRIM(MID(SUBSTITUTE($V23,";",REPT(" ",99)),1,99)),FIND(":",TRIM(MID(SUBSTITUTE($V23,";",REPT(" ",99)),1,99)))-1),Materiales!$A$2:$E$502,5,FALSE)*VALUE(MID(TRIM(MID(SUBSTITUTE($V23,";",REPT(" ",99)),1,99)),FIND(":",TRIM(MID(SUBSTITUTE($V23,";",REPT(" ",99)),1,99)))+1,99)),0) + IFERROR(VLOOKUP(LEFT(TRIM(MID(SUBSTITUTE($V23,";",REPT(" ",99)),100,99)),FIND(":",TRIM(MID(SUBSTITUTE($V23,";",REPT(" ",99)),100,99)))-1),Materiales!$A$2:$E$502,5,FALSE)*VALUE(MID(TRIM(MID(SUBSTITUTE($V23,";",REPT(" ",99)),100,99)),FIND(":",TRIM(MID(SUBSTITUTE($V23,";",REPT(" ",99)),100,99)))+1,99)),0) + IFERROR(VLOOKUP(LEFT(TRIM(MID(SUBSTITUTE($V23,";",REPT(" ",99)),199,99)),FIND(":",TRIM(MID(SUBSTITUTE($V23,";",REPT(" ",99)),199,99)))-1),Materiales!$A$2:$E$502,5,FALSE)*VALUE(MID(TRIM(MID(SUBSTITUTE($V23,";",REPT(" ",99)),199,99)),FIND(":",TRIM(MID(SUBSTITUTE($V23,";",REPT(" ",99)),199,99)))+1,99)),0) + IFERROR(VLOOKUP(LEFT(TRIM(MID(SUBSTITUTE($V23,";",REPT(" ",99)),298,99)),FIND(":",TRIM(MID(SUBSTITUTE($V23,";",REPT(" ",99)),298,99)))-1),Materiales!$A$2:$E$502,5,FALSE)*VALUE(MID(TRIM(MID(SUBSTITUTE($V23,";",REPT(" ",99)),298,99)),FIND(":",TRIM(MID(SUBSTITUTE($V23,";",REPT(" ",99)),298,99)))+1,99)),0) + IFERROR(VLOOKUP(LEFT(TRIM(MID(SUBSTITUTE($V23,";",REPT(" ",99)),397,99)),FIND(":",TRIM(MID(SUBSTITUTE($V23,";",REPT(" ",99)),397,99)))-1),Materiales!$A$2:$E$502,5,FALSE)*VALUE(MID(TRIM(MID(SUBSTITUTE($V23,";",REPT(" ",99)),397,99)),FIND(":",TRIM(MID(SUBSTITUTE($V23,";",REPT(" ",99)),397,99)))+1,99)),0) + IFERROR(VLOOKUP(LEFT(TRIM(MID(SUBSTITUTE($V23,";",REPT(" ",99)),496,99)),FIND(":",TRIM(MID(SUBSTITUTE($V23,";",REPT(" ",99)),496,99)))-1),Materiales!$A$2:$E$502,5,FALSE)*VALUE(MID(TRIM(MID(SUBSTITUTE($V23,";",REPT(" ",99)),496,99)),FIND(":",TRIM(MID(SUBSTITUTE($V23,";",REPT(" ",99)),496,99)))+1,99)),0) + IFERROR(VLOOKUP(LEFT(TRIM(MID(SUBSTITUTE($V23,";",REPT(" ",99)),595,99)),FIND(":",TRIM(MID(SUBSTITUTE($V23,";",REPT(" ",99)),595,99)))-1),Materiales!$A$2:$E$502,5,FALSE)*VALUE(MID(TRIM(MID(SUBSTITUTE($V23,";",REPT(" ",99)),595,99)),FIND(":",TRIM(MID(SUBSTITUTE($V23,";",REPT(" ",99)),595,99)))+1,99)),0) + IFERROR(VLOOKUP(LEFT(TRIM(MID(SUBSTITUTE($V23,";",REPT(" ",99)),694,99)),FIND(":",TRIM(MID(SUBSTITUTE($V23,";",REPT(" ",99)),694,99)))-1),Materiales!$A$2:$E$502,5,FALSE)*VALUE(MID(TRIM(MID(SUBSTITUTE($V23,";",REPT(" ",99)),694,99)),FIND(":",TRIM(MID(SUBSTITUTE($V23,";",REPT(" ",99)),694,99)))+1,99)),0) + IFERROR(VLOOKUP(LEFT(TRIM(MID(SUBSTITUTE($V23,";",REPT(" ",99)),793,99)),FIND(":",TRIM(MID(SUBSTITUTE($V23,";",REPT(" ",99)),793,99)))-1),Materiales!$A$2:$E$502,5,FALSE)*VALUE(MID(TRIM(MID(SUBSTITUTE($V23,";",REPT(" ",99)),793,99)),FIND(":",TRIM(MID(SUBSTITUTE($V23,";",REPT(" ",99)),793,99)))+1,99)),0) + IFERROR(VLOOKUP(LEFT(TRIM(MID(SUBSTITUTE($V23,";",REPT(" ",99)),892,99)),FIND(":",TRIM(MID(SUBSTITUTE($V23,";",REPT(" ",99)),892,99)))-1),Materiales!$A$2:$E$502,5,FALSE)*VALUE(MID(TRIM(MID(SUBSTITUTE($V23,";",REPT(" ",99)),892,99)),FIND(":",TRIM(MID(SUBSTITUTE($V23,";",REPT(" ",99)),892,99)))+1,99)),0)))</f>
        <v>0</v>
      </c>
      <c r="X23" s="39">
        <f t="shared" si="13"/>
        <v>1895.117551</v>
      </c>
      <c r="Y23" s="40" t="s">
        <v>195</v>
      </c>
      <c r="Z23" s="41">
        <f t="shared" si="14"/>
        <v>5685.352654</v>
      </c>
      <c r="AA23" s="42">
        <v>0.0</v>
      </c>
      <c r="AB23" s="18">
        <f t="shared" si="15"/>
        <v>5685.352654</v>
      </c>
      <c r="AC23" s="43">
        <v>5500.0</v>
      </c>
      <c r="AD23" s="42">
        <f t="shared" si="16"/>
        <v>3790.235103</v>
      </c>
      <c r="AE23" s="44">
        <f t="shared" si="17"/>
        <v>3604.882449</v>
      </c>
      <c r="AF23" s="45">
        <f t="shared" si="18"/>
        <v>0.95109732</v>
      </c>
    </row>
    <row r="24">
      <c r="A24" s="47" t="s">
        <v>221</v>
      </c>
      <c r="B24" s="48" t="s">
        <v>16</v>
      </c>
      <c r="C24" s="49">
        <v>1.0</v>
      </c>
      <c r="D24" s="50"/>
      <c r="E24" s="50"/>
      <c r="F24" s="51">
        <v>89.0</v>
      </c>
      <c r="G24" s="52">
        <f t="array" ref="G24">IF($A24="","",IFERROR($F24*(N($C24)*XLOOKUP($B24,Ceras!$A$2:$A$500,Ceras!$G$2:$G$500,0)+IF($D24="",0,N($E24)*XLOOKUP($D24,Ceras!$A$2:$A$500,Ceras!$G$2:$G$500,0))),"Revisar cera"))</f>
        <v>1602</v>
      </c>
      <c r="H24" s="52">
        <f t="shared" si="11"/>
        <v>133.5</v>
      </c>
      <c r="I24" s="47" t="s">
        <v>34</v>
      </c>
      <c r="J24" s="51">
        <v>6.0</v>
      </c>
      <c r="K24" s="52">
        <f t="array" ref="K24">IF($A24="","",IFERROR($J24*XLOOKUP($I24,Pabilos!$A$2:$A$500,Pabilos!$H$2:$H$500,0),"Revisar pabilo"))</f>
        <v>120</v>
      </c>
      <c r="L24" s="48" t="s">
        <v>55</v>
      </c>
      <c r="M24" s="53">
        <f t="shared" si="12"/>
        <v>8.9</v>
      </c>
      <c r="N24" s="52">
        <f t="array" ref="N24">IF($A24="","",IFERROR($M24*XLOOKUP($L24,Esencias!$A$2:$A$501,Esencias!$G$2:$G$501,0),"Revisar esencia"))</f>
        <v>1253.521127</v>
      </c>
      <c r="O24" s="48" t="s">
        <v>81</v>
      </c>
      <c r="P24" s="51">
        <v>1.0</v>
      </c>
      <c r="Q24" s="52">
        <f t="array" ref="Q24">IF($A24="","",IFERROR(IF($P24="",1,$P24)*XLOOKUP($O24,Colores!$A$2:$A$500,Colores!$H$2:$H$500,0),"Revisar color"))</f>
        <v>92.30769231</v>
      </c>
      <c r="R24" s="54"/>
      <c r="S24" s="52">
        <f t="array" ref="S24">IF($A24="","",IF($R24="",0,IFERROR(VLOOKUP(LEFT(TRIM(MID(SUBSTITUTE($R24,";",REPT(" ",99)),1,99)),FIND(":",TRIM(MID(SUBSTITUTE($R24,";",REPT(" ",99)),1,99)))-1),Materiales!$A$2:$E$502,5,FALSE)*VALUE(MID(TRIM(MID(SUBSTITUTE($R24,";",REPT(" ",99)),1,99)),FIND(":",TRIM(MID(SUBSTITUTE($R24,";",REPT(" ",99)),1,99)))+1,99)),0) + IFERROR(VLOOKUP(LEFT(TRIM(MID(SUBSTITUTE($R24,";",REPT(" ",99)),100,99)),FIND(":",TRIM(MID(SUBSTITUTE($R24,";",REPT(" ",99)),100,99)))-1),Materiales!$A$2:$E$502,5,FALSE)*VALUE(MID(TRIM(MID(SUBSTITUTE($R24,";",REPT(" ",99)),100,99)),FIND(":",TRIM(MID(SUBSTITUTE($R24,";",REPT(" ",99)),100,99)))+1,99)),0) + IFERROR(VLOOKUP(LEFT(TRIM(MID(SUBSTITUTE($R24,";",REPT(" ",99)),199,99)),FIND(":",TRIM(MID(SUBSTITUTE($R24,";",REPT(" ",99)),199,99)))-1),Materiales!$A$2:$E$502,5,FALSE)*VALUE(MID(TRIM(MID(SUBSTITUTE($R24,";",REPT(" ",99)),199,99)),FIND(":",TRIM(MID(SUBSTITUTE($R24,";",REPT(" ",99)),199,99)))+1,99)),0) + IFERROR(VLOOKUP(LEFT(TRIM(MID(SUBSTITUTE($R24,";",REPT(" ",99)),298,99)),FIND(":",TRIM(MID(SUBSTITUTE($R24,";",REPT(" ",99)),298,99)))-1),Materiales!$A$2:$E$502,5,FALSE)*VALUE(MID(TRIM(MID(SUBSTITUTE($R24,";",REPT(" ",99)),298,99)),FIND(":",TRIM(MID(SUBSTITUTE($R24,";",REPT(" ",99)),298,99)))+1,99)),0) + IFERROR(VLOOKUP(LEFT(TRIM(MID(SUBSTITUTE($R24,";",REPT(" ",99)),397,99)),FIND(":",TRIM(MID(SUBSTITUTE($R24,";",REPT(" ",99)),397,99)))-1),Materiales!$A$2:$E$502,5,FALSE)*VALUE(MID(TRIM(MID(SUBSTITUTE($R24,";",REPT(" ",99)),397,99)),FIND(":",TRIM(MID(SUBSTITUTE($R24,";",REPT(" ",99)),397,99)))+1,99)),0) + IFERROR(VLOOKUP(LEFT(TRIM(MID(SUBSTITUTE($R24,";",REPT(" ",99)),496,99)),FIND(":",TRIM(MID(SUBSTITUTE($R24,";",REPT(" ",99)),496,99)))-1),Materiales!$A$2:$E$502,5,FALSE)*VALUE(MID(TRIM(MID(SUBSTITUTE($R24,";",REPT(" ",99)),496,99)),FIND(":",TRIM(MID(SUBSTITUTE($R24,";",REPT(" ",99)),496,99)))+1,99)),0) + IFERROR(VLOOKUP(LEFT(TRIM(MID(SUBSTITUTE($R24,";",REPT(" ",99)),595,99)),FIND(":",TRIM(MID(SUBSTITUTE($R24,";",REPT(" ",99)),595,99)))-1),Materiales!$A$2:$E$502,5,FALSE)*VALUE(MID(TRIM(MID(SUBSTITUTE($R24,";",REPT(" ",99)),595,99)),FIND(":",TRIM(MID(SUBSTITUTE($R24,";",REPT(" ",99)),595,99)))+1,99)),0) + IFERROR(VLOOKUP(LEFT(TRIM(MID(SUBSTITUTE($R24,";",REPT(" ",99)),694,99)),FIND(":",TRIM(MID(SUBSTITUTE($R24,";",REPT(" ",99)),694,99)))-1),Materiales!$A$2:$E$502,5,FALSE)*VALUE(MID(TRIM(MID(SUBSTITUTE($R24,";",REPT(" ",99)),694,99)),FIND(":",TRIM(MID(SUBSTITUTE($R24,";",REPT(" ",99)),694,99)))+1,99)),0) + IFERROR(VLOOKUP(LEFT(TRIM(MID(SUBSTITUTE($R24,";",REPT(" ",99)),793,99)),FIND(":",TRIM(MID(SUBSTITUTE($R24,";",REPT(" ",99)),793,99)))-1),Materiales!$A$2:$E$502,5,FALSE)*VALUE(MID(TRIM(MID(SUBSTITUTE($R24,";",REPT(" ",99)),793,99)),FIND(":",TRIM(MID(SUBSTITUTE($R24,";",REPT(" ",99)),793,99)))+1,99)),0) + IFERROR(VLOOKUP(LEFT(TRIM(MID(SUBSTITUTE($R24,";",REPT(" ",99)),892,99)),FIND(":",TRIM(MID(SUBSTITUTE($R24,";",REPT(" ",99)),892,99)))-1),Materiales!$A$2:$E$502,5,FALSE)*VALUE(MID(TRIM(MID(SUBSTITUTE($R24,";",REPT(" ",99)),892,99)),FIND(":",TRIM(MID(SUBSTITUTE($R24,";",REPT(" ",99)),892,99)))+1,99)),0)))</f>
        <v>0</v>
      </c>
      <c r="T24" s="54"/>
      <c r="U24" s="52">
        <f t="array" ref="U24">IF($A24="","",IF($T24="",0,IFERROR(VLOOKUP(LEFT(TRIM(MID(SUBSTITUTE($T24,";",REPT(" ",99)),1,99)),FIND(":",TRIM(MID(SUBSTITUTE($T24,";",REPT(" ",99)),1,99)))-1),Materiales!$A$2:$E$502,5,FALSE)*VALUE(MID(TRIM(MID(SUBSTITUTE($T24,";",REPT(" ",99)),1,99)),FIND(":",TRIM(MID(SUBSTITUTE($T24,";",REPT(" ",99)),1,99)))+1,99)),0) + IFERROR(VLOOKUP(LEFT(TRIM(MID(SUBSTITUTE($T24,";",REPT(" ",99)),100,99)),FIND(":",TRIM(MID(SUBSTITUTE($T24,";",REPT(" ",99)),100,99)))-1),Materiales!$A$2:$E$502,5,FALSE)*VALUE(MID(TRIM(MID(SUBSTITUTE($T24,";",REPT(" ",99)),100,99)),FIND(":",TRIM(MID(SUBSTITUTE($T24,";",REPT(" ",99)),100,99)))+1,99)),0) + IFERROR(VLOOKUP(LEFT(TRIM(MID(SUBSTITUTE($T24,";",REPT(" ",99)),199,99)),FIND(":",TRIM(MID(SUBSTITUTE($T24,";",REPT(" ",99)),199,99)))-1),Materiales!$A$2:$E$502,5,FALSE)*VALUE(MID(TRIM(MID(SUBSTITUTE($T24,";",REPT(" ",99)),199,99)),FIND(":",TRIM(MID(SUBSTITUTE($T24,";",REPT(" ",99)),199,99)))+1,99)),0) + IFERROR(VLOOKUP(LEFT(TRIM(MID(SUBSTITUTE($T24,";",REPT(" ",99)),298,99)),FIND(":",TRIM(MID(SUBSTITUTE($T24,";",REPT(" ",99)),298,99)))-1),Materiales!$A$2:$E$502,5,FALSE)*VALUE(MID(TRIM(MID(SUBSTITUTE($T24,";",REPT(" ",99)),298,99)),FIND(":",TRIM(MID(SUBSTITUTE($T24,";",REPT(" ",99)),298,99)))+1,99)),0) + IFERROR(VLOOKUP(LEFT(TRIM(MID(SUBSTITUTE($T24,";",REPT(" ",99)),397,99)),FIND(":",TRIM(MID(SUBSTITUTE($T24,";",REPT(" ",99)),397,99)))-1),Materiales!$A$2:$E$502,5,FALSE)*VALUE(MID(TRIM(MID(SUBSTITUTE($T24,";",REPT(" ",99)),397,99)),FIND(":",TRIM(MID(SUBSTITUTE($T24,";",REPT(" ",99)),397,99)))+1,99)),0) + IFERROR(VLOOKUP(LEFT(TRIM(MID(SUBSTITUTE($T24,";",REPT(" ",99)),496,99)),FIND(":",TRIM(MID(SUBSTITUTE($T24,";",REPT(" ",99)),496,99)))-1),Materiales!$A$2:$E$502,5,FALSE)*VALUE(MID(TRIM(MID(SUBSTITUTE($T24,";",REPT(" ",99)),496,99)),FIND(":",TRIM(MID(SUBSTITUTE($T24,";",REPT(" ",99)),496,99)))+1,99)),0) + IFERROR(VLOOKUP(LEFT(TRIM(MID(SUBSTITUTE($T24,";",REPT(" ",99)),595,99)),FIND(":",TRIM(MID(SUBSTITUTE($T24,";",REPT(" ",99)),595,99)))-1),Materiales!$A$2:$E$502,5,FALSE)*VALUE(MID(TRIM(MID(SUBSTITUTE($T24,";",REPT(" ",99)),595,99)),FIND(":",TRIM(MID(SUBSTITUTE($T24,";",REPT(" ",99)),595,99)))+1,99)),0) + IFERROR(VLOOKUP(LEFT(TRIM(MID(SUBSTITUTE($T24,";",REPT(" ",99)),694,99)),FIND(":",TRIM(MID(SUBSTITUTE($T24,";",REPT(" ",99)),694,99)))-1),Materiales!$A$2:$E$502,5,FALSE)*VALUE(MID(TRIM(MID(SUBSTITUTE($T24,";",REPT(" ",99)),694,99)),FIND(":",TRIM(MID(SUBSTITUTE($T24,";",REPT(" ",99)),694,99)))+1,99)),0) + IFERROR(VLOOKUP(LEFT(TRIM(MID(SUBSTITUTE($T24,";",REPT(" ",99)),793,99)),FIND(":",TRIM(MID(SUBSTITUTE($T24,";",REPT(" ",99)),793,99)))-1),Materiales!$A$2:$E$502,5,FALSE)*VALUE(MID(TRIM(MID(SUBSTITUTE($T24,";",REPT(" ",99)),793,99)),FIND(":",TRIM(MID(SUBSTITUTE($T24,";",REPT(" ",99)),793,99)))+1,99)),0) + IFERROR(VLOOKUP(LEFT(TRIM(MID(SUBSTITUTE($T24,";",REPT(" ",99)),892,99)),FIND(":",TRIM(MID(SUBSTITUTE($T24,";",REPT(" ",99)),892,99)))-1),Materiales!$A$2:$E$502,5,FALSE)*VALUE(MID(TRIM(MID(SUBSTITUTE($T24,";",REPT(" ",99)),892,99)),FIND(":",TRIM(MID(SUBSTITUTE($T24,";",REPT(" ",99)),892,99)))+1,99)),0)))</f>
        <v>0</v>
      </c>
      <c r="V24" s="54"/>
      <c r="W24" s="52">
        <f t="array" ref="W24">IF($A24="","",IF($V24="",0,IFERROR(VLOOKUP(LEFT(TRIM(MID(SUBSTITUTE($V24,";",REPT(" ",99)),1,99)),FIND(":",TRIM(MID(SUBSTITUTE($V24,";",REPT(" ",99)),1,99)))-1),Materiales!$A$2:$E$502,5,FALSE)*VALUE(MID(TRIM(MID(SUBSTITUTE($V24,";",REPT(" ",99)),1,99)),FIND(":",TRIM(MID(SUBSTITUTE($V24,";",REPT(" ",99)),1,99)))+1,99)),0) + IFERROR(VLOOKUP(LEFT(TRIM(MID(SUBSTITUTE($V24,";",REPT(" ",99)),100,99)),FIND(":",TRIM(MID(SUBSTITUTE($V24,";",REPT(" ",99)),100,99)))-1),Materiales!$A$2:$E$502,5,FALSE)*VALUE(MID(TRIM(MID(SUBSTITUTE($V24,";",REPT(" ",99)),100,99)),FIND(":",TRIM(MID(SUBSTITUTE($V24,";",REPT(" ",99)),100,99)))+1,99)),0) + IFERROR(VLOOKUP(LEFT(TRIM(MID(SUBSTITUTE($V24,";",REPT(" ",99)),199,99)),FIND(":",TRIM(MID(SUBSTITUTE($V24,";",REPT(" ",99)),199,99)))-1),Materiales!$A$2:$E$502,5,FALSE)*VALUE(MID(TRIM(MID(SUBSTITUTE($V24,";",REPT(" ",99)),199,99)),FIND(":",TRIM(MID(SUBSTITUTE($V24,";",REPT(" ",99)),199,99)))+1,99)),0) + IFERROR(VLOOKUP(LEFT(TRIM(MID(SUBSTITUTE($V24,";",REPT(" ",99)),298,99)),FIND(":",TRIM(MID(SUBSTITUTE($V24,";",REPT(" ",99)),298,99)))-1),Materiales!$A$2:$E$502,5,FALSE)*VALUE(MID(TRIM(MID(SUBSTITUTE($V24,";",REPT(" ",99)),298,99)),FIND(":",TRIM(MID(SUBSTITUTE($V24,";",REPT(" ",99)),298,99)))+1,99)),0) + IFERROR(VLOOKUP(LEFT(TRIM(MID(SUBSTITUTE($V24,";",REPT(" ",99)),397,99)),FIND(":",TRIM(MID(SUBSTITUTE($V24,";",REPT(" ",99)),397,99)))-1),Materiales!$A$2:$E$502,5,FALSE)*VALUE(MID(TRIM(MID(SUBSTITUTE($V24,";",REPT(" ",99)),397,99)),FIND(":",TRIM(MID(SUBSTITUTE($V24,";",REPT(" ",99)),397,99)))+1,99)),0) + IFERROR(VLOOKUP(LEFT(TRIM(MID(SUBSTITUTE($V24,";",REPT(" ",99)),496,99)),FIND(":",TRIM(MID(SUBSTITUTE($V24,";",REPT(" ",99)),496,99)))-1),Materiales!$A$2:$E$502,5,FALSE)*VALUE(MID(TRIM(MID(SUBSTITUTE($V24,";",REPT(" ",99)),496,99)),FIND(":",TRIM(MID(SUBSTITUTE($V24,";",REPT(" ",99)),496,99)))+1,99)),0) + IFERROR(VLOOKUP(LEFT(TRIM(MID(SUBSTITUTE($V24,";",REPT(" ",99)),595,99)),FIND(":",TRIM(MID(SUBSTITUTE($V24,";",REPT(" ",99)),595,99)))-1),Materiales!$A$2:$E$502,5,FALSE)*VALUE(MID(TRIM(MID(SUBSTITUTE($V24,";",REPT(" ",99)),595,99)),FIND(":",TRIM(MID(SUBSTITUTE($V24,";",REPT(" ",99)),595,99)))+1,99)),0) + IFERROR(VLOOKUP(LEFT(TRIM(MID(SUBSTITUTE($V24,";",REPT(" ",99)),694,99)),FIND(":",TRIM(MID(SUBSTITUTE($V24,";",REPT(" ",99)),694,99)))-1),Materiales!$A$2:$E$502,5,FALSE)*VALUE(MID(TRIM(MID(SUBSTITUTE($V24,";",REPT(" ",99)),694,99)),FIND(":",TRIM(MID(SUBSTITUTE($V24,";",REPT(" ",99)),694,99)))+1,99)),0) + IFERROR(VLOOKUP(LEFT(TRIM(MID(SUBSTITUTE($V24,";",REPT(" ",99)),793,99)),FIND(":",TRIM(MID(SUBSTITUTE($V24,";",REPT(" ",99)),793,99)))-1),Materiales!$A$2:$E$502,5,FALSE)*VALUE(MID(TRIM(MID(SUBSTITUTE($V24,";",REPT(" ",99)),793,99)),FIND(":",TRIM(MID(SUBSTITUTE($V24,";",REPT(" ",99)),793,99)))+1,99)),0) + IFERROR(VLOOKUP(LEFT(TRIM(MID(SUBSTITUTE($V24,";",REPT(" ",99)),892,99)),FIND(":",TRIM(MID(SUBSTITUTE($V24,";",REPT(" ",99)),892,99)))-1),Materiales!$A$2:$E$502,5,FALSE)*VALUE(MID(TRIM(MID(SUBSTITUTE($V24,";",REPT(" ",99)),892,99)),FIND(":",TRIM(MID(SUBSTITUTE($V24,";",REPT(" ",99)),892,99)))+1,99)),0)))</f>
        <v>0</v>
      </c>
      <c r="X24" s="55">
        <f t="shared" si="13"/>
        <v>3201.328819</v>
      </c>
      <c r="Y24" s="56" t="s">
        <v>195</v>
      </c>
      <c r="Z24" s="57">
        <f t="shared" si="14"/>
        <v>9603.986457</v>
      </c>
      <c r="AA24" s="58">
        <v>0.0</v>
      </c>
      <c r="AB24" s="53">
        <f t="shared" si="15"/>
        <v>9603.986457</v>
      </c>
      <c r="AC24" s="59">
        <v>9500.0</v>
      </c>
      <c r="AD24" s="58">
        <f t="shared" si="16"/>
        <v>6402.657638</v>
      </c>
      <c r="AE24" s="60">
        <f t="shared" si="17"/>
        <v>6298.671181</v>
      </c>
      <c r="AF24" s="61">
        <f t="shared" si="18"/>
        <v>0.9837588603</v>
      </c>
    </row>
    <row r="25" ht="15.75" customHeight="1">
      <c r="A25" s="17" t="s">
        <v>222</v>
      </c>
      <c r="B25" s="48" t="s">
        <v>16</v>
      </c>
      <c r="C25" s="49">
        <v>1.0</v>
      </c>
      <c r="D25" s="50"/>
      <c r="E25" s="50"/>
      <c r="F25" s="51">
        <v>27.0</v>
      </c>
      <c r="G25" s="52">
        <f t="array" ref="G25">IF($A25="","",IFERROR($F25*(N($C25)*XLOOKUP($B25,Ceras!$A$2:$A$500,Ceras!$G$2:$G$500,0)+IF($D25="",0,N($E25)*XLOOKUP($D25,Ceras!$A$2:$A$500,Ceras!$G$2:$G$500,0))),"Revisar cera"))</f>
        <v>486</v>
      </c>
      <c r="H25" s="52">
        <f t="shared" si="11"/>
        <v>40.5</v>
      </c>
      <c r="I25" s="47" t="s">
        <v>26</v>
      </c>
      <c r="J25" s="51">
        <v>6.0</v>
      </c>
      <c r="K25" s="52">
        <f t="array" ref="K25">IF($A25="","",IFERROR($J25*XLOOKUP($I25,Pabilos!$A$2:$A$500,Pabilos!$H$2:$H$500,0),"Revisar pabilo"))</f>
        <v>90</v>
      </c>
      <c r="L25" s="48" t="s">
        <v>55</v>
      </c>
      <c r="M25" s="53">
        <f t="shared" si="12"/>
        <v>2.7</v>
      </c>
      <c r="N25" s="52">
        <f t="array" ref="N25">IF($A25="","",IFERROR($M25*XLOOKUP($L25,Esencias!$A$2:$A$501,Esencias!$G$2:$G$501,0),"Revisar esencia"))</f>
        <v>380.2816901</v>
      </c>
      <c r="O25" s="48" t="s">
        <v>81</v>
      </c>
      <c r="P25" s="51">
        <v>1.0</v>
      </c>
      <c r="Q25" s="52">
        <f t="array" ref="Q25">IF($A25="","",IFERROR(IF($P25="",1,$P25)*XLOOKUP($O25,Colores!$A$2:$A$500,Colores!$H$2:$H$500,0),"Revisar color"))</f>
        <v>92.30769231</v>
      </c>
      <c r="R25" s="54"/>
      <c r="S25" s="52">
        <f t="array" ref="S25">IF($A25="","",IF($R25="",0,IFERROR(VLOOKUP(LEFT(TRIM(MID(SUBSTITUTE($R25,";",REPT(" ",99)),1,99)),FIND(":",TRIM(MID(SUBSTITUTE($R25,";",REPT(" ",99)),1,99)))-1),Materiales!$A$2:$E$502,5,FALSE)*VALUE(MID(TRIM(MID(SUBSTITUTE($R25,";",REPT(" ",99)),1,99)),FIND(":",TRIM(MID(SUBSTITUTE($R25,";",REPT(" ",99)),1,99)))+1,99)),0) + IFERROR(VLOOKUP(LEFT(TRIM(MID(SUBSTITUTE($R25,";",REPT(" ",99)),100,99)),FIND(":",TRIM(MID(SUBSTITUTE($R25,";",REPT(" ",99)),100,99)))-1),Materiales!$A$2:$E$502,5,FALSE)*VALUE(MID(TRIM(MID(SUBSTITUTE($R25,";",REPT(" ",99)),100,99)),FIND(":",TRIM(MID(SUBSTITUTE($R25,";",REPT(" ",99)),100,99)))+1,99)),0) + IFERROR(VLOOKUP(LEFT(TRIM(MID(SUBSTITUTE($R25,";",REPT(" ",99)),199,99)),FIND(":",TRIM(MID(SUBSTITUTE($R25,";",REPT(" ",99)),199,99)))-1),Materiales!$A$2:$E$502,5,FALSE)*VALUE(MID(TRIM(MID(SUBSTITUTE($R25,";",REPT(" ",99)),199,99)),FIND(":",TRIM(MID(SUBSTITUTE($R25,";",REPT(" ",99)),199,99)))+1,99)),0) + IFERROR(VLOOKUP(LEFT(TRIM(MID(SUBSTITUTE($R25,";",REPT(" ",99)),298,99)),FIND(":",TRIM(MID(SUBSTITUTE($R25,";",REPT(" ",99)),298,99)))-1),Materiales!$A$2:$E$502,5,FALSE)*VALUE(MID(TRIM(MID(SUBSTITUTE($R25,";",REPT(" ",99)),298,99)),FIND(":",TRIM(MID(SUBSTITUTE($R25,";",REPT(" ",99)),298,99)))+1,99)),0) + IFERROR(VLOOKUP(LEFT(TRIM(MID(SUBSTITUTE($R25,";",REPT(" ",99)),397,99)),FIND(":",TRIM(MID(SUBSTITUTE($R25,";",REPT(" ",99)),397,99)))-1),Materiales!$A$2:$E$502,5,FALSE)*VALUE(MID(TRIM(MID(SUBSTITUTE($R25,";",REPT(" ",99)),397,99)),FIND(":",TRIM(MID(SUBSTITUTE($R25,";",REPT(" ",99)),397,99)))+1,99)),0) + IFERROR(VLOOKUP(LEFT(TRIM(MID(SUBSTITUTE($R25,";",REPT(" ",99)),496,99)),FIND(":",TRIM(MID(SUBSTITUTE($R25,";",REPT(" ",99)),496,99)))-1),Materiales!$A$2:$E$502,5,FALSE)*VALUE(MID(TRIM(MID(SUBSTITUTE($R25,";",REPT(" ",99)),496,99)),FIND(":",TRIM(MID(SUBSTITUTE($R25,";",REPT(" ",99)),496,99)))+1,99)),0) + IFERROR(VLOOKUP(LEFT(TRIM(MID(SUBSTITUTE($R25,";",REPT(" ",99)),595,99)),FIND(":",TRIM(MID(SUBSTITUTE($R25,";",REPT(" ",99)),595,99)))-1),Materiales!$A$2:$E$502,5,FALSE)*VALUE(MID(TRIM(MID(SUBSTITUTE($R25,";",REPT(" ",99)),595,99)),FIND(":",TRIM(MID(SUBSTITUTE($R25,";",REPT(" ",99)),595,99)))+1,99)),0) + IFERROR(VLOOKUP(LEFT(TRIM(MID(SUBSTITUTE($R25,";",REPT(" ",99)),694,99)),FIND(":",TRIM(MID(SUBSTITUTE($R25,";",REPT(" ",99)),694,99)))-1),Materiales!$A$2:$E$502,5,FALSE)*VALUE(MID(TRIM(MID(SUBSTITUTE($R25,";",REPT(" ",99)),694,99)),FIND(":",TRIM(MID(SUBSTITUTE($R25,";",REPT(" ",99)),694,99)))+1,99)),0) + IFERROR(VLOOKUP(LEFT(TRIM(MID(SUBSTITUTE($R25,";",REPT(" ",99)),793,99)),FIND(":",TRIM(MID(SUBSTITUTE($R25,";",REPT(" ",99)),793,99)))-1),Materiales!$A$2:$E$502,5,FALSE)*VALUE(MID(TRIM(MID(SUBSTITUTE($R25,";",REPT(" ",99)),793,99)),FIND(":",TRIM(MID(SUBSTITUTE($R25,";",REPT(" ",99)),793,99)))+1,99)),0) + IFERROR(VLOOKUP(LEFT(TRIM(MID(SUBSTITUTE($R25,";",REPT(" ",99)),892,99)),FIND(":",TRIM(MID(SUBSTITUTE($R25,";",REPT(" ",99)),892,99)))-1),Materiales!$A$2:$E$502,5,FALSE)*VALUE(MID(TRIM(MID(SUBSTITUTE($R25,";",REPT(" ",99)),892,99)),FIND(":",TRIM(MID(SUBSTITUTE($R25,";",REPT(" ",99)),892,99)))+1,99)),0)))</f>
        <v>0</v>
      </c>
      <c r="T25" s="54"/>
      <c r="U25" s="52">
        <f t="array" ref="U25">IF($A25="","",IF($T25="",0,IFERROR(VLOOKUP(LEFT(TRIM(MID(SUBSTITUTE($T25,";",REPT(" ",99)),1,99)),FIND(":",TRIM(MID(SUBSTITUTE($T25,";",REPT(" ",99)),1,99)))-1),Materiales!$A$2:$E$502,5,FALSE)*VALUE(MID(TRIM(MID(SUBSTITUTE($T25,";",REPT(" ",99)),1,99)),FIND(":",TRIM(MID(SUBSTITUTE($T25,";",REPT(" ",99)),1,99)))+1,99)),0) + IFERROR(VLOOKUP(LEFT(TRIM(MID(SUBSTITUTE($T25,";",REPT(" ",99)),100,99)),FIND(":",TRIM(MID(SUBSTITUTE($T25,";",REPT(" ",99)),100,99)))-1),Materiales!$A$2:$E$502,5,FALSE)*VALUE(MID(TRIM(MID(SUBSTITUTE($T25,";",REPT(" ",99)),100,99)),FIND(":",TRIM(MID(SUBSTITUTE($T25,";",REPT(" ",99)),100,99)))+1,99)),0) + IFERROR(VLOOKUP(LEFT(TRIM(MID(SUBSTITUTE($T25,";",REPT(" ",99)),199,99)),FIND(":",TRIM(MID(SUBSTITUTE($T25,";",REPT(" ",99)),199,99)))-1),Materiales!$A$2:$E$502,5,FALSE)*VALUE(MID(TRIM(MID(SUBSTITUTE($T25,";",REPT(" ",99)),199,99)),FIND(":",TRIM(MID(SUBSTITUTE($T25,";",REPT(" ",99)),199,99)))+1,99)),0) + IFERROR(VLOOKUP(LEFT(TRIM(MID(SUBSTITUTE($T25,";",REPT(" ",99)),298,99)),FIND(":",TRIM(MID(SUBSTITUTE($T25,";",REPT(" ",99)),298,99)))-1),Materiales!$A$2:$E$502,5,FALSE)*VALUE(MID(TRIM(MID(SUBSTITUTE($T25,";",REPT(" ",99)),298,99)),FIND(":",TRIM(MID(SUBSTITUTE($T25,";",REPT(" ",99)),298,99)))+1,99)),0) + IFERROR(VLOOKUP(LEFT(TRIM(MID(SUBSTITUTE($T25,";",REPT(" ",99)),397,99)),FIND(":",TRIM(MID(SUBSTITUTE($T25,";",REPT(" ",99)),397,99)))-1),Materiales!$A$2:$E$502,5,FALSE)*VALUE(MID(TRIM(MID(SUBSTITUTE($T25,";",REPT(" ",99)),397,99)),FIND(":",TRIM(MID(SUBSTITUTE($T25,";",REPT(" ",99)),397,99)))+1,99)),0) + IFERROR(VLOOKUP(LEFT(TRIM(MID(SUBSTITUTE($T25,";",REPT(" ",99)),496,99)),FIND(":",TRIM(MID(SUBSTITUTE($T25,";",REPT(" ",99)),496,99)))-1),Materiales!$A$2:$E$502,5,FALSE)*VALUE(MID(TRIM(MID(SUBSTITUTE($T25,";",REPT(" ",99)),496,99)),FIND(":",TRIM(MID(SUBSTITUTE($T25,";",REPT(" ",99)),496,99)))+1,99)),0) + IFERROR(VLOOKUP(LEFT(TRIM(MID(SUBSTITUTE($T25,";",REPT(" ",99)),595,99)),FIND(":",TRIM(MID(SUBSTITUTE($T25,";",REPT(" ",99)),595,99)))-1),Materiales!$A$2:$E$502,5,FALSE)*VALUE(MID(TRIM(MID(SUBSTITUTE($T25,";",REPT(" ",99)),595,99)),FIND(":",TRIM(MID(SUBSTITUTE($T25,";",REPT(" ",99)),595,99)))+1,99)),0) + IFERROR(VLOOKUP(LEFT(TRIM(MID(SUBSTITUTE($T25,";",REPT(" ",99)),694,99)),FIND(":",TRIM(MID(SUBSTITUTE($T25,";",REPT(" ",99)),694,99)))-1),Materiales!$A$2:$E$502,5,FALSE)*VALUE(MID(TRIM(MID(SUBSTITUTE($T25,";",REPT(" ",99)),694,99)),FIND(":",TRIM(MID(SUBSTITUTE($T25,";",REPT(" ",99)),694,99)))+1,99)),0) + IFERROR(VLOOKUP(LEFT(TRIM(MID(SUBSTITUTE($T25,";",REPT(" ",99)),793,99)),FIND(":",TRIM(MID(SUBSTITUTE($T25,";",REPT(" ",99)),793,99)))-1),Materiales!$A$2:$E$502,5,FALSE)*VALUE(MID(TRIM(MID(SUBSTITUTE($T25,";",REPT(" ",99)),793,99)),FIND(":",TRIM(MID(SUBSTITUTE($T25,";",REPT(" ",99)),793,99)))+1,99)),0) + IFERROR(VLOOKUP(LEFT(TRIM(MID(SUBSTITUTE($T25,";",REPT(" ",99)),892,99)),FIND(":",TRIM(MID(SUBSTITUTE($T25,";",REPT(" ",99)),892,99)))-1),Materiales!$A$2:$E$502,5,FALSE)*VALUE(MID(TRIM(MID(SUBSTITUTE($T25,";",REPT(" ",99)),892,99)),FIND(":",TRIM(MID(SUBSTITUTE($T25,";",REPT(" ",99)),892,99)))+1,99)),0)))</f>
        <v>0</v>
      </c>
      <c r="V25" s="54"/>
      <c r="W25" s="52">
        <f t="array" ref="W25">IF($A25="","",IF($V25="",0,IFERROR(VLOOKUP(LEFT(TRIM(MID(SUBSTITUTE($V25,";",REPT(" ",99)),1,99)),FIND(":",TRIM(MID(SUBSTITUTE($V25,";",REPT(" ",99)),1,99)))-1),Materiales!$A$2:$E$502,5,FALSE)*VALUE(MID(TRIM(MID(SUBSTITUTE($V25,";",REPT(" ",99)),1,99)),FIND(":",TRIM(MID(SUBSTITUTE($V25,";",REPT(" ",99)),1,99)))+1,99)),0) + IFERROR(VLOOKUP(LEFT(TRIM(MID(SUBSTITUTE($V25,";",REPT(" ",99)),100,99)),FIND(":",TRIM(MID(SUBSTITUTE($V25,";",REPT(" ",99)),100,99)))-1),Materiales!$A$2:$E$502,5,FALSE)*VALUE(MID(TRIM(MID(SUBSTITUTE($V25,";",REPT(" ",99)),100,99)),FIND(":",TRIM(MID(SUBSTITUTE($V25,";",REPT(" ",99)),100,99)))+1,99)),0) + IFERROR(VLOOKUP(LEFT(TRIM(MID(SUBSTITUTE($V25,";",REPT(" ",99)),199,99)),FIND(":",TRIM(MID(SUBSTITUTE($V25,";",REPT(" ",99)),199,99)))-1),Materiales!$A$2:$E$502,5,FALSE)*VALUE(MID(TRIM(MID(SUBSTITUTE($V25,";",REPT(" ",99)),199,99)),FIND(":",TRIM(MID(SUBSTITUTE($V25,";",REPT(" ",99)),199,99)))+1,99)),0) + IFERROR(VLOOKUP(LEFT(TRIM(MID(SUBSTITUTE($V25,";",REPT(" ",99)),298,99)),FIND(":",TRIM(MID(SUBSTITUTE($V25,";",REPT(" ",99)),298,99)))-1),Materiales!$A$2:$E$502,5,FALSE)*VALUE(MID(TRIM(MID(SUBSTITUTE($V25,";",REPT(" ",99)),298,99)),FIND(":",TRIM(MID(SUBSTITUTE($V25,";",REPT(" ",99)),298,99)))+1,99)),0) + IFERROR(VLOOKUP(LEFT(TRIM(MID(SUBSTITUTE($V25,";",REPT(" ",99)),397,99)),FIND(":",TRIM(MID(SUBSTITUTE($V25,";",REPT(" ",99)),397,99)))-1),Materiales!$A$2:$E$502,5,FALSE)*VALUE(MID(TRIM(MID(SUBSTITUTE($V25,";",REPT(" ",99)),397,99)),FIND(":",TRIM(MID(SUBSTITUTE($V25,";",REPT(" ",99)),397,99)))+1,99)),0) + IFERROR(VLOOKUP(LEFT(TRIM(MID(SUBSTITUTE($V25,";",REPT(" ",99)),496,99)),FIND(":",TRIM(MID(SUBSTITUTE($V25,";",REPT(" ",99)),496,99)))-1),Materiales!$A$2:$E$502,5,FALSE)*VALUE(MID(TRIM(MID(SUBSTITUTE($V25,";",REPT(" ",99)),496,99)),FIND(":",TRIM(MID(SUBSTITUTE($V25,";",REPT(" ",99)),496,99)))+1,99)),0) + IFERROR(VLOOKUP(LEFT(TRIM(MID(SUBSTITUTE($V25,";",REPT(" ",99)),595,99)),FIND(":",TRIM(MID(SUBSTITUTE($V25,";",REPT(" ",99)),595,99)))-1),Materiales!$A$2:$E$502,5,FALSE)*VALUE(MID(TRIM(MID(SUBSTITUTE($V25,";",REPT(" ",99)),595,99)),FIND(":",TRIM(MID(SUBSTITUTE($V25,";",REPT(" ",99)),595,99)))+1,99)),0) + IFERROR(VLOOKUP(LEFT(TRIM(MID(SUBSTITUTE($V25,";",REPT(" ",99)),694,99)),FIND(":",TRIM(MID(SUBSTITUTE($V25,";",REPT(" ",99)),694,99)))-1),Materiales!$A$2:$E$502,5,FALSE)*VALUE(MID(TRIM(MID(SUBSTITUTE($V25,";",REPT(" ",99)),694,99)),FIND(":",TRIM(MID(SUBSTITUTE($V25,";",REPT(" ",99)),694,99)))+1,99)),0) + IFERROR(VLOOKUP(LEFT(TRIM(MID(SUBSTITUTE($V25,";",REPT(" ",99)),793,99)),FIND(":",TRIM(MID(SUBSTITUTE($V25,";",REPT(" ",99)),793,99)))-1),Materiales!$A$2:$E$502,5,FALSE)*VALUE(MID(TRIM(MID(SUBSTITUTE($V25,";",REPT(" ",99)),793,99)),FIND(":",TRIM(MID(SUBSTITUTE($V25,";",REPT(" ",99)),793,99)))+1,99)),0) + IFERROR(VLOOKUP(LEFT(TRIM(MID(SUBSTITUTE($V25,";",REPT(" ",99)),892,99)),FIND(":",TRIM(MID(SUBSTITUTE($V25,";",REPT(" ",99)),892,99)))-1),Materiales!$A$2:$E$502,5,FALSE)*VALUE(MID(TRIM(MID(SUBSTITUTE($V25,";",REPT(" ",99)),892,99)),FIND(":",TRIM(MID(SUBSTITUTE($V25,";",REPT(" ",99)),892,99)))+1,99)),0)))</f>
        <v>0</v>
      </c>
      <c r="X25" s="55">
        <f t="shared" si="13"/>
        <v>1089.089382</v>
      </c>
      <c r="Y25" s="56" t="s">
        <v>195</v>
      </c>
      <c r="Z25" s="57">
        <f t="shared" si="14"/>
        <v>3267.268147</v>
      </c>
      <c r="AA25" s="58">
        <v>0.0</v>
      </c>
      <c r="AB25" s="53">
        <f t="shared" si="15"/>
        <v>3267.268147</v>
      </c>
      <c r="AC25" s="59">
        <v>3000.0</v>
      </c>
      <c r="AD25" s="58">
        <f t="shared" si="16"/>
        <v>2178.178765</v>
      </c>
      <c r="AE25" s="60">
        <f t="shared" si="17"/>
        <v>1910.910618</v>
      </c>
      <c r="AF25" s="61">
        <f t="shared" si="18"/>
        <v>0.8772974231</v>
      </c>
    </row>
    <row r="26" ht="15.75" customHeight="1">
      <c r="A26" s="17" t="s">
        <v>223</v>
      </c>
      <c r="B26" s="48" t="s">
        <v>16</v>
      </c>
      <c r="C26" s="49">
        <v>1.0</v>
      </c>
      <c r="D26" s="50"/>
      <c r="E26" s="50"/>
      <c r="F26" s="51">
        <v>70.0</v>
      </c>
      <c r="G26" s="52">
        <f t="array" ref="G26">IF($A26="","",IFERROR($F26*(N($C26)*XLOOKUP($B26,Ceras!$A$2:$A$500,Ceras!$G$2:$G$500,0)+IF($D26="",0,N($E26)*XLOOKUP($D26,Ceras!$A$2:$A$500,Ceras!$G$2:$G$500,0))),"Revisar cera"))</f>
        <v>1260</v>
      </c>
      <c r="H26" s="52">
        <f t="shared" si="11"/>
        <v>105</v>
      </c>
      <c r="I26" s="48" t="s">
        <v>32</v>
      </c>
      <c r="J26" s="51">
        <v>10.0</v>
      </c>
      <c r="K26" s="52">
        <f t="array" ref="K26">IF($A26="","",IFERROR($J26*XLOOKUP($I26,Pabilos!$A$2:$A$500,Pabilos!$H$2:$H$500,0),"Revisar pabilo"))</f>
        <v>180</v>
      </c>
      <c r="L26" s="48" t="s">
        <v>55</v>
      </c>
      <c r="M26" s="53">
        <f t="shared" si="12"/>
        <v>7</v>
      </c>
      <c r="N26" s="52">
        <f t="array" ref="N26">IF($A26="","",IFERROR($M26*XLOOKUP($L26,Esencias!$A$2:$A$501,Esencias!$G$2:$G$501,0),"Revisar esencia"))</f>
        <v>985.915493</v>
      </c>
      <c r="O26" s="48" t="s">
        <v>81</v>
      </c>
      <c r="P26" s="53">
        <v>1.0</v>
      </c>
      <c r="Q26" s="52">
        <f t="array" ref="Q26">IF($A26="","",IFERROR(IF($P26="",1,$P26)*XLOOKUP($O26,Colores!$A$2:$A$500,Colores!$H$2:$H$500,0),"Revisar color"))</f>
        <v>92.30769231</v>
      </c>
      <c r="R26" s="54"/>
      <c r="S26" s="52">
        <f t="array" ref="S26">IF($A26="","",IF($R26="",0,IFERROR(VLOOKUP(LEFT(TRIM(MID(SUBSTITUTE($R26,";",REPT(" ",99)),1,99)),FIND(":",TRIM(MID(SUBSTITUTE($R26,";",REPT(" ",99)),1,99)))-1),Materiales!$A$2:$E$502,5,FALSE)*VALUE(MID(TRIM(MID(SUBSTITUTE($R26,";",REPT(" ",99)),1,99)),FIND(":",TRIM(MID(SUBSTITUTE($R26,";",REPT(" ",99)),1,99)))+1,99)),0) + IFERROR(VLOOKUP(LEFT(TRIM(MID(SUBSTITUTE($R26,";",REPT(" ",99)),100,99)),FIND(":",TRIM(MID(SUBSTITUTE($R26,";",REPT(" ",99)),100,99)))-1),Materiales!$A$2:$E$502,5,FALSE)*VALUE(MID(TRIM(MID(SUBSTITUTE($R26,";",REPT(" ",99)),100,99)),FIND(":",TRIM(MID(SUBSTITUTE($R26,";",REPT(" ",99)),100,99)))+1,99)),0) + IFERROR(VLOOKUP(LEFT(TRIM(MID(SUBSTITUTE($R26,";",REPT(" ",99)),199,99)),FIND(":",TRIM(MID(SUBSTITUTE($R26,";",REPT(" ",99)),199,99)))-1),Materiales!$A$2:$E$502,5,FALSE)*VALUE(MID(TRIM(MID(SUBSTITUTE($R26,";",REPT(" ",99)),199,99)),FIND(":",TRIM(MID(SUBSTITUTE($R26,";",REPT(" ",99)),199,99)))+1,99)),0) + IFERROR(VLOOKUP(LEFT(TRIM(MID(SUBSTITUTE($R26,";",REPT(" ",99)),298,99)),FIND(":",TRIM(MID(SUBSTITUTE($R26,";",REPT(" ",99)),298,99)))-1),Materiales!$A$2:$E$502,5,FALSE)*VALUE(MID(TRIM(MID(SUBSTITUTE($R26,";",REPT(" ",99)),298,99)),FIND(":",TRIM(MID(SUBSTITUTE($R26,";",REPT(" ",99)),298,99)))+1,99)),0) + IFERROR(VLOOKUP(LEFT(TRIM(MID(SUBSTITUTE($R26,";",REPT(" ",99)),397,99)),FIND(":",TRIM(MID(SUBSTITUTE($R26,";",REPT(" ",99)),397,99)))-1),Materiales!$A$2:$E$502,5,FALSE)*VALUE(MID(TRIM(MID(SUBSTITUTE($R26,";",REPT(" ",99)),397,99)),FIND(":",TRIM(MID(SUBSTITUTE($R26,";",REPT(" ",99)),397,99)))+1,99)),0) + IFERROR(VLOOKUP(LEFT(TRIM(MID(SUBSTITUTE($R26,";",REPT(" ",99)),496,99)),FIND(":",TRIM(MID(SUBSTITUTE($R26,";",REPT(" ",99)),496,99)))-1),Materiales!$A$2:$E$502,5,FALSE)*VALUE(MID(TRIM(MID(SUBSTITUTE($R26,";",REPT(" ",99)),496,99)),FIND(":",TRIM(MID(SUBSTITUTE($R26,";",REPT(" ",99)),496,99)))+1,99)),0) + IFERROR(VLOOKUP(LEFT(TRIM(MID(SUBSTITUTE($R26,";",REPT(" ",99)),595,99)),FIND(":",TRIM(MID(SUBSTITUTE($R26,";",REPT(" ",99)),595,99)))-1),Materiales!$A$2:$E$502,5,FALSE)*VALUE(MID(TRIM(MID(SUBSTITUTE($R26,";",REPT(" ",99)),595,99)),FIND(":",TRIM(MID(SUBSTITUTE($R26,";",REPT(" ",99)),595,99)))+1,99)),0) + IFERROR(VLOOKUP(LEFT(TRIM(MID(SUBSTITUTE($R26,";",REPT(" ",99)),694,99)),FIND(":",TRIM(MID(SUBSTITUTE($R26,";",REPT(" ",99)),694,99)))-1),Materiales!$A$2:$E$502,5,FALSE)*VALUE(MID(TRIM(MID(SUBSTITUTE($R26,";",REPT(" ",99)),694,99)),FIND(":",TRIM(MID(SUBSTITUTE($R26,";",REPT(" ",99)),694,99)))+1,99)),0) + IFERROR(VLOOKUP(LEFT(TRIM(MID(SUBSTITUTE($R26,";",REPT(" ",99)),793,99)),FIND(":",TRIM(MID(SUBSTITUTE($R26,";",REPT(" ",99)),793,99)))-1),Materiales!$A$2:$E$502,5,FALSE)*VALUE(MID(TRIM(MID(SUBSTITUTE($R26,";",REPT(" ",99)),793,99)),FIND(":",TRIM(MID(SUBSTITUTE($R26,";",REPT(" ",99)),793,99)))+1,99)),0) + IFERROR(VLOOKUP(LEFT(TRIM(MID(SUBSTITUTE($R26,";",REPT(" ",99)),892,99)),FIND(":",TRIM(MID(SUBSTITUTE($R26,";",REPT(" ",99)),892,99)))-1),Materiales!$A$2:$E$502,5,FALSE)*VALUE(MID(TRIM(MID(SUBSTITUTE($R26,";",REPT(" ",99)),892,99)),FIND(":",TRIM(MID(SUBSTITUTE($R26,";",REPT(" ",99)),892,99)))+1,99)),0)))</f>
        <v>0</v>
      </c>
      <c r="T26" s="54"/>
      <c r="U26" s="52">
        <f t="array" ref="U26">IF($A26="","",IF($T26="",0,IFERROR(VLOOKUP(LEFT(TRIM(MID(SUBSTITUTE($T26,";",REPT(" ",99)),1,99)),FIND(":",TRIM(MID(SUBSTITUTE($T26,";",REPT(" ",99)),1,99)))-1),Materiales!$A$2:$E$502,5,FALSE)*VALUE(MID(TRIM(MID(SUBSTITUTE($T26,";",REPT(" ",99)),1,99)),FIND(":",TRIM(MID(SUBSTITUTE($T26,";",REPT(" ",99)),1,99)))+1,99)),0) + IFERROR(VLOOKUP(LEFT(TRIM(MID(SUBSTITUTE($T26,";",REPT(" ",99)),100,99)),FIND(":",TRIM(MID(SUBSTITUTE($T26,";",REPT(" ",99)),100,99)))-1),Materiales!$A$2:$E$502,5,FALSE)*VALUE(MID(TRIM(MID(SUBSTITUTE($T26,";",REPT(" ",99)),100,99)),FIND(":",TRIM(MID(SUBSTITUTE($T26,";",REPT(" ",99)),100,99)))+1,99)),0) + IFERROR(VLOOKUP(LEFT(TRIM(MID(SUBSTITUTE($T26,";",REPT(" ",99)),199,99)),FIND(":",TRIM(MID(SUBSTITUTE($T26,";",REPT(" ",99)),199,99)))-1),Materiales!$A$2:$E$502,5,FALSE)*VALUE(MID(TRIM(MID(SUBSTITUTE($T26,";",REPT(" ",99)),199,99)),FIND(":",TRIM(MID(SUBSTITUTE($T26,";",REPT(" ",99)),199,99)))+1,99)),0) + IFERROR(VLOOKUP(LEFT(TRIM(MID(SUBSTITUTE($T26,";",REPT(" ",99)),298,99)),FIND(":",TRIM(MID(SUBSTITUTE($T26,";",REPT(" ",99)),298,99)))-1),Materiales!$A$2:$E$502,5,FALSE)*VALUE(MID(TRIM(MID(SUBSTITUTE($T26,";",REPT(" ",99)),298,99)),FIND(":",TRIM(MID(SUBSTITUTE($T26,";",REPT(" ",99)),298,99)))+1,99)),0) + IFERROR(VLOOKUP(LEFT(TRIM(MID(SUBSTITUTE($T26,";",REPT(" ",99)),397,99)),FIND(":",TRIM(MID(SUBSTITUTE($T26,";",REPT(" ",99)),397,99)))-1),Materiales!$A$2:$E$502,5,FALSE)*VALUE(MID(TRIM(MID(SUBSTITUTE($T26,";",REPT(" ",99)),397,99)),FIND(":",TRIM(MID(SUBSTITUTE($T26,";",REPT(" ",99)),397,99)))+1,99)),0) + IFERROR(VLOOKUP(LEFT(TRIM(MID(SUBSTITUTE($T26,";",REPT(" ",99)),496,99)),FIND(":",TRIM(MID(SUBSTITUTE($T26,";",REPT(" ",99)),496,99)))-1),Materiales!$A$2:$E$502,5,FALSE)*VALUE(MID(TRIM(MID(SUBSTITUTE($T26,";",REPT(" ",99)),496,99)),FIND(":",TRIM(MID(SUBSTITUTE($T26,";",REPT(" ",99)),496,99)))+1,99)),0) + IFERROR(VLOOKUP(LEFT(TRIM(MID(SUBSTITUTE($T26,";",REPT(" ",99)),595,99)),FIND(":",TRIM(MID(SUBSTITUTE($T26,";",REPT(" ",99)),595,99)))-1),Materiales!$A$2:$E$502,5,FALSE)*VALUE(MID(TRIM(MID(SUBSTITUTE($T26,";",REPT(" ",99)),595,99)),FIND(":",TRIM(MID(SUBSTITUTE($T26,";",REPT(" ",99)),595,99)))+1,99)),0) + IFERROR(VLOOKUP(LEFT(TRIM(MID(SUBSTITUTE($T26,";",REPT(" ",99)),694,99)),FIND(":",TRIM(MID(SUBSTITUTE($T26,";",REPT(" ",99)),694,99)))-1),Materiales!$A$2:$E$502,5,FALSE)*VALUE(MID(TRIM(MID(SUBSTITUTE($T26,";",REPT(" ",99)),694,99)),FIND(":",TRIM(MID(SUBSTITUTE($T26,";",REPT(" ",99)),694,99)))+1,99)),0) + IFERROR(VLOOKUP(LEFT(TRIM(MID(SUBSTITUTE($T26,";",REPT(" ",99)),793,99)),FIND(":",TRIM(MID(SUBSTITUTE($T26,";",REPT(" ",99)),793,99)))-1),Materiales!$A$2:$E$502,5,FALSE)*VALUE(MID(TRIM(MID(SUBSTITUTE($T26,";",REPT(" ",99)),793,99)),FIND(":",TRIM(MID(SUBSTITUTE($T26,";",REPT(" ",99)),793,99)))+1,99)),0) + IFERROR(VLOOKUP(LEFT(TRIM(MID(SUBSTITUTE($T26,";",REPT(" ",99)),892,99)),FIND(":",TRIM(MID(SUBSTITUTE($T26,";",REPT(" ",99)),892,99)))-1),Materiales!$A$2:$E$502,5,FALSE)*VALUE(MID(TRIM(MID(SUBSTITUTE($T26,";",REPT(" ",99)),892,99)),FIND(":",TRIM(MID(SUBSTITUTE($T26,";",REPT(" ",99)),892,99)))+1,99)),0)))</f>
        <v>0</v>
      </c>
      <c r="V26" s="54"/>
      <c r="W26" s="52">
        <f t="array" ref="W26">IF($A26="","",IF($V26="",0,IFERROR(VLOOKUP(LEFT(TRIM(MID(SUBSTITUTE($V26,";",REPT(" ",99)),1,99)),FIND(":",TRIM(MID(SUBSTITUTE($V26,";",REPT(" ",99)),1,99)))-1),Materiales!$A$2:$E$502,5,FALSE)*VALUE(MID(TRIM(MID(SUBSTITUTE($V26,";",REPT(" ",99)),1,99)),FIND(":",TRIM(MID(SUBSTITUTE($V26,";",REPT(" ",99)),1,99)))+1,99)),0) + IFERROR(VLOOKUP(LEFT(TRIM(MID(SUBSTITUTE($V26,";",REPT(" ",99)),100,99)),FIND(":",TRIM(MID(SUBSTITUTE($V26,";",REPT(" ",99)),100,99)))-1),Materiales!$A$2:$E$502,5,FALSE)*VALUE(MID(TRIM(MID(SUBSTITUTE($V26,";",REPT(" ",99)),100,99)),FIND(":",TRIM(MID(SUBSTITUTE($V26,";",REPT(" ",99)),100,99)))+1,99)),0) + IFERROR(VLOOKUP(LEFT(TRIM(MID(SUBSTITUTE($V26,";",REPT(" ",99)),199,99)),FIND(":",TRIM(MID(SUBSTITUTE($V26,";",REPT(" ",99)),199,99)))-1),Materiales!$A$2:$E$502,5,FALSE)*VALUE(MID(TRIM(MID(SUBSTITUTE($V26,";",REPT(" ",99)),199,99)),FIND(":",TRIM(MID(SUBSTITUTE($V26,";",REPT(" ",99)),199,99)))+1,99)),0) + IFERROR(VLOOKUP(LEFT(TRIM(MID(SUBSTITUTE($V26,";",REPT(" ",99)),298,99)),FIND(":",TRIM(MID(SUBSTITUTE($V26,";",REPT(" ",99)),298,99)))-1),Materiales!$A$2:$E$502,5,FALSE)*VALUE(MID(TRIM(MID(SUBSTITUTE($V26,";",REPT(" ",99)),298,99)),FIND(":",TRIM(MID(SUBSTITUTE($V26,";",REPT(" ",99)),298,99)))+1,99)),0) + IFERROR(VLOOKUP(LEFT(TRIM(MID(SUBSTITUTE($V26,";",REPT(" ",99)),397,99)),FIND(":",TRIM(MID(SUBSTITUTE($V26,";",REPT(" ",99)),397,99)))-1),Materiales!$A$2:$E$502,5,FALSE)*VALUE(MID(TRIM(MID(SUBSTITUTE($V26,";",REPT(" ",99)),397,99)),FIND(":",TRIM(MID(SUBSTITUTE($V26,";",REPT(" ",99)),397,99)))+1,99)),0) + IFERROR(VLOOKUP(LEFT(TRIM(MID(SUBSTITUTE($V26,";",REPT(" ",99)),496,99)),FIND(":",TRIM(MID(SUBSTITUTE($V26,";",REPT(" ",99)),496,99)))-1),Materiales!$A$2:$E$502,5,FALSE)*VALUE(MID(TRIM(MID(SUBSTITUTE($V26,";",REPT(" ",99)),496,99)),FIND(":",TRIM(MID(SUBSTITUTE($V26,";",REPT(" ",99)),496,99)))+1,99)),0) + IFERROR(VLOOKUP(LEFT(TRIM(MID(SUBSTITUTE($V26,";",REPT(" ",99)),595,99)),FIND(":",TRIM(MID(SUBSTITUTE($V26,";",REPT(" ",99)),595,99)))-1),Materiales!$A$2:$E$502,5,FALSE)*VALUE(MID(TRIM(MID(SUBSTITUTE($V26,";",REPT(" ",99)),595,99)),FIND(":",TRIM(MID(SUBSTITUTE($V26,";",REPT(" ",99)),595,99)))+1,99)),0) + IFERROR(VLOOKUP(LEFT(TRIM(MID(SUBSTITUTE($V26,";",REPT(" ",99)),694,99)),FIND(":",TRIM(MID(SUBSTITUTE($V26,";",REPT(" ",99)),694,99)))-1),Materiales!$A$2:$E$502,5,FALSE)*VALUE(MID(TRIM(MID(SUBSTITUTE($V26,";",REPT(" ",99)),694,99)),FIND(":",TRIM(MID(SUBSTITUTE($V26,";",REPT(" ",99)),694,99)))+1,99)),0) + IFERROR(VLOOKUP(LEFT(TRIM(MID(SUBSTITUTE($V26,";",REPT(" ",99)),793,99)),FIND(":",TRIM(MID(SUBSTITUTE($V26,";",REPT(" ",99)),793,99)))-1),Materiales!$A$2:$E$502,5,FALSE)*VALUE(MID(TRIM(MID(SUBSTITUTE($V26,";",REPT(" ",99)),793,99)),FIND(":",TRIM(MID(SUBSTITUTE($V26,";",REPT(" ",99)),793,99)))+1,99)),0) + IFERROR(VLOOKUP(LEFT(TRIM(MID(SUBSTITUTE($V26,";",REPT(" ",99)),892,99)),FIND(":",TRIM(MID(SUBSTITUTE($V26,";",REPT(" ",99)),892,99)))-1),Materiales!$A$2:$E$502,5,FALSE)*VALUE(MID(TRIM(MID(SUBSTITUTE($V26,";",REPT(" ",99)),892,99)),FIND(":",TRIM(MID(SUBSTITUTE($V26,";",REPT(" ",99)),892,99)))+1,99)),0)))</f>
        <v>0</v>
      </c>
      <c r="X26" s="55">
        <f t="shared" si="13"/>
        <v>2623.223185</v>
      </c>
      <c r="Y26" s="56" t="s">
        <v>195</v>
      </c>
      <c r="Z26" s="57">
        <f t="shared" si="14"/>
        <v>7869.669556</v>
      </c>
      <c r="AA26" s="58">
        <v>0.0</v>
      </c>
      <c r="AB26" s="53">
        <f t="shared" si="15"/>
        <v>7869.669556</v>
      </c>
      <c r="AC26" s="59">
        <v>8000.0</v>
      </c>
      <c r="AD26" s="58">
        <f t="shared" si="16"/>
        <v>5246.446371</v>
      </c>
      <c r="AE26" s="60">
        <f t="shared" si="17"/>
        <v>5376.776815</v>
      </c>
      <c r="AF26" s="61">
        <f t="shared" si="18"/>
        <v>1.024841661</v>
      </c>
    </row>
    <row r="27" ht="15.75" customHeight="1">
      <c r="A27" s="17" t="s">
        <v>224</v>
      </c>
      <c r="B27" s="48" t="s">
        <v>16</v>
      </c>
      <c r="C27" s="49">
        <v>1.0</v>
      </c>
      <c r="D27" s="50"/>
      <c r="E27" s="50"/>
      <c r="F27" s="51">
        <v>8.0</v>
      </c>
      <c r="G27" s="52">
        <f t="array" ref="G27">IF($A27="","",IFERROR($F27*(N($C27)*XLOOKUP($B27,Ceras!$A$2:$A$500,Ceras!$G$2:$G$500,0)+IF($D27="",0,N($E27)*XLOOKUP($D27,Ceras!$A$2:$A$500,Ceras!$G$2:$G$500,0))),"Revisar cera"))</f>
        <v>144</v>
      </c>
      <c r="H27" s="52">
        <f t="shared" si="11"/>
        <v>12</v>
      </c>
      <c r="I27" s="47" t="s">
        <v>26</v>
      </c>
      <c r="J27" s="51">
        <v>3.0</v>
      </c>
      <c r="K27" s="52">
        <f t="array" ref="K27">IF($A27="","",IFERROR($J27*XLOOKUP($I27,Pabilos!$A$2:$A$500,Pabilos!$H$2:$H$500,0),"Revisar pabilo"))</f>
        <v>45</v>
      </c>
      <c r="L27" s="48" t="s">
        <v>55</v>
      </c>
      <c r="M27" s="53">
        <f t="shared" si="12"/>
        <v>0.8</v>
      </c>
      <c r="N27" s="52">
        <f t="array" ref="N27">IF($A27="","",IFERROR($M27*XLOOKUP($L27,Esencias!$A$2:$A$501,Esencias!$G$2:$G$501,0),"Revisar esencia"))</f>
        <v>112.6760563</v>
      </c>
      <c r="O27" s="48" t="s">
        <v>81</v>
      </c>
      <c r="P27" s="53">
        <v>1.0</v>
      </c>
      <c r="Q27" s="52">
        <f t="array" ref="Q27">IF($A27="","",IFERROR(IF($P27="",1,$P27)*XLOOKUP($O27,Colores!$A$2:$A$500,Colores!$H$2:$H$500,0),"Revisar color"))</f>
        <v>92.30769231</v>
      </c>
      <c r="R27" s="54"/>
      <c r="S27" s="52">
        <f t="array" ref="S27">IF($A27="","",IF($R27="",0,IFERROR(VLOOKUP(LEFT(TRIM(MID(SUBSTITUTE($R27,";",REPT(" ",99)),1,99)),FIND(":",TRIM(MID(SUBSTITUTE($R27,";",REPT(" ",99)),1,99)))-1),Materiales!$A$2:$E$502,5,FALSE)*VALUE(MID(TRIM(MID(SUBSTITUTE($R27,";",REPT(" ",99)),1,99)),FIND(":",TRIM(MID(SUBSTITUTE($R27,";",REPT(" ",99)),1,99)))+1,99)),0) + IFERROR(VLOOKUP(LEFT(TRIM(MID(SUBSTITUTE($R27,";",REPT(" ",99)),100,99)),FIND(":",TRIM(MID(SUBSTITUTE($R27,";",REPT(" ",99)),100,99)))-1),Materiales!$A$2:$E$502,5,FALSE)*VALUE(MID(TRIM(MID(SUBSTITUTE($R27,";",REPT(" ",99)),100,99)),FIND(":",TRIM(MID(SUBSTITUTE($R27,";",REPT(" ",99)),100,99)))+1,99)),0) + IFERROR(VLOOKUP(LEFT(TRIM(MID(SUBSTITUTE($R27,";",REPT(" ",99)),199,99)),FIND(":",TRIM(MID(SUBSTITUTE($R27,";",REPT(" ",99)),199,99)))-1),Materiales!$A$2:$E$502,5,FALSE)*VALUE(MID(TRIM(MID(SUBSTITUTE($R27,";",REPT(" ",99)),199,99)),FIND(":",TRIM(MID(SUBSTITUTE($R27,";",REPT(" ",99)),199,99)))+1,99)),0) + IFERROR(VLOOKUP(LEFT(TRIM(MID(SUBSTITUTE($R27,";",REPT(" ",99)),298,99)),FIND(":",TRIM(MID(SUBSTITUTE($R27,";",REPT(" ",99)),298,99)))-1),Materiales!$A$2:$E$502,5,FALSE)*VALUE(MID(TRIM(MID(SUBSTITUTE($R27,";",REPT(" ",99)),298,99)),FIND(":",TRIM(MID(SUBSTITUTE($R27,";",REPT(" ",99)),298,99)))+1,99)),0) + IFERROR(VLOOKUP(LEFT(TRIM(MID(SUBSTITUTE($R27,";",REPT(" ",99)),397,99)),FIND(":",TRIM(MID(SUBSTITUTE($R27,";",REPT(" ",99)),397,99)))-1),Materiales!$A$2:$E$502,5,FALSE)*VALUE(MID(TRIM(MID(SUBSTITUTE($R27,";",REPT(" ",99)),397,99)),FIND(":",TRIM(MID(SUBSTITUTE($R27,";",REPT(" ",99)),397,99)))+1,99)),0) + IFERROR(VLOOKUP(LEFT(TRIM(MID(SUBSTITUTE($R27,";",REPT(" ",99)),496,99)),FIND(":",TRIM(MID(SUBSTITUTE($R27,";",REPT(" ",99)),496,99)))-1),Materiales!$A$2:$E$502,5,FALSE)*VALUE(MID(TRIM(MID(SUBSTITUTE($R27,";",REPT(" ",99)),496,99)),FIND(":",TRIM(MID(SUBSTITUTE($R27,";",REPT(" ",99)),496,99)))+1,99)),0) + IFERROR(VLOOKUP(LEFT(TRIM(MID(SUBSTITUTE($R27,";",REPT(" ",99)),595,99)),FIND(":",TRIM(MID(SUBSTITUTE($R27,";",REPT(" ",99)),595,99)))-1),Materiales!$A$2:$E$502,5,FALSE)*VALUE(MID(TRIM(MID(SUBSTITUTE($R27,";",REPT(" ",99)),595,99)),FIND(":",TRIM(MID(SUBSTITUTE($R27,";",REPT(" ",99)),595,99)))+1,99)),0) + IFERROR(VLOOKUP(LEFT(TRIM(MID(SUBSTITUTE($R27,";",REPT(" ",99)),694,99)),FIND(":",TRIM(MID(SUBSTITUTE($R27,";",REPT(" ",99)),694,99)))-1),Materiales!$A$2:$E$502,5,FALSE)*VALUE(MID(TRIM(MID(SUBSTITUTE($R27,";",REPT(" ",99)),694,99)),FIND(":",TRIM(MID(SUBSTITUTE($R27,";",REPT(" ",99)),694,99)))+1,99)),0) + IFERROR(VLOOKUP(LEFT(TRIM(MID(SUBSTITUTE($R27,";",REPT(" ",99)),793,99)),FIND(":",TRIM(MID(SUBSTITUTE($R27,";",REPT(" ",99)),793,99)))-1),Materiales!$A$2:$E$502,5,FALSE)*VALUE(MID(TRIM(MID(SUBSTITUTE($R27,";",REPT(" ",99)),793,99)),FIND(":",TRIM(MID(SUBSTITUTE($R27,";",REPT(" ",99)),793,99)))+1,99)),0) + IFERROR(VLOOKUP(LEFT(TRIM(MID(SUBSTITUTE($R27,";",REPT(" ",99)),892,99)),FIND(":",TRIM(MID(SUBSTITUTE($R27,";",REPT(" ",99)),892,99)))-1),Materiales!$A$2:$E$502,5,FALSE)*VALUE(MID(TRIM(MID(SUBSTITUTE($R27,";",REPT(" ",99)),892,99)),FIND(":",TRIM(MID(SUBSTITUTE($R27,";",REPT(" ",99)),892,99)))+1,99)),0)))</f>
        <v>0</v>
      </c>
      <c r="T27" s="54"/>
      <c r="U27" s="52">
        <f t="array" ref="U27">IF($A27="","",IF($T27="",0,IFERROR(VLOOKUP(LEFT(TRIM(MID(SUBSTITUTE($T27,";",REPT(" ",99)),1,99)),FIND(":",TRIM(MID(SUBSTITUTE($T27,";",REPT(" ",99)),1,99)))-1),Materiales!$A$2:$E$502,5,FALSE)*VALUE(MID(TRIM(MID(SUBSTITUTE($T27,";",REPT(" ",99)),1,99)),FIND(":",TRIM(MID(SUBSTITUTE($T27,";",REPT(" ",99)),1,99)))+1,99)),0) + IFERROR(VLOOKUP(LEFT(TRIM(MID(SUBSTITUTE($T27,";",REPT(" ",99)),100,99)),FIND(":",TRIM(MID(SUBSTITUTE($T27,";",REPT(" ",99)),100,99)))-1),Materiales!$A$2:$E$502,5,FALSE)*VALUE(MID(TRIM(MID(SUBSTITUTE($T27,";",REPT(" ",99)),100,99)),FIND(":",TRIM(MID(SUBSTITUTE($T27,";",REPT(" ",99)),100,99)))+1,99)),0) + IFERROR(VLOOKUP(LEFT(TRIM(MID(SUBSTITUTE($T27,";",REPT(" ",99)),199,99)),FIND(":",TRIM(MID(SUBSTITUTE($T27,";",REPT(" ",99)),199,99)))-1),Materiales!$A$2:$E$502,5,FALSE)*VALUE(MID(TRIM(MID(SUBSTITUTE($T27,";",REPT(" ",99)),199,99)),FIND(":",TRIM(MID(SUBSTITUTE($T27,";",REPT(" ",99)),199,99)))+1,99)),0) + IFERROR(VLOOKUP(LEFT(TRIM(MID(SUBSTITUTE($T27,";",REPT(" ",99)),298,99)),FIND(":",TRIM(MID(SUBSTITUTE($T27,";",REPT(" ",99)),298,99)))-1),Materiales!$A$2:$E$502,5,FALSE)*VALUE(MID(TRIM(MID(SUBSTITUTE($T27,";",REPT(" ",99)),298,99)),FIND(":",TRIM(MID(SUBSTITUTE($T27,";",REPT(" ",99)),298,99)))+1,99)),0) + IFERROR(VLOOKUP(LEFT(TRIM(MID(SUBSTITUTE($T27,";",REPT(" ",99)),397,99)),FIND(":",TRIM(MID(SUBSTITUTE($T27,";",REPT(" ",99)),397,99)))-1),Materiales!$A$2:$E$502,5,FALSE)*VALUE(MID(TRIM(MID(SUBSTITUTE($T27,";",REPT(" ",99)),397,99)),FIND(":",TRIM(MID(SUBSTITUTE($T27,";",REPT(" ",99)),397,99)))+1,99)),0) + IFERROR(VLOOKUP(LEFT(TRIM(MID(SUBSTITUTE($T27,";",REPT(" ",99)),496,99)),FIND(":",TRIM(MID(SUBSTITUTE($T27,";",REPT(" ",99)),496,99)))-1),Materiales!$A$2:$E$502,5,FALSE)*VALUE(MID(TRIM(MID(SUBSTITUTE($T27,";",REPT(" ",99)),496,99)),FIND(":",TRIM(MID(SUBSTITUTE($T27,";",REPT(" ",99)),496,99)))+1,99)),0) + IFERROR(VLOOKUP(LEFT(TRIM(MID(SUBSTITUTE($T27,";",REPT(" ",99)),595,99)),FIND(":",TRIM(MID(SUBSTITUTE($T27,";",REPT(" ",99)),595,99)))-1),Materiales!$A$2:$E$502,5,FALSE)*VALUE(MID(TRIM(MID(SUBSTITUTE($T27,";",REPT(" ",99)),595,99)),FIND(":",TRIM(MID(SUBSTITUTE($T27,";",REPT(" ",99)),595,99)))+1,99)),0) + IFERROR(VLOOKUP(LEFT(TRIM(MID(SUBSTITUTE($T27,";",REPT(" ",99)),694,99)),FIND(":",TRIM(MID(SUBSTITUTE($T27,";",REPT(" ",99)),694,99)))-1),Materiales!$A$2:$E$502,5,FALSE)*VALUE(MID(TRIM(MID(SUBSTITUTE($T27,";",REPT(" ",99)),694,99)),FIND(":",TRIM(MID(SUBSTITUTE($T27,";",REPT(" ",99)),694,99)))+1,99)),0) + IFERROR(VLOOKUP(LEFT(TRIM(MID(SUBSTITUTE($T27,";",REPT(" ",99)),793,99)),FIND(":",TRIM(MID(SUBSTITUTE($T27,";",REPT(" ",99)),793,99)))-1),Materiales!$A$2:$E$502,5,FALSE)*VALUE(MID(TRIM(MID(SUBSTITUTE($T27,";",REPT(" ",99)),793,99)),FIND(":",TRIM(MID(SUBSTITUTE($T27,";",REPT(" ",99)),793,99)))+1,99)),0) + IFERROR(VLOOKUP(LEFT(TRIM(MID(SUBSTITUTE($T27,";",REPT(" ",99)),892,99)),FIND(":",TRIM(MID(SUBSTITUTE($T27,";",REPT(" ",99)),892,99)))-1),Materiales!$A$2:$E$502,5,FALSE)*VALUE(MID(TRIM(MID(SUBSTITUTE($T27,";",REPT(" ",99)),892,99)),FIND(":",TRIM(MID(SUBSTITUTE($T27,";",REPT(" ",99)),892,99)))+1,99)),0)))</f>
        <v>0</v>
      </c>
      <c r="V27" s="54"/>
      <c r="W27" s="52">
        <f t="array" ref="W27">IF($A27="","",IF($V27="",0,IFERROR(VLOOKUP(LEFT(TRIM(MID(SUBSTITUTE($V27,";",REPT(" ",99)),1,99)),FIND(":",TRIM(MID(SUBSTITUTE($V27,";",REPT(" ",99)),1,99)))-1),Materiales!$A$2:$E$502,5,FALSE)*VALUE(MID(TRIM(MID(SUBSTITUTE($V27,";",REPT(" ",99)),1,99)),FIND(":",TRIM(MID(SUBSTITUTE($V27,";",REPT(" ",99)),1,99)))+1,99)),0) + IFERROR(VLOOKUP(LEFT(TRIM(MID(SUBSTITUTE($V27,";",REPT(" ",99)),100,99)),FIND(":",TRIM(MID(SUBSTITUTE($V27,";",REPT(" ",99)),100,99)))-1),Materiales!$A$2:$E$502,5,FALSE)*VALUE(MID(TRIM(MID(SUBSTITUTE($V27,";",REPT(" ",99)),100,99)),FIND(":",TRIM(MID(SUBSTITUTE($V27,";",REPT(" ",99)),100,99)))+1,99)),0) + IFERROR(VLOOKUP(LEFT(TRIM(MID(SUBSTITUTE($V27,";",REPT(" ",99)),199,99)),FIND(":",TRIM(MID(SUBSTITUTE($V27,";",REPT(" ",99)),199,99)))-1),Materiales!$A$2:$E$502,5,FALSE)*VALUE(MID(TRIM(MID(SUBSTITUTE($V27,";",REPT(" ",99)),199,99)),FIND(":",TRIM(MID(SUBSTITUTE($V27,";",REPT(" ",99)),199,99)))+1,99)),0) + IFERROR(VLOOKUP(LEFT(TRIM(MID(SUBSTITUTE($V27,";",REPT(" ",99)),298,99)),FIND(":",TRIM(MID(SUBSTITUTE($V27,";",REPT(" ",99)),298,99)))-1),Materiales!$A$2:$E$502,5,FALSE)*VALUE(MID(TRIM(MID(SUBSTITUTE($V27,";",REPT(" ",99)),298,99)),FIND(":",TRIM(MID(SUBSTITUTE($V27,";",REPT(" ",99)),298,99)))+1,99)),0) + IFERROR(VLOOKUP(LEFT(TRIM(MID(SUBSTITUTE($V27,";",REPT(" ",99)),397,99)),FIND(":",TRIM(MID(SUBSTITUTE($V27,";",REPT(" ",99)),397,99)))-1),Materiales!$A$2:$E$502,5,FALSE)*VALUE(MID(TRIM(MID(SUBSTITUTE($V27,";",REPT(" ",99)),397,99)),FIND(":",TRIM(MID(SUBSTITUTE($V27,";",REPT(" ",99)),397,99)))+1,99)),0) + IFERROR(VLOOKUP(LEFT(TRIM(MID(SUBSTITUTE($V27,";",REPT(" ",99)),496,99)),FIND(":",TRIM(MID(SUBSTITUTE($V27,";",REPT(" ",99)),496,99)))-1),Materiales!$A$2:$E$502,5,FALSE)*VALUE(MID(TRIM(MID(SUBSTITUTE($V27,";",REPT(" ",99)),496,99)),FIND(":",TRIM(MID(SUBSTITUTE($V27,";",REPT(" ",99)),496,99)))+1,99)),0) + IFERROR(VLOOKUP(LEFT(TRIM(MID(SUBSTITUTE($V27,";",REPT(" ",99)),595,99)),FIND(":",TRIM(MID(SUBSTITUTE($V27,";",REPT(" ",99)),595,99)))-1),Materiales!$A$2:$E$502,5,FALSE)*VALUE(MID(TRIM(MID(SUBSTITUTE($V27,";",REPT(" ",99)),595,99)),FIND(":",TRIM(MID(SUBSTITUTE($V27,";",REPT(" ",99)),595,99)))+1,99)),0) + IFERROR(VLOOKUP(LEFT(TRIM(MID(SUBSTITUTE($V27,";",REPT(" ",99)),694,99)),FIND(":",TRIM(MID(SUBSTITUTE($V27,";",REPT(" ",99)),694,99)))-1),Materiales!$A$2:$E$502,5,FALSE)*VALUE(MID(TRIM(MID(SUBSTITUTE($V27,";",REPT(" ",99)),694,99)),FIND(":",TRIM(MID(SUBSTITUTE($V27,";",REPT(" ",99)),694,99)))+1,99)),0) + IFERROR(VLOOKUP(LEFT(TRIM(MID(SUBSTITUTE($V27,";",REPT(" ",99)),793,99)),FIND(":",TRIM(MID(SUBSTITUTE($V27,";",REPT(" ",99)),793,99)))-1),Materiales!$A$2:$E$502,5,FALSE)*VALUE(MID(TRIM(MID(SUBSTITUTE($V27,";",REPT(" ",99)),793,99)),FIND(":",TRIM(MID(SUBSTITUTE($V27,";",REPT(" ",99)),793,99)))+1,99)),0) + IFERROR(VLOOKUP(LEFT(TRIM(MID(SUBSTITUTE($V27,";",REPT(" ",99)),892,99)),FIND(":",TRIM(MID(SUBSTITUTE($V27,";",REPT(" ",99)),892,99)))-1),Materiales!$A$2:$E$502,5,FALSE)*VALUE(MID(TRIM(MID(SUBSTITUTE($V27,";",REPT(" ",99)),892,99)),FIND(":",TRIM(MID(SUBSTITUTE($V27,";",REPT(" ",99)),892,99)))+1,99)),0)))</f>
        <v>0</v>
      </c>
      <c r="X27" s="55">
        <f t="shared" si="13"/>
        <v>405.9837486</v>
      </c>
      <c r="Y27" s="56" t="s">
        <v>195</v>
      </c>
      <c r="Z27" s="57">
        <f t="shared" si="14"/>
        <v>1217.951246</v>
      </c>
      <c r="AA27" s="58">
        <v>0.0</v>
      </c>
      <c r="AB27" s="53">
        <f t="shared" si="15"/>
        <v>1217.951246</v>
      </c>
      <c r="AC27" s="59">
        <v>1200.0</v>
      </c>
      <c r="AD27" s="58">
        <f t="shared" si="16"/>
        <v>811.9674973</v>
      </c>
      <c r="AE27" s="60">
        <f t="shared" si="17"/>
        <v>794.0162514</v>
      </c>
      <c r="AF27" s="61">
        <f t="shared" si="18"/>
        <v>0.9778916693</v>
      </c>
    </row>
    <row r="28" ht="15.75" customHeight="1">
      <c r="A28" s="17" t="s">
        <v>225</v>
      </c>
      <c r="B28" s="48" t="s">
        <v>16</v>
      </c>
      <c r="C28" s="49">
        <v>1.0</v>
      </c>
      <c r="D28" s="50"/>
      <c r="E28" s="50"/>
      <c r="F28" s="51">
        <v>3.0</v>
      </c>
      <c r="G28" s="52">
        <f t="array" ref="G28">IF($A28="","",IFERROR($F28*(N($C28)*XLOOKUP($B28,Ceras!$A$2:$A$500,Ceras!$G$2:$G$500,0)+IF($D28="",0,N($E28)*XLOOKUP($D28,Ceras!$A$2:$A$500,Ceras!$G$2:$G$500,0))),"Revisar cera"))</f>
        <v>54</v>
      </c>
      <c r="H28" s="52">
        <f t="shared" si="11"/>
        <v>4.5</v>
      </c>
      <c r="I28" s="48" t="s">
        <v>32</v>
      </c>
      <c r="J28" s="51">
        <v>2.0</v>
      </c>
      <c r="K28" s="52">
        <f t="array" ref="K28">IF($A28="","",IFERROR($J28*XLOOKUP($I28,Pabilos!$A$2:$A$500,Pabilos!$H$2:$H$500,0),"Revisar pabilo"))</f>
        <v>36</v>
      </c>
      <c r="L28" s="48" t="s">
        <v>55</v>
      </c>
      <c r="M28" s="53">
        <f t="shared" si="12"/>
        <v>0.3</v>
      </c>
      <c r="N28" s="52">
        <f t="array" ref="N28">IF($A28="","",IFERROR($M28*XLOOKUP($L28,Esencias!$A$2:$A$501,Esencias!$G$2:$G$501,0),"Revisar esencia"))</f>
        <v>42.25352113</v>
      </c>
      <c r="O28" s="48" t="s">
        <v>81</v>
      </c>
      <c r="P28" s="53">
        <v>1.0</v>
      </c>
      <c r="Q28" s="52">
        <f t="array" ref="Q28">IF($A28="","",IFERROR(IF($P28="",1,$P28)*XLOOKUP($O28,Colores!$A$2:$A$500,Colores!$H$2:$H$500,0),"Revisar color"))</f>
        <v>92.30769231</v>
      </c>
      <c r="R28" s="54"/>
      <c r="S28" s="52">
        <f t="array" ref="S28">IF($A28="","",IF($R28="",0,IFERROR(VLOOKUP(LEFT(TRIM(MID(SUBSTITUTE($R28,";",REPT(" ",99)),1,99)),FIND(":",TRIM(MID(SUBSTITUTE($R28,";",REPT(" ",99)),1,99)))-1),Materiales!$A$2:$E$502,5,FALSE)*VALUE(MID(TRIM(MID(SUBSTITUTE($R28,";",REPT(" ",99)),1,99)),FIND(":",TRIM(MID(SUBSTITUTE($R28,";",REPT(" ",99)),1,99)))+1,99)),0) + IFERROR(VLOOKUP(LEFT(TRIM(MID(SUBSTITUTE($R28,";",REPT(" ",99)),100,99)),FIND(":",TRIM(MID(SUBSTITUTE($R28,";",REPT(" ",99)),100,99)))-1),Materiales!$A$2:$E$502,5,FALSE)*VALUE(MID(TRIM(MID(SUBSTITUTE($R28,";",REPT(" ",99)),100,99)),FIND(":",TRIM(MID(SUBSTITUTE($R28,";",REPT(" ",99)),100,99)))+1,99)),0) + IFERROR(VLOOKUP(LEFT(TRIM(MID(SUBSTITUTE($R28,";",REPT(" ",99)),199,99)),FIND(":",TRIM(MID(SUBSTITUTE($R28,";",REPT(" ",99)),199,99)))-1),Materiales!$A$2:$E$502,5,FALSE)*VALUE(MID(TRIM(MID(SUBSTITUTE($R28,";",REPT(" ",99)),199,99)),FIND(":",TRIM(MID(SUBSTITUTE($R28,";",REPT(" ",99)),199,99)))+1,99)),0) + IFERROR(VLOOKUP(LEFT(TRIM(MID(SUBSTITUTE($R28,";",REPT(" ",99)),298,99)),FIND(":",TRIM(MID(SUBSTITUTE($R28,";",REPT(" ",99)),298,99)))-1),Materiales!$A$2:$E$502,5,FALSE)*VALUE(MID(TRIM(MID(SUBSTITUTE($R28,";",REPT(" ",99)),298,99)),FIND(":",TRIM(MID(SUBSTITUTE($R28,";",REPT(" ",99)),298,99)))+1,99)),0) + IFERROR(VLOOKUP(LEFT(TRIM(MID(SUBSTITUTE($R28,";",REPT(" ",99)),397,99)),FIND(":",TRIM(MID(SUBSTITUTE($R28,";",REPT(" ",99)),397,99)))-1),Materiales!$A$2:$E$502,5,FALSE)*VALUE(MID(TRIM(MID(SUBSTITUTE($R28,";",REPT(" ",99)),397,99)),FIND(":",TRIM(MID(SUBSTITUTE($R28,";",REPT(" ",99)),397,99)))+1,99)),0) + IFERROR(VLOOKUP(LEFT(TRIM(MID(SUBSTITUTE($R28,";",REPT(" ",99)),496,99)),FIND(":",TRIM(MID(SUBSTITUTE($R28,";",REPT(" ",99)),496,99)))-1),Materiales!$A$2:$E$502,5,FALSE)*VALUE(MID(TRIM(MID(SUBSTITUTE($R28,";",REPT(" ",99)),496,99)),FIND(":",TRIM(MID(SUBSTITUTE($R28,";",REPT(" ",99)),496,99)))+1,99)),0) + IFERROR(VLOOKUP(LEFT(TRIM(MID(SUBSTITUTE($R28,";",REPT(" ",99)),595,99)),FIND(":",TRIM(MID(SUBSTITUTE($R28,";",REPT(" ",99)),595,99)))-1),Materiales!$A$2:$E$502,5,FALSE)*VALUE(MID(TRIM(MID(SUBSTITUTE($R28,";",REPT(" ",99)),595,99)),FIND(":",TRIM(MID(SUBSTITUTE($R28,";",REPT(" ",99)),595,99)))+1,99)),0) + IFERROR(VLOOKUP(LEFT(TRIM(MID(SUBSTITUTE($R28,";",REPT(" ",99)),694,99)),FIND(":",TRIM(MID(SUBSTITUTE($R28,";",REPT(" ",99)),694,99)))-1),Materiales!$A$2:$E$502,5,FALSE)*VALUE(MID(TRIM(MID(SUBSTITUTE($R28,";",REPT(" ",99)),694,99)),FIND(":",TRIM(MID(SUBSTITUTE($R28,";",REPT(" ",99)),694,99)))+1,99)),0) + IFERROR(VLOOKUP(LEFT(TRIM(MID(SUBSTITUTE($R28,";",REPT(" ",99)),793,99)),FIND(":",TRIM(MID(SUBSTITUTE($R28,";",REPT(" ",99)),793,99)))-1),Materiales!$A$2:$E$502,5,FALSE)*VALUE(MID(TRIM(MID(SUBSTITUTE($R28,";",REPT(" ",99)),793,99)),FIND(":",TRIM(MID(SUBSTITUTE($R28,";",REPT(" ",99)),793,99)))+1,99)),0) + IFERROR(VLOOKUP(LEFT(TRIM(MID(SUBSTITUTE($R28,";",REPT(" ",99)),892,99)),FIND(":",TRIM(MID(SUBSTITUTE($R28,";",REPT(" ",99)),892,99)))-1),Materiales!$A$2:$E$502,5,FALSE)*VALUE(MID(TRIM(MID(SUBSTITUTE($R28,";",REPT(" ",99)),892,99)),FIND(":",TRIM(MID(SUBSTITUTE($R28,";",REPT(" ",99)),892,99)))+1,99)),0)))</f>
        <v>0</v>
      </c>
      <c r="T28" s="54"/>
      <c r="U28" s="52">
        <f t="array" ref="U28">IF($A28="","",IF($T28="",0,IFERROR(VLOOKUP(LEFT(TRIM(MID(SUBSTITUTE($T28,";",REPT(" ",99)),1,99)),FIND(":",TRIM(MID(SUBSTITUTE($T28,";",REPT(" ",99)),1,99)))-1),Materiales!$A$2:$E$502,5,FALSE)*VALUE(MID(TRIM(MID(SUBSTITUTE($T28,";",REPT(" ",99)),1,99)),FIND(":",TRIM(MID(SUBSTITUTE($T28,";",REPT(" ",99)),1,99)))+1,99)),0) + IFERROR(VLOOKUP(LEFT(TRIM(MID(SUBSTITUTE($T28,";",REPT(" ",99)),100,99)),FIND(":",TRIM(MID(SUBSTITUTE($T28,";",REPT(" ",99)),100,99)))-1),Materiales!$A$2:$E$502,5,FALSE)*VALUE(MID(TRIM(MID(SUBSTITUTE($T28,";",REPT(" ",99)),100,99)),FIND(":",TRIM(MID(SUBSTITUTE($T28,";",REPT(" ",99)),100,99)))+1,99)),0) + IFERROR(VLOOKUP(LEFT(TRIM(MID(SUBSTITUTE($T28,";",REPT(" ",99)),199,99)),FIND(":",TRIM(MID(SUBSTITUTE($T28,";",REPT(" ",99)),199,99)))-1),Materiales!$A$2:$E$502,5,FALSE)*VALUE(MID(TRIM(MID(SUBSTITUTE($T28,";",REPT(" ",99)),199,99)),FIND(":",TRIM(MID(SUBSTITUTE($T28,";",REPT(" ",99)),199,99)))+1,99)),0) + IFERROR(VLOOKUP(LEFT(TRIM(MID(SUBSTITUTE($T28,";",REPT(" ",99)),298,99)),FIND(":",TRIM(MID(SUBSTITUTE($T28,";",REPT(" ",99)),298,99)))-1),Materiales!$A$2:$E$502,5,FALSE)*VALUE(MID(TRIM(MID(SUBSTITUTE($T28,";",REPT(" ",99)),298,99)),FIND(":",TRIM(MID(SUBSTITUTE($T28,";",REPT(" ",99)),298,99)))+1,99)),0) + IFERROR(VLOOKUP(LEFT(TRIM(MID(SUBSTITUTE($T28,";",REPT(" ",99)),397,99)),FIND(":",TRIM(MID(SUBSTITUTE($T28,";",REPT(" ",99)),397,99)))-1),Materiales!$A$2:$E$502,5,FALSE)*VALUE(MID(TRIM(MID(SUBSTITUTE($T28,";",REPT(" ",99)),397,99)),FIND(":",TRIM(MID(SUBSTITUTE($T28,";",REPT(" ",99)),397,99)))+1,99)),0) + IFERROR(VLOOKUP(LEFT(TRIM(MID(SUBSTITUTE($T28,";",REPT(" ",99)),496,99)),FIND(":",TRIM(MID(SUBSTITUTE($T28,";",REPT(" ",99)),496,99)))-1),Materiales!$A$2:$E$502,5,FALSE)*VALUE(MID(TRIM(MID(SUBSTITUTE($T28,";",REPT(" ",99)),496,99)),FIND(":",TRIM(MID(SUBSTITUTE($T28,";",REPT(" ",99)),496,99)))+1,99)),0) + IFERROR(VLOOKUP(LEFT(TRIM(MID(SUBSTITUTE($T28,";",REPT(" ",99)),595,99)),FIND(":",TRIM(MID(SUBSTITUTE($T28,";",REPT(" ",99)),595,99)))-1),Materiales!$A$2:$E$502,5,FALSE)*VALUE(MID(TRIM(MID(SUBSTITUTE($T28,";",REPT(" ",99)),595,99)),FIND(":",TRIM(MID(SUBSTITUTE($T28,";",REPT(" ",99)),595,99)))+1,99)),0) + IFERROR(VLOOKUP(LEFT(TRIM(MID(SUBSTITUTE($T28,";",REPT(" ",99)),694,99)),FIND(":",TRIM(MID(SUBSTITUTE($T28,";",REPT(" ",99)),694,99)))-1),Materiales!$A$2:$E$502,5,FALSE)*VALUE(MID(TRIM(MID(SUBSTITUTE($T28,";",REPT(" ",99)),694,99)),FIND(":",TRIM(MID(SUBSTITUTE($T28,";",REPT(" ",99)),694,99)))+1,99)),0) + IFERROR(VLOOKUP(LEFT(TRIM(MID(SUBSTITUTE($T28,";",REPT(" ",99)),793,99)),FIND(":",TRIM(MID(SUBSTITUTE($T28,";",REPT(" ",99)),793,99)))-1),Materiales!$A$2:$E$502,5,FALSE)*VALUE(MID(TRIM(MID(SUBSTITUTE($T28,";",REPT(" ",99)),793,99)),FIND(":",TRIM(MID(SUBSTITUTE($T28,";",REPT(" ",99)),793,99)))+1,99)),0) + IFERROR(VLOOKUP(LEFT(TRIM(MID(SUBSTITUTE($T28,";",REPT(" ",99)),892,99)),FIND(":",TRIM(MID(SUBSTITUTE($T28,";",REPT(" ",99)),892,99)))-1),Materiales!$A$2:$E$502,5,FALSE)*VALUE(MID(TRIM(MID(SUBSTITUTE($T28,";",REPT(" ",99)),892,99)),FIND(":",TRIM(MID(SUBSTITUTE($T28,";",REPT(" ",99)),892,99)))+1,99)),0)))</f>
        <v>0</v>
      </c>
      <c r="V28" s="54"/>
      <c r="W28" s="52">
        <f t="array" ref="W28">IF($A28="","",IF($V28="",0,IFERROR(VLOOKUP(LEFT(TRIM(MID(SUBSTITUTE($V28,";",REPT(" ",99)),1,99)),FIND(":",TRIM(MID(SUBSTITUTE($V28,";",REPT(" ",99)),1,99)))-1),Materiales!$A$2:$E$502,5,FALSE)*VALUE(MID(TRIM(MID(SUBSTITUTE($V28,";",REPT(" ",99)),1,99)),FIND(":",TRIM(MID(SUBSTITUTE($V28,";",REPT(" ",99)),1,99)))+1,99)),0) + IFERROR(VLOOKUP(LEFT(TRIM(MID(SUBSTITUTE($V28,";",REPT(" ",99)),100,99)),FIND(":",TRIM(MID(SUBSTITUTE($V28,";",REPT(" ",99)),100,99)))-1),Materiales!$A$2:$E$502,5,FALSE)*VALUE(MID(TRIM(MID(SUBSTITUTE($V28,";",REPT(" ",99)),100,99)),FIND(":",TRIM(MID(SUBSTITUTE($V28,";",REPT(" ",99)),100,99)))+1,99)),0) + IFERROR(VLOOKUP(LEFT(TRIM(MID(SUBSTITUTE($V28,";",REPT(" ",99)),199,99)),FIND(":",TRIM(MID(SUBSTITUTE($V28,";",REPT(" ",99)),199,99)))-1),Materiales!$A$2:$E$502,5,FALSE)*VALUE(MID(TRIM(MID(SUBSTITUTE($V28,";",REPT(" ",99)),199,99)),FIND(":",TRIM(MID(SUBSTITUTE($V28,";",REPT(" ",99)),199,99)))+1,99)),0) + IFERROR(VLOOKUP(LEFT(TRIM(MID(SUBSTITUTE($V28,";",REPT(" ",99)),298,99)),FIND(":",TRIM(MID(SUBSTITUTE($V28,";",REPT(" ",99)),298,99)))-1),Materiales!$A$2:$E$502,5,FALSE)*VALUE(MID(TRIM(MID(SUBSTITUTE($V28,";",REPT(" ",99)),298,99)),FIND(":",TRIM(MID(SUBSTITUTE($V28,";",REPT(" ",99)),298,99)))+1,99)),0) + IFERROR(VLOOKUP(LEFT(TRIM(MID(SUBSTITUTE($V28,";",REPT(" ",99)),397,99)),FIND(":",TRIM(MID(SUBSTITUTE($V28,";",REPT(" ",99)),397,99)))-1),Materiales!$A$2:$E$502,5,FALSE)*VALUE(MID(TRIM(MID(SUBSTITUTE($V28,";",REPT(" ",99)),397,99)),FIND(":",TRIM(MID(SUBSTITUTE($V28,";",REPT(" ",99)),397,99)))+1,99)),0) + IFERROR(VLOOKUP(LEFT(TRIM(MID(SUBSTITUTE($V28,";",REPT(" ",99)),496,99)),FIND(":",TRIM(MID(SUBSTITUTE($V28,";",REPT(" ",99)),496,99)))-1),Materiales!$A$2:$E$502,5,FALSE)*VALUE(MID(TRIM(MID(SUBSTITUTE($V28,";",REPT(" ",99)),496,99)),FIND(":",TRIM(MID(SUBSTITUTE($V28,";",REPT(" ",99)),496,99)))+1,99)),0) + IFERROR(VLOOKUP(LEFT(TRIM(MID(SUBSTITUTE($V28,";",REPT(" ",99)),595,99)),FIND(":",TRIM(MID(SUBSTITUTE($V28,";",REPT(" ",99)),595,99)))-1),Materiales!$A$2:$E$502,5,FALSE)*VALUE(MID(TRIM(MID(SUBSTITUTE($V28,";",REPT(" ",99)),595,99)),FIND(":",TRIM(MID(SUBSTITUTE($V28,";",REPT(" ",99)),595,99)))+1,99)),0) + IFERROR(VLOOKUP(LEFT(TRIM(MID(SUBSTITUTE($V28,";",REPT(" ",99)),694,99)),FIND(":",TRIM(MID(SUBSTITUTE($V28,";",REPT(" ",99)),694,99)))-1),Materiales!$A$2:$E$502,5,FALSE)*VALUE(MID(TRIM(MID(SUBSTITUTE($V28,";",REPT(" ",99)),694,99)),FIND(":",TRIM(MID(SUBSTITUTE($V28,";",REPT(" ",99)),694,99)))+1,99)),0) + IFERROR(VLOOKUP(LEFT(TRIM(MID(SUBSTITUTE($V28,";",REPT(" ",99)),793,99)),FIND(":",TRIM(MID(SUBSTITUTE($V28,";",REPT(" ",99)),793,99)))-1),Materiales!$A$2:$E$502,5,FALSE)*VALUE(MID(TRIM(MID(SUBSTITUTE($V28,";",REPT(" ",99)),793,99)),FIND(":",TRIM(MID(SUBSTITUTE($V28,";",REPT(" ",99)),793,99)))+1,99)),0) + IFERROR(VLOOKUP(LEFT(TRIM(MID(SUBSTITUTE($V28,";",REPT(" ",99)),892,99)),FIND(":",TRIM(MID(SUBSTITUTE($V28,";",REPT(" ",99)),892,99)))-1),Materiales!$A$2:$E$502,5,FALSE)*VALUE(MID(TRIM(MID(SUBSTITUTE($V28,";",REPT(" ",99)),892,99)),FIND(":",TRIM(MID(SUBSTITUTE($V28,";",REPT(" ",99)),892,99)))+1,99)),0)))</f>
        <v>0</v>
      </c>
      <c r="X28" s="55">
        <f t="shared" si="13"/>
        <v>229.0612134</v>
      </c>
      <c r="Y28" s="56" t="s">
        <v>195</v>
      </c>
      <c r="Z28" s="57">
        <f t="shared" si="14"/>
        <v>687.1836403</v>
      </c>
      <c r="AA28" s="58">
        <v>0.0</v>
      </c>
      <c r="AB28" s="53">
        <f t="shared" si="15"/>
        <v>687.1836403</v>
      </c>
      <c r="AC28" s="59">
        <v>500.0</v>
      </c>
      <c r="AD28" s="58">
        <f t="shared" si="16"/>
        <v>458.1224269</v>
      </c>
      <c r="AE28" s="60">
        <f t="shared" si="17"/>
        <v>270.9387866</v>
      </c>
      <c r="AF28" s="61">
        <f t="shared" si="18"/>
        <v>0.5914113143</v>
      </c>
    </row>
    <row r="29" ht="15.75" customHeight="1">
      <c r="A29" s="17" t="s">
        <v>226</v>
      </c>
      <c r="B29" s="17" t="s">
        <v>16</v>
      </c>
      <c r="C29" s="46">
        <v>1.0</v>
      </c>
      <c r="D29" s="38"/>
      <c r="E29" s="38"/>
      <c r="F29" s="18">
        <v>7.0</v>
      </c>
      <c r="G29" s="5">
        <f t="array" ref="G29">IF($A29="","",IFERROR($F29*(N($C29)*XLOOKUP($B29,Ceras!$A$2:$A$500,Ceras!$G$2:$G$500,0)+IF($D29="",0,N($E29)*XLOOKUP($D29,Ceras!$A$2:$A$500,Ceras!$G$2:$G$500,0))),"Revisar cera"))</f>
        <v>126</v>
      </c>
      <c r="H29" s="5">
        <f t="shared" si="11"/>
        <v>10.5</v>
      </c>
      <c r="I29" s="17" t="s">
        <v>26</v>
      </c>
      <c r="J29" s="18">
        <v>2.0</v>
      </c>
      <c r="K29" s="5">
        <f t="array" ref="K29">IF($A29="","",IFERROR($J29*XLOOKUP($I29,Pabilos!$A$2:$A$500,Pabilos!$H$2:$H$500,0),"Revisar pabilo"))</f>
        <v>30</v>
      </c>
      <c r="L29" s="17" t="s">
        <v>55</v>
      </c>
      <c r="M29" s="14">
        <f t="shared" si="12"/>
        <v>0.7</v>
      </c>
      <c r="N29" s="5">
        <f t="array" ref="N29">IF($A29="","",IFERROR($M29*XLOOKUP($L29,Esencias!$A$2:$A$501,Esencias!$G$2:$G$501,0),"Revisar esencia"))</f>
        <v>98.5915493</v>
      </c>
      <c r="O29" s="17" t="s">
        <v>81</v>
      </c>
      <c r="P29" s="18">
        <v>0.5</v>
      </c>
      <c r="Q29" s="5">
        <f t="array" ref="Q29">IF($A29="","",IFERROR(IF($P29="",1,$P29)*XLOOKUP($O29,Colores!$A$2:$A$500,Colores!$H$2:$H$500,0),"Revisar color"))</f>
        <v>46.15384615</v>
      </c>
      <c r="R29" s="3"/>
      <c r="S29" s="5">
        <f t="array" ref="S29">IF($A29="","",IF($R29="",0,IFERROR(VLOOKUP(LEFT(TRIM(MID(SUBSTITUTE($R29,";",REPT(" ",99)),1,99)),FIND(":",TRIM(MID(SUBSTITUTE($R29,";",REPT(" ",99)),1,99)))-1),Materiales!$A$2:$E$502,5,FALSE)*VALUE(MID(TRIM(MID(SUBSTITUTE($R29,";",REPT(" ",99)),1,99)),FIND(":",TRIM(MID(SUBSTITUTE($R29,";",REPT(" ",99)),1,99)))+1,99)),0) + IFERROR(VLOOKUP(LEFT(TRIM(MID(SUBSTITUTE($R29,";",REPT(" ",99)),100,99)),FIND(":",TRIM(MID(SUBSTITUTE($R29,";",REPT(" ",99)),100,99)))-1),Materiales!$A$2:$E$502,5,FALSE)*VALUE(MID(TRIM(MID(SUBSTITUTE($R29,";",REPT(" ",99)),100,99)),FIND(":",TRIM(MID(SUBSTITUTE($R29,";",REPT(" ",99)),100,99)))+1,99)),0) + IFERROR(VLOOKUP(LEFT(TRIM(MID(SUBSTITUTE($R29,";",REPT(" ",99)),199,99)),FIND(":",TRIM(MID(SUBSTITUTE($R29,";",REPT(" ",99)),199,99)))-1),Materiales!$A$2:$E$502,5,FALSE)*VALUE(MID(TRIM(MID(SUBSTITUTE($R29,";",REPT(" ",99)),199,99)),FIND(":",TRIM(MID(SUBSTITUTE($R29,";",REPT(" ",99)),199,99)))+1,99)),0) + IFERROR(VLOOKUP(LEFT(TRIM(MID(SUBSTITUTE($R29,";",REPT(" ",99)),298,99)),FIND(":",TRIM(MID(SUBSTITUTE($R29,";",REPT(" ",99)),298,99)))-1),Materiales!$A$2:$E$502,5,FALSE)*VALUE(MID(TRIM(MID(SUBSTITUTE($R29,";",REPT(" ",99)),298,99)),FIND(":",TRIM(MID(SUBSTITUTE($R29,";",REPT(" ",99)),298,99)))+1,99)),0) + IFERROR(VLOOKUP(LEFT(TRIM(MID(SUBSTITUTE($R29,";",REPT(" ",99)),397,99)),FIND(":",TRIM(MID(SUBSTITUTE($R29,";",REPT(" ",99)),397,99)))-1),Materiales!$A$2:$E$502,5,FALSE)*VALUE(MID(TRIM(MID(SUBSTITUTE($R29,";",REPT(" ",99)),397,99)),FIND(":",TRIM(MID(SUBSTITUTE($R29,";",REPT(" ",99)),397,99)))+1,99)),0) + IFERROR(VLOOKUP(LEFT(TRIM(MID(SUBSTITUTE($R29,";",REPT(" ",99)),496,99)),FIND(":",TRIM(MID(SUBSTITUTE($R29,";",REPT(" ",99)),496,99)))-1),Materiales!$A$2:$E$502,5,FALSE)*VALUE(MID(TRIM(MID(SUBSTITUTE($R29,";",REPT(" ",99)),496,99)),FIND(":",TRIM(MID(SUBSTITUTE($R29,";",REPT(" ",99)),496,99)))+1,99)),0) + IFERROR(VLOOKUP(LEFT(TRIM(MID(SUBSTITUTE($R29,";",REPT(" ",99)),595,99)),FIND(":",TRIM(MID(SUBSTITUTE($R29,";",REPT(" ",99)),595,99)))-1),Materiales!$A$2:$E$502,5,FALSE)*VALUE(MID(TRIM(MID(SUBSTITUTE($R29,";",REPT(" ",99)),595,99)),FIND(":",TRIM(MID(SUBSTITUTE($R29,";",REPT(" ",99)),595,99)))+1,99)),0) + IFERROR(VLOOKUP(LEFT(TRIM(MID(SUBSTITUTE($R29,";",REPT(" ",99)),694,99)),FIND(":",TRIM(MID(SUBSTITUTE($R29,";",REPT(" ",99)),694,99)))-1),Materiales!$A$2:$E$502,5,FALSE)*VALUE(MID(TRIM(MID(SUBSTITUTE($R29,";",REPT(" ",99)),694,99)),FIND(":",TRIM(MID(SUBSTITUTE($R29,";",REPT(" ",99)),694,99)))+1,99)),0) + IFERROR(VLOOKUP(LEFT(TRIM(MID(SUBSTITUTE($R29,";",REPT(" ",99)),793,99)),FIND(":",TRIM(MID(SUBSTITUTE($R29,";",REPT(" ",99)),793,99)))-1),Materiales!$A$2:$E$502,5,FALSE)*VALUE(MID(TRIM(MID(SUBSTITUTE($R29,";",REPT(" ",99)),793,99)),FIND(":",TRIM(MID(SUBSTITUTE($R29,";",REPT(" ",99)),793,99)))+1,99)),0) + IFERROR(VLOOKUP(LEFT(TRIM(MID(SUBSTITUTE($R29,";",REPT(" ",99)),892,99)),FIND(":",TRIM(MID(SUBSTITUTE($R29,";",REPT(" ",99)),892,99)))-1),Materiales!$A$2:$E$502,5,FALSE)*VALUE(MID(TRIM(MID(SUBSTITUTE($R29,";",REPT(" ",99)),892,99)),FIND(":",TRIM(MID(SUBSTITUTE($R29,";",REPT(" ",99)),892,99)))+1,99)),0)))</f>
        <v>0</v>
      </c>
      <c r="T29" s="3"/>
      <c r="U29" s="5">
        <f t="array" ref="U29">IF($A29="","",IF($T29="",0,IFERROR(VLOOKUP(LEFT(TRIM(MID(SUBSTITUTE($T29,";",REPT(" ",99)),1,99)),FIND(":",TRIM(MID(SUBSTITUTE($T29,";",REPT(" ",99)),1,99)))-1),Materiales!$A$2:$E$502,5,FALSE)*VALUE(MID(TRIM(MID(SUBSTITUTE($T29,";",REPT(" ",99)),1,99)),FIND(":",TRIM(MID(SUBSTITUTE($T29,";",REPT(" ",99)),1,99)))+1,99)),0) + IFERROR(VLOOKUP(LEFT(TRIM(MID(SUBSTITUTE($T29,";",REPT(" ",99)),100,99)),FIND(":",TRIM(MID(SUBSTITUTE($T29,";",REPT(" ",99)),100,99)))-1),Materiales!$A$2:$E$502,5,FALSE)*VALUE(MID(TRIM(MID(SUBSTITUTE($T29,";",REPT(" ",99)),100,99)),FIND(":",TRIM(MID(SUBSTITUTE($T29,";",REPT(" ",99)),100,99)))+1,99)),0) + IFERROR(VLOOKUP(LEFT(TRIM(MID(SUBSTITUTE($T29,";",REPT(" ",99)),199,99)),FIND(":",TRIM(MID(SUBSTITUTE($T29,";",REPT(" ",99)),199,99)))-1),Materiales!$A$2:$E$502,5,FALSE)*VALUE(MID(TRIM(MID(SUBSTITUTE($T29,";",REPT(" ",99)),199,99)),FIND(":",TRIM(MID(SUBSTITUTE($T29,";",REPT(" ",99)),199,99)))+1,99)),0) + IFERROR(VLOOKUP(LEFT(TRIM(MID(SUBSTITUTE($T29,";",REPT(" ",99)),298,99)),FIND(":",TRIM(MID(SUBSTITUTE($T29,";",REPT(" ",99)),298,99)))-1),Materiales!$A$2:$E$502,5,FALSE)*VALUE(MID(TRIM(MID(SUBSTITUTE($T29,";",REPT(" ",99)),298,99)),FIND(":",TRIM(MID(SUBSTITUTE($T29,";",REPT(" ",99)),298,99)))+1,99)),0) + IFERROR(VLOOKUP(LEFT(TRIM(MID(SUBSTITUTE($T29,";",REPT(" ",99)),397,99)),FIND(":",TRIM(MID(SUBSTITUTE($T29,";",REPT(" ",99)),397,99)))-1),Materiales!$A$2:$E$502,5,FALSE)*VALUE(MID(TRIM(MID(SUBSTITUTE($T29,";",REPT(" ",99)),397,99)),FIND(":",TRIM(MID(SUBSTITUTE($T29,";",REPT(" ",99)),397,99)))+1,99)),0) + IFERROR(VLOOKUP(LEFT(TRIM(MID(SUBSTITUTE($T29,";",REPT(" ",99)),496,99)),FIND(":",TRIM(MID(SUBSTITUTE($T29,";",REPT(" ",99)),496,99)))-1),Materiales!$A$2:$E$502,5,FALSE)*VALUE(MID(TRIM(MID(SUBSTITUTE($T29,";",REPT(" ",99)),496,99)),FIND(":",TRIM(MID(SUBSTITUTE($T29,";",REPT(" ",99)),496,99)))+1,99)),0) + IFERROR(VLOOKUP(LEFT(TRIM(MID(SUBSTITUTE($T29,";",REPT(" ",99)),595,99)),FIND(":",TRIM(MID(SUBSTITUTE($T29,";",REPT(" ",99)),595,99)))-1),Materiales!$A$2:$E$502,5,FALSE)*VALUE(MID(TRIM(MID(SUBSTITUTE($T29,";",REPT(" ",99)),595,99)),FIND(":",TRIM(MID(SUBSTITUTE($T29,";",REPT(" ",99)),595,99)))+1,99)),0) + IFERROR(VLOOKUP(LEFT(TRIM(MID(SUBSTITUTE($T29,";",REPT(" ",99)),694,99)),FIND(":",TRIM(MID(SUBSTITUTE($T29,";",REPT(" ",99)),694,99)))-1),Materiales!$A$2:$E$502,5,FALSE)*VALUE(MID(TRIM(MID(SUBSTITUTE($T29,";",REPT(" ",99)),694,99)),FIND(":",TRIM(MID(SUBSTITUTE($T29,";",REPT(" ",99)),694,99)))+1,99)),0) + IFERROR(VLOOKUP(LEFT(TRIM(MID(SUBSTITUTE($T29,";",REPT(" ",99)),793,99)),FIND(":",TRIM(MID(SUBSTITUTE($T29,";",REPT(" ",99)),793,99)))-1),Materiales!$A$2:$E$502,5,FALSE)*VALUE(MID(TRIM(MID(SUBSTITUTE($T29,";",REPT(" ",99)),793,99)),FIND(":",TRIM(MID(SUBSTITUTE($T29,";",REPT(" ",99)),793,99)))+1,99)),0) + IFERROR(VLOOKUP(LEFT(TRIM(MID(SUBSTITUTE($T29,";",REPT(" ",99)),892,99)),FIND(":",TRIM(MID(SUBSTITUTE($T29,";",REPT(" ",99)),892,99)))-1),Materiales!$A$2:$E$502,5,FALSE)*VALUE(MID(TRIM(MID(SUBSTITUTE($T29,";",REPT(" ",99)),892,99)),FIND(":",TRIM(MID(SUBSTITUTE($T29,";",REPT(" ",99)),892,99)))+1,99)),0)))</f>
        <v>0</v>
      </c>
      <c r="V29" s="3"/>
      <c r="W29" s="5">
        <f t="array" ref="W29">IF($A29="","",IF($V29="",0,IFERROR(VLOOKUP(LEFT(TRIM(MID(SUBSTITUTE($V29,";",REPT(" ",99)),1,99)),FIND(":",TRIM(MID(SUBSTITUTE($V29,";",REPT(" ",99)),1,99)))-1),Materiales!$A$2:$E$502,5,FALSE)*VALUE(MID(TRIM(MID(SUBSTITUTE($V29,";",REPT(" ",99)),1,99)),FIND(":",TRIM(MID(SUBSTITUTE($V29,";",REPT(" ",99)),1,99)))+1,99)),0) + IFERROR(VLOOKUP(LEFT(TRIM(MID(SUBSTITUTE($V29,";",REPT(" ",99)),100,99)),FIND(":",TRIM(MID(SUBSTITUTE($V29,";",REPT(" ",99)),100,99)))-1),Materiales!$A$2:$E$502,5,FALSE)*VALUE(MID(TRIM(MID(SUBSTITUTE($V29,";",REPT(" ",99)),100,99)),FIND(":",TRIM(MID(SUBSTITUTE($V29,";",REPT(" ",99)),100,99)))+1,99)),0) + IFERROR(VLOOKUP(LEFT(TRIM(MID(SUBSTITUTE($V29,";",REPT(" ",99)),199,99)),FIND(":",TRIM(MID(SUBSTITUTE($V29,";",REPT(" ",99)),199,99)))-1),Materiales!$A$2:$E$502,5,FALSE)*VALUE(MID(TRIM(MID(SUBSTITUTE($V29,";",REPT(" ",99)),199,99)),FIND(":",TRIM(MID(SUBSTITUTE($V29,";",REPT(" ",99)),199,99)))+1,99)),0) + IFERROR(VLOOKUP(LEFT(TRIM(MID(SUBSTITUTE($V29,";",REPT(" ",99)),298,99)),FIND(":",TRIM(MID(SUBSTITUTE($V29,";",REPT(" ",99)),298,99)))-1),Materiales!$A$2:$E$502,5,FALSE)*VALUE(MID(TRIM(MID(SUBSTITUTE($V29,";",REPT(" ",99)),298,99)),FIND(":",TRIM(MID(SUBSTITUTE($V29,";",REPT(" ",99)),298,99)))+1,99)),0) + IFERROR(VLOOKUP(LEFT(TRIM(MID(SUBSTITUTE($V29,";",REPT(" ",99)),397,99)),FIND(":",TRIM(MID(SUBSTITUTE($V29,";",REPT(" ",99)),397,99)))-1),Materiales!$A$2:$E$502,5,FALSE)*VALUE(MID(TRIM(MID(SUBSTITUTE($V29,";",REPT(" ",99)),397,99)),FIND(":",TRIM(MID(SUBSTITUTE($V29,";",REPT(" ",99)),397,99)))+1,99)),0) + IFERROR(VLOOKUP(LEFT(TRIM(MID(SUBSTITUTE($V29,";",REPT(" ",99)),496,99)),FIND(":",TRIM(MID(SUBSTITUTE($V29,";",REPT(" ",99)),496,99)))-1),Materiales!$A$2:$E$502,5,FALSE)*VALUE(MID(TRIM(MID(SUBSTITUTE($V29,";",REPT(" ",99)),496,99)),FIND(":",TRIM(MID(SUBSTITUTE($V29,";",REPT(" ",99)),496,99)))+1,99)),0) + IFERROR(VLOOKUP(LEFT(TRIM(MID(SUBSTITUTE($V29,";",REPT(" ",99)),595,99)),FIND(":",TRIM(MID(SUBSTITUTE($V29,";",REPT(" ",99)),595,99)))-1),Materiales!$A$2:$E$502,5,FALSE)*VALUE(MID(TRIM(MID(SUBSTITUTE($V29,";",REPT(" ",99)),595,99)),FIND(":",TRIM(MID(SUBSTITUTE($V29,";",REPT(" ",99)),595,99)))+1,99)),0) + IFERROR(VLOOKUP(LEFT(TRIM(MID(SUBSTITUTE($V29,";",REPT(" ",99)),694,99)),FIND(":",TRIM(MID(SUBSTITUTE($V29,";",REPT(" ",99)),694,99)))-1),Materiales!$A$2:$E$502,5,FALSE)*VALUE(MID(TRIM(MID(SUBSTITUTE($V29,";",REPT(" ",99)),694,99)),FIND(":",TRIM(MID(SUBSTITUTE($V29,";",REPT(" ",99)),694,99)))+1,99)),0) + IFERROR(VLOOKUP(LEFT(TRIM(MID(SUBSTITUTE($V29,";",REPT(" ",99)),793,99)),FIND(":",TRIM(MID(SUBSTITUTE($V29,";",REPT(" ",99)),793,99)))-1),Materiales!$A$2:$E$502,5,FALSE)*VALUE(MID(TRIM(MID(SUBSTITUTE($V29,";",REPT(" ",99)),793,99)),FIND(":",TRIM(MID(SUBSTITUTE($V29,";",REPT(" ",99)),793,99)))+1,99)),0) + IFERROR(VLOOKUP(LEFT(TRIM(MID(SUBSTITUTE($V29,";",REPT(" ",99)),892,99)),FIND(":",TRIM(MID(SUBSTITUTE($V29,";",REPT(" ",99)),892,99)))-1),Materiales!$A$2:$E$502,5,FALSE)*VALUE(MID(TRIM(MID(SUBSTITUTE($V29,";",REPT(" ",99)),892,99)),FIND(":",TRIM(MID(SUBSTITUTE($V29,";",REPT(" ",99)),892,99)))+1,99)),0)))</f>
        <v>0</v>
      </c>
      <c r="X29" s="39">
        <f t="shared" si="13"/>
        <v>311.2453954</v>
      </c>
      <c r="Y29" s="40" t="s">
        <v>195</v>
      </c>
      <c r="Z29" s="41">
        <f t="shared" si="14"/>
        <v>933.7361863</v>
      </c>
      <c r="AA29" s="42">
        <v>0.0</v>
      </c>
      <c r="AB29" s="18">
        <f t="shared" si="15"/>
        <v>933.7361863</v>
      </c>
      <c r="AC29" s="43">
        <v>900.0</v>
      </c>
      <c r="AD29" s="42">
        <f t="shared" si="16"/>
        <v>622.4907909</v>
      </c>
      <c r="AE29" s="44">
        <f t="shared" si="17"/>
        <v>588.7546046</v>
      </c>
      <c r="AF29" s="45">
        <f t="shared" si="18"/>
        <v>0.9458045214</v>
      </c>
    </row>
    <row r="30">
      <c r="A30" s="17" t="s">
        <v>227</v>
      </c>
      <c r="B30" s="17" t="s">
        <v>16</v>
      </c>
      <c r="C30" s="46">
        <v>1.0</v>
      </c>
      <c r="D30" s="38"/>
      <c r="E30" s="38"/>
      <c r="F30" s="18">
        <v>17.0</v>
      </c>
      <c r="G30" s="5">
        <f t="array" ref="G30">IF($A30="","",IFERROR($F30*(N($C30)*XLOOKUP($B30,Ceras!$A$2:$A$500,Ceras!$G$2:$G$500,0)+IF($D30="",0,N($E30)*XLOOKUP($D30,Ceras!$A$2:$A$500,Ceras!$G$2:$G$500,0))),"Revisar cera"))</f>
        <v>306</v>
      </c>
      <c r="H30" s="5">
        <f t="shared" si="11"/>
        <v>25.5</v>
      </c>
      <c r="I30" s="17" t="s">
        <v>32</v>
      </c>
      <c r="J30" s="18">
        <v>3.0</v>
      </c>
      <c r="K30" s="5">
        <f t="array" ref="K30">IF($A30="","",IFERROR($J30*XLOOKUP($I30,Pabilos!$A$2:$A$500,Pabilos!$H$2:$H$500,0),"Revisar pabilo"))</f>
        <v>54</v>
      </c>
      <c r="L30" s="17" t="s">
        <v>55</v>
      </c>
      <c r="M30" s="14">
        <f t="shared" si="12"/>
        <v>1.7</v>
      </c>
      <c r="N30" s="5">
        <f t="array" ref="N30">IF($A30="","",IFERROR($M30*XLOOKUP($L30,Esencias!$A$2:$A$501,Esencias!$G$2:$G$501,0),"Revisar esencia"))</f>
        <v>239.4366197</v>
      </c>
      <c r="O30" s="17" t="s">
        <v>81</v>
      </c>
      <c r="P30" s="18">
        <v>0.5</v>
      </c>
      <c r="Q30" s="5">
        <f t="array" ref="Q30">IF($A30="","",IFERROR(IF($P30="",1,$P30)*XLOOKUP($O30,Colores!$A$2:$A$500,Colores!$H$2:$H$500,0),"Revisar color"))</f>
        <v>46.15384615</v>
      </c>
      <c r="R30" s="3"/>
      <c r="S30" s="5">
        <f t="array" ref="S30">IF($A30="","",IF($R30="",0,IFERROR(VLOOKUP(LEFT(TRIM(MID(SUBSTITUTE($R30,";",REPT(" ",99)),1,99)),FIND(":",TRIM(MID(SUBSTITUTE($R30,";",REPT(" ",99)),1,99)))-1),Materiales!$A$2:$E$502,5,FALSE)*VALUE(MID(TRIM(MID(SUBSTITUTE($R30,";",REPT(" ",99)),1,99)),FIND(":",TRIM(MID(SUBSTITUTE($R30,";",REPT(" ",99)),1,99)))+1,99)),0) + IFERROR(VLOOKUP(LEFT(TRIM(MID(SUBSTITUTE($R30,";",REPT(" ",99)),100,99)),FIND(":",TRIM(MID(SUBSTITUTE($R30,";",REPT(" ",99)),100,99)))-1),Materiales!$A$2:$E$502,5,FALSE)*VALUE(MID(TRIM(MID(SUBSTITUTE($R30,";",REPT(" ",99)),100,99)),FIND(":",TRIM(MID(SUBSTITUTE($R30,";",REPT(" ",99)),100,99)))+1,99)),0) + IFERROR(VLOOKUP(LEFT(TRIM(MID(SUBSTITUTE($R30,";",REPT(" ",99)),199,99)),FIND(":",TRIM(MID(SUBSTITUTE($R30,";",REPT(" ",99)),199,99)))-1),Materiales!$A$2:$E$502,5,FALSE)*VALUE(MID(TRIM(MID(SUBSTITUTE($R30,";",REPT(" ",99)),199,99)),FIND(":",TRIM(MID(SUBSTITUTE($R30,";",REPT(" ",99)),199,99)))+1,99)),0) + IFERROR(VLOOKUP(LEFT(TRIM(MID(SUBSTITUTE($R30,";",REPT(" ",99)),298,99)),FIND(":",TRIM(MID(SUBSTITUTE($R30,";",REPT(" ",99)),298,99)))-1),Materiales!$A$2:$E$502,5,FALSE)*VALUE(MID(TRIM(MID(SUBSTITUTE($R30,";",REPT(" ",99)),298,99)),FIND(":",TRIM(MID(SUBSTITUTE($R30,";",REPT(" ",99)),298,99)))+1,99)),0) + IFERROR(VLOOKUP(LEFT(TRIM(MID(SUBSTITUTE($R30,";",REPT(" ",99)),397,99)),FIND(":",TRIM(MID(SUBSTITUTE($R30,";",REPT(" ",99)),397,99)))-1),Materiales!$A$2:$E$502,5,FALSE)*VALUE(MID(TRIM(MID(SUBSTITUTE($R30,";",REPT(" ",99)),397,99)),FIND(":",TRIM(MID(SUBSTITUTE($R30,";",REPT(" ",99)),397,99)))+1,99)),0) + IFERROR(VLOOKUP(LEFT(TRIM(MID(SUBSTITUTE($R30,";",REPT(" ",99)),496,99)),FIND(":",TRIM(MID(SUBSTITUTE($R30,";",REPT(" ",99)),496,99)))-1),Materiales!$A$2:$E$502,5,FALSE)*VALUE(MID(TRIM(MID(SUBSTITUTE($R30,";",REPT(" ",99)),496,99)),FIND(":",TRIM(MID(SUBSTITUTE($R30,";",REPT(" ",99)),496,99)))+1,99)),0) + IFERROR(VLOOKUP(LEFT(TRIM(MID(SUBSTITUTE($R30,";",REPT(" ",99)),595,99)),FIND(":",TRIM(MID(SUBSTITUTE($R30,";",REPT(" ",99)),595,99)))-1),Materiales!$A$2:$E$502,5,FALSE)*VALUE(MID(TRIM(MID(SUBSTITUTE($R30,";",REPT(" ",99)),595,99)),FIND(":",TRIM(MID(SUBSTITUTE($R30,";",REPT(" ",99)),595,99)))+1,99)),0) + IFERROR(VLOOKUP(LEFT(TRIM(MID(SUBSTITUTE($R30,";",REPT(" ",99)),694,99)),FIND(":",TRIM(MID(SUBSTITUTE($R30,";",REPT(" ",99)),694,99)))-1),Materiales!$A$2:$E$502,5,FALSE)*VALUE(MID(TRIM(MID(SUBSTITUTE($R30,";",REPT(" ",99)),694,99)),FIND(":",TRIM(MID(SUBSTITUTE($R30,";",REPT(" ",99)),694,99)))+1,99)),0) + IFERROR(VLOOKUP(LEFT(TRIM(MID(SUBSTITUTE($R30,";",REPT(" ",99)),793,99)),FIND(":",TRIM(MID(SUBSTITUTE($R30,";",REPT(" ",99)),793,99)))-1),Materiales!$A$2:$E$502,5,FALSE)*VALUE(MID(TRIM(MID(SUBSTITUTE($R30,";",REPT(" ",99)),793,99)),FIND(":",TRIM(MID(SUBSTITUTE($R30,";",REPT(" ",99)),793,99)))+1,99)),0) + IFERROR(VLOOKUP(LEFT(TRIM(MID(SUBSTITUTE($R30,";",REPT(" ",99)),892,99)),FIND(":",TRIM(MID(SUBSTITUTE($R30,";",REPT(" ",99)),892,99)))-1),Materiales!$A$2:$E$502,5,FALSE)*VALUE(MID(TRIM(MID(SUBSTITUTE($R30,";",REPT(" ",99)),892,99)),FIND(":",TRIM(MID(SUBSTITUTE($R30,";",REPT(" ",99)),892,99)))+1,99)),0)))</f>
        <v>0</v>
      </c>
      <c r="T30" s="3"/>
      <c r="U30" s="5">
        <f t="array" ref="U30">IF($A30="","",IF($T30="",0,IFERROR(VLOOKUP(LEFT(TRIM(MID(SUBSTITUTE($T30,";",REPT(" ",99)),1,99)),FIND(":",TRIM(MID(SUBSTITUTE($T30,";",REPT(" ",99)),1,99)))-1),Materiales!$A$2:$E$502,5,FALSE)*VALUE(MID(TRIM(MID(SUBSTITUTE($T30,";",REPT(" ",99)),1,99)),FIND(":",TRIM(MID(SUBSTITUTE($T30,";",REPT(" ",99)),1,99)))+1,99)),0) + IFERROR(VLOOKUP(LEFT(TRIM(MID(SUBSTITUTE($T30,";",REPT(" ",99)),100,99)),FIND(":",TRIM(MID(SUBSTITUTE($T30,";",REPT(" ",99)),100,99)))-1),Materiales!$A$2:$E$502,5,FALSE)*VALUE(MID(TRIM(MID(SUBSTITUTE($T30,";",REPT(" ",99)),100,99)),FIND(":",TRIM(MID(SUBSTITUTE($T30,";",REPT(" ",99)),100,99)))+1,99)),0) + IFERROR(VLOOKUP(LEFT(TRIM(MID(SUBSTITUTE($T30,";",REPT(" ",99)),199,99)),FIND(":",TRIM(MID(SUBSTITUTE($T30,";",REPT(" ",99)),199,99)))-1),Materiales!$A$2:$E$502,5,FALSE)*VALUE(MID(TRIM(MID(SUBSTITUTE($T30,";",REPT(" ",99)),199,99)),FIND(":",TRIM(MID(SUBSTITUTE($T30,";",REPT(" ",99)),199,99)))+1,99)),0) + IFERROR(VLOOKUP(LEFT(TRIM(MID(SUBSTITUTE($T30,";",REPT(" ",99)),298,99)),FIND(":",TRIM(MID(SUBSTITUTE($T30,";",REPT(" ",99)),298,99)))-1),Materiales!$A$2:$E$502,5,FALSE)*VALUE(MID(TRIM(MID(SUBSTITUTE($T30,";",REPT(" ",99)),298,99)),FIND(":",TRIM(MID(SUBSTITUTE($T30,";",REPT(" ",99)),298,99)))+1,99)),0) + IFERROR(VLOOKUP(LEFT(TRIM(MID(SUBSTITUTE($T30,";",REPT(" ",99)),397,99)),FIND(":",TRIM(MID(SUBSTITUTE($T30,";",REPT(" ",99)),397,99)))-1),Materiales!$A$2:$E$502,5,FALSE)*VALUE(MID(TRIM(MID(SUBSTITUTE($T30,";",REPT(" ",99)),397,99)),FIND(":",TRIM(MID(SUBSTITUTE($T30,";",REPT(" ",99)),397,99)))+1,99)),0) + IFERROR(VLOOKUP(LEFT(TRIM(MID(SUBSTITUTE($T30,";",REPT(" ",99)),496,99)),FIND(":",TRIM(MID(SUBSTITUTE($T30,";",REPT(" ",99)),496,99)))-1),Materiales!$A$2:$E$502,5,FALSE)*VALUE(MID(TRIM(MID(SUBSTITUTE($T30,";",REPT(" ",99)),496,99)),FIND(":",TRIM(MID(SUBSTITUTE($T30,";",REPT(" ",99)),496,99)))+1,99)),0) + IFERROR(VLOOKUP(LEFT(TRIM(MID(SUBSTITUTE($T30,";",REPT(" ",99)),595,99)),FIND(":",TRIM(MID(SUBSTITUTE($T30,";",REPT(" ",99)),595,99)))-1),Materiales!$A$2:$E$502,5,FALSE)*VALUE(MID(TRIM(MID(SUBSTITUTE($T30,";",REPT(" ",99)),595,99)),FIND(":",TRIM(MID(SUBSTITUTE($T30,";",REPT(" ",99)),595,99)))+1,99)),0) + IFERROR(VLOOKUP(LEFT(TRIM(MID(SUBSTITUTE($T30,";",REPT(" ",99)),694,99)),FIND(":",TRIM(MID(SUBSTITUTE($T30,";",REPT(" ",99)),694,99)))-1),Materiales!$A$2:$E$502,5,FALSE)*VALUE(MID(TRIM(MID(SUBSTITUTE($T30,";",REPT(" ",99)),694,99)),FIND(":",TRIM(MID(SUBSTITUTE($T30,";",REPT(" ",99)),694,99)))+1,99)),0) + IFERROR(VLOOKUP(LEFT(TRIM(MID(SUBSTITUTE($T30,";",REPT(" ",99)),793,99)),FIND(":",TRIM(MID(SUBSTITUTE($T30,";",REPT(" ",99)),793,99)))-1),Materiales!$A$2:$E$502,5,FALSE)*VALUE(MID(TRIM(MID(SUBSTITUTE($T30,";",REPT(" ",99)),793,99)),FIND(":",TRIM(MID(SUBSTITUTE($T30,";",REPT(" ",99)),793,99)))+1,99)),0) + IFERROR(VLOOKUP(LEFT(TRIM(MID(SUBSTITUTE($T30,";",REPT(" ",99)),892,99)),FIND(":",TRIM(MID(SUBSTITUTE($T30,";",REPT(" ",99)),892,99)))-1),Materiales!$A$2:$E$502,5,FALSE)*VALUE(MID(TRIM(MID(SUBSTITUTE($T30,";",REPT(" ",99)),892,99)),FIND(":",TRIM(MID(SUBSTITUTE($T30,";",REPT(" ",99)),892,99)))+1,99)),0)))</f>
        <v>0</v>
      </c>
      <c r="V30" s="3"/>
      <c r="W30" s="5">
        <f t="array" ref="W30">IF($A30="","",IF($V30="",0,IFERROR(VLOOKUP(LEFT(TRIM(MID(SUBSTITUTE($V30,";",REPT(" ",99)),1,99)),FIND(":",TRIM(MID(SUBSTITUTE($V30,";",REPT(" ",99)),1,99)))-1),Materiales!$A$2:$E$502,5,FALSE)*VALUE(MID(TRIM(MID(SUBSTITUTE($V30,";",REPT(" ",99)),1,99)),FIND(":",TRIM(MID(SUBSTITUTE($V30,";",REPT(" ",99)),1,99)))+1,99)),0) + IFERROR(VLOOKUP(LEFT(TRIM(MID(SUBSTITUTE($V30,";",REPT(" ",99)),100,99)),FIND(":",TRIM(MID(SUBSTITUTE($V30,";",REPT(" ",99)),100,99)))-1),Materiales!$A$2:$E$502,5,FALSE)*VALUE(MID(TRIM(MID(SUBSTITUTE($V30,";",REPT(" ",99)),100,99)),FIND(":",TRIM(MID(SUBSTITUTE($V30,";",REPT(" ",99)),100,99)))+1,99)),0) + IFERROR(VLOOKUP(LEFT(TRIM(MID(SUBSTITUTE($V30,";",REPT(" ",99)),199,99)),FIND(":",TRIM(MID(SUBSTITUTE($V30,";",REPT(" ",99)),199,99)))-1),Materiales!$A$2:$E$502,5,FALSE)*VALUE(MID(TRIM(MID(SUBSTITUTE($V30,";",REPT(" ",99)),199,99)),FIND(":",TRIM(MID(SUBSTITUTE($V30,";",REPT(" ",99)),199,99)))+1,99)),0) + IFERROR(VLOOKUP(LEFT(TRIM(MID(SUBSTITUTE($V30,";",REPT(" ",99)),298,99)),FIND(":",TRIM(MID(SUBSTITUTE($V30,";",REPT(" ",99)),298,99)))-1),Materiales!$A$2:$E$502,5,FALSE)*VALUE(MID(TRIM(MID(SUBSTITUTE($V30,";",REPT(" ",99)),298,99)),FIND(":",TRIM(MID(SUBSTITUTE($V30,";",REPT(" ",99)),298,99)))+1,99)),0) + IFERROR(VLOOKUP(LEFT(TRIM(MID(SUBSTITUTE($V30,";",REPT(" ",99)),397,99)),FIND(":",TRIM(MID(SUBSTITUTE($V30,";",REPT(" ",99)),397,99)))-1),Materiales!$A$2:$E$502,5,FALSE)*VALUE(MID(TRIM(MID(SUBSTITUTE($V30,";",REPT(" ",99)),397,99)),FIND(":",TRIM(MID(SUBSTITUTE($V30,";",REPT(" ",99)),397,99)))+1,99)),0) + IFERROR(VLOOKUP(LEFT(TRIM(MID(SUBSTITUTE($V30,";",REPT(" ",99)),496,99)),FIND(":",TRIM(MID(SUBSTITUTE($V30,";",REPT(" ",99)),496,99)))-1),Materiales!$A$2:$E$502,5,FALSE)*VALUE(MID(TRIM(MID(SUBSTITUTE($V30,";",REPT(" ",99)),496,99)),FIND(":",TRIM(MID(SUBSTITUTE($V30,";",REPT(" ",99)),496,99)))+1,99)),0) + IFERROR(VLOOKUP(LEFT(TRIM(MID(SUBSTITUTE($V30,";",REPT(" ",99)),595,99)),FIND(":",TRIM(MID(SUBSTITUTE($V30,";",REPT(" ",99)),595,99)))-1),Materiales!$A$2:$E$502,5,FALSE)*VALUE(MID(TRIM(MID(SUBSTITUTE($V30,";",REPT(" ",99)),595,99)),FIND(":",TRIM(MID(SUBSTITUTE($V30,";",REPT(" ",99)),595,99)))+1,99)),0) + IFERROR(VLOOKUP(LEFT(TRIM(MID(SUBSTITUTE($V30,";",REPT(" ",99)),694,99)),FIND(":",TRIM(MID(SUBSTITUTE($V30,";",REPT(" ",99)),694,99)))-1),Materiales!$A$2:$E$502,5,FALSE)*VALUE(MID(TRIM(MID(SUBSTITUTE($V30,";",REPT(" ",99)),694,99)),FIND(":",TRIM(MID(SUBSTITUTE($V30,";",REPT(" ",99)),694,99)))+1,99)),0) + IFERROR(VLOOKUP(LEFT(TRIM(MID(SUBSTITUTE($V30,";",REPT(" ",99)),793,99)),FIND(":",TRIM(MID(SUBSTITUTE($V30,";",REPT(" ",99)),793,99)))-1),Materiales!$A$2:$E$502,5,FALSE)*VALUE(MID(TRIM(MID(SUBSTITUTE($V30,";",REPT(" ",99)),793,99)),FIND(":",TRIM(MID(SUBSTITUTE($V30,";",REPT(" ",99)),793,99)))+1,99)),0) + IFERROR(VLOOKUP(LEFT(TRIM(MID(SUBSTITUTE($V30,";",REPT(" ",99)),892,99)),FIND(":",TRIM(MID(SUBSTITUTE($V30,";",REPT(" ",99)),892,99)))-1),Materiales!$A$2:$E$502,5,FALSE)*VALUE(MID(TRIM(MID(SUBSTITUTE($V30,";",REPT(" ",99)),892,99)),FIND(":",TRIM(MID(SUBSTITUTE($V30,";",REPT(" ",99)),892,99)))+1,99)),0)))</f>
        <v>0</v>
      </c>
      <c r="X30" s="39">
        <f t="shared" si="13"/>
        <v>671.0904659</v>
      </c>
      <c r="Y30" s="40" t="s">
        <v>195</v>
      </c>
      <c r="Z30" s="41">
        <f t="shared" si="14"/>
        <v>2013.271398</v>
      </c>
      <c r="AA30" s="42">
        <v>0.0</v>
      </c>
      <c r="AB30" s="18">
        <f t="shared" si="15"/>
        <v>2013.271398</v>
      </c>
      <c r="AC30" s="43">
        <v>2000.0</v>
      </c>
      <c r="AD30" s="42">
        <f t="shared" si="16"/>
        <v>1342.180932</v>
      </c>
      <c r="AE30" s="44">
        <f t="shared" si="17"/>
        <v>1328.909534</v>
      </c>
      <c r="AF30" s="45">
        <f t="shared" si="18"/>
        <v>0.9901120651</v>
      </c>
    </row>
    <row r="31" ht="15.75" customHeight="1">
      <c r="A31" s="17" t="s">
        <v>228</v>
      </c>
      <c r="B31" s="17" t="s">
        <v>16</v>
      </c>
      <c r="C31" s="46">
        <v>1.0</v>
      </c>
      <c r="D31" s="38"/>
      <c r="E31" s="38"/>
      <c r="F31" s="18">
        <v>5.0</v>
      </c>
      <c r="G31" s="5">
        <f t="array" ref="G31">IF($A31="","",IFERROR($F31*(N($C31)*XLOOKUP($B31,Ceras!$A$2:$A$500,Ceras!$G$2:$G$500,0)+IF($D31="",0,N($E31)*XLOOKUP($D31,Ceras!$A$2:$A$500,Ceras!$G$2:$G$500,0))),"Revisar cera"))</f>
        <v>90</v>
      </c>
      <c r="H31" s="5">
        <f t="shared" si="11"/>
        <v>7.5</v>
      </c>
      <c r="I31" s="17" t="s">
        <v>26</v>
      </c>
      <c r="J31" s="18">
        <v>2.0</v>
      </c>
      <c r="K31" s="5">
        <f t="array" ref="K31">IF($A31="","",IFERROR($J31*XLOOKUP($I31,Pabilos!$A$2:$A$500,Pabilos!$H$2:$H$500,0),"Revisar pabilo"))</f>
        <v>30</v>
      </c>
      <c r="L31" s="17" t="s">
        <v>55</v>
      </c>
      <c r="M31" s="14">
        <f t="shared" si="12"/>
        <v>0.5</v>
      </c>
      <c r="N31" s="5">
        <f t="array" ref="N31">IF($A31="","",IFERROR($M31*XLOOKUP($L31,Esencias!$A$2:$A$501,Esencias!$G$2:$G$501,0),"Revisar esencia"))</f>
        <v>70.42253521</v>
      </c>
      <c r="O31" s="17" t="s">
        <v>81</v>
      </c>
      <c r="P31" s="18">
        <v>0.5</v>
      </c>
      <c r="Q31" s="5">
        <f t="array" ref="Q31">IF($A31="","",IFERROR(IF($P31="",1,$P31)*XLOOKUP($O31,Colores!$A$2:$A$500,Colores!$H$2:$H$500,0),"Revisar color"))</f>
        <v>46.15384615</v>
      </c>
      <c r="R31" s="3"/>
      <c r="S31" s="5">
        <f t="array" ref="S31">IF($A31="","",IF($R31="",0,IFERROR(VLOOKUP(LEFT(TRIM(MID(SUBSTITUTE($R31,";",REPT(" ",99)),1,99)),FIND(":",TRIM(MID(SUBSTITUTE($R31,";",REPT(" ",99)),1,99)))-1),Materiales!$A$2:$E$502,5,FALSE)*VALUE(MID(TRIM(MID(SUBSTITUTE($R31,";",REPT(" ",99)),1,99)),FIND(":",TRIM(MID(SUBSTITUTE($R31,";",REPT(" ",99)),1,99)))+1,99)),0) + IFERROR(VLOOKUP(LEFT(TRIM(MID(SUBSTITUTE($R31,";",REPT(" ",99)),100,99)),FIND(":",TRIM(MID(SUBSTITUTE($R31,";",REPT(" ",99)),100,99)))-1),Materiales!$A$2:$E$502,5,FALSE)*VALUE(MID(TRIM(MID(SUBSTITUTE($R31,";",REPT(" ",99)),100,99)),FIND(":",TRIM(MID(SUBSTITUTE($R31,";",REPT(" ",99)),100,99)))+1,99)),0) + IFERROR(VLOOKUP(LEFT(TRIM(MID(SUBSTITUTE($R31,";",REPT(" ",99)),199,99)),FIND(":",TRIM(MID(SUBSTITUTE($R31,";",REPT(" ",99)),199,99)))-1),Materiales!$A$2:$E$502,5,FALSE)*VALUE(MID(TRIM(MID(SUBSTITUTE($R31,";",REPT(" ",99)),199,99)),FIND(":",TRIM(MID(SUBSTITUTE($R31,";",REPT(" ",99)),199,99)))+1,99)),0) + IFERROR(VLOOKUP(LEFT(TRIM(MID(SUBSTITUTE($R31,";",REPT(" ",99)),298,99)),FIND(":",TRIM(MID(SUBSTITUTE($R31,";",REPT(" ",99)),298,99)))-1),Materiales!$A$2:$E$502,5,FALSE)*VALUE(MID(TRIM(MID(SUBSTITUTE($R31,";",REPT(" ",99)),298,99)),FIND(":",TRIM(MID(SUBSTITUTE($R31,";",REPT(" ",99)),298,99)))+1,99)),0) + IFERROR(VLOOKUP(LEFT(TRIM(MID(SUBSTITUTE($R31,";",REPT(" ",99)),397,99)),FIND(":",TRIM(MID(SUBSTITUTE($R31,";",REPT(" ",99)),397,99)))-1),Materiales!$A$2:$E$502,5,FALSE)*VALUE(MID(TRIM(MID(SUBSTITUTE($R31,";",REPT(" ",99)),397,99)),FIND(":",TRIM(MID(SUBSTITUTE($R31,";",REPT(" ",99)),397,99)))+1,99)),0) + IFERROR(VLOOKUP(LEFT(TRIM(MID(SUBSTITUTE($R31,";",REPT(" ",99)),496,99)),FIND(":",TRIM(MID(SUBSTITUTE($R31,";",REPT(" ",99)),496,99)))-1),Materiales!$A$2:$E$502,5,FALSE)*VALUE(MID(TRIM(MID(SUBSTITUTE($R31,";",REPT(" ",99)),496,99)),FIND(":",TRIM(MID(SUBSTITUTE($R31,";",REPT(" ",99)),496,99)))+1,99)),0) + IFERROR(VLOOKUP(LEFT(TRIM(MID(SUBSTITUTE($R31,";",REPT(" ",99)),595,99)),FIND(":",TRIM(MID(SUBSTITUTE($R31,";",REPT(" ",99)),595,99)))-1),Materiales!$A$2:$E$502,5,FALSE)*VALUE(MID(TRIM(MID(SUBSTITUTE($R31,";",REPT(" ",99)),595,99)),FIND(":",TRIM(MID(SUBSTITUTE($R31,";",REPT(" ",99)),595,99)))+1,99)),0) + IFERROR(VLOOKUP(LEFT(TRIM(MID(SUBSTITUTE($R31,";",REPT(" ",99)),694,99)),FIND(":",TRIM(MID(SUBSTITUTE($R31,";",REPT(" ",99)),694,99)))-1),Materiales!$A$2:$E$502,5,FALSE)*VALUE(MID(TRIM(MID(SUBSTITUTE($R31,";",REPT(" ",99)),694,99)),FIND(":",TRIM(MID(SUBSTITUTE($R31,";",REPT(" ",99)),694,99)))+1,99)),0) + IFERROR(VLOOKUP(LEFT(TRIM(MID(SUBSTITUTE($R31,";",REPT(" ",99)),793,99)),FIND(":",TRIM(MID(SUBSTITUTE($R31,";",REPT(" ",99)),793,99)))-1),Materiales!$A$2:$E$502,5,FALSE)*VALUE(MID(TRIM(MID(SUBSTITUTE($R31,";",REPT(" ",99)),793,99)),FIND(":",TRIM(MID(SUBSTITUTE($R31,";",REPT(" ",99)),793,99)))+1,99)),0) + IFERROR(VLOOKUP(LEFT(TRIM(MID(SUBSTITUTE($R31,";",REPT(" ",99)),892,99)),FIND(":",TRIM(MID(SUBSTITUTE($R31,";",REPT(" ",99)),892,99)))-1),Materiales!$A$2:$E$502,5,FALSE)*VALUE(MID(TRIM(MID(SUBSTITUTE($R31,";",REPT(" ",99)),892,99)),FIND(":",TRIM(MID(SUBSTITUTE($R31,";",REPT(" ",99)),892,99)))+1,99)),0)))</f>
        <v>0</v>
      </c>
      <c r="T31" s="3"/>
      <c r="U31" s="5">
        <f t="array" ref="U31">IF($A31="","",IF($T31="",0,IFERROR(VLOOKUP(LEFT(TRIM(MID(SUBSTITUTE($T31,";",REPT(" ",99)),1,99)),FIND(":",TRIM(MID(SUBSTITUTE($T31,";",REPT(" ",99)),1,99)))-1),Materiales!$A$2:$E$502,5,FALSE)*VALUE(MID(TRIM(MID(SUBSTITUTE($T31,";",REPT(" ",99)),1,99)),FIND(":",TRIM(MID(SUBSTITUTE($T31,";",REPT(" ",99)),1,99)))+1,99)),0) + IFERROR(VLOOKUP(LEFT(TRIM(MID(SUBSTITUTE($T31,";",REPT(" ",99)),100,99)),FIND(":",TRIM(MID(SUBSTITUTE($T31,";",REPT(" ",99)),100,99)))-1),Materiales!$A$2:$E$502,5,FALSE)*VALUE(MID(TRIM(MID(SUBSTITUTE($T31,";",REPT(" ",99)),100,99)),FIND(":",TRIM(MID(SUBSTITUTE($T31,";",REPT(" ",99)),100,99)))+1,99)),0) + IFERROR(VLOOKUP(LEFT(TRIM(MID(SUBSTITUTE($T31,";",REPT(" ",99)),199,99)),FIND(":",TRIM(MID(SUBSTITUTE($T31,";",REPT(" ",99)),199,99)))-1),Materiales!$A$2:$E$502,5,FALSE)*VALUE(MID(TRIM(MID(SUBSTITUTE($T31,";",REPT(" ",99)),199,99)),FIND(":",TRIM(MID(SUBSTITUTE($T31,";",REPT(" ",99)),199,99)))+1,99)),0) + IFERROR(VLOOKUP(LEFT(TRIM(MID(SUBSTITUTE($T31,";",REPT(" ",99)),298,99)),FIND(":",TRIM(MID(SUBSTITUTE($T31,";",REPT(" ",99)),298,99)))-1),Materiales!$A$2:$E$502,5,FALSE)*VALUE(MID(TRIM(MID(SUBSTITUTE($T31,";",REPT(" ",99)),298,99)),FIND(":",TRIM(MID(SUBSTITUTE($T31,";",REPT(" ",99)),298,99)))+1,99)),0) + IFERROR(VLOOKUP(LEFT(TRIM(MID(SUBSTITUTE($T31,";",REPT(" ",99)),397,99)),FIND(":",TRIM(MID(SUBSTITUTE($T31,";",REPT(" ",99)),397,99)))-1),Materiales!$A$2:$E$502,5,FALSE)*VALUE(MID(TRIM(MID(SUBSTITUTE($T31,";",REPT(" ",99)),397,99)),FIND(":",TRIM(MID(SUBSTITUTE($T31,";",REPT(" ",99)),397,99)))+1,99)),0) + IFERROR(VLOOKUP(LEFT(TRIM(MID(SUBSTITUTE($T31,";",REPT(" ",99)),496,99)),FIND(":",TRIM(MID(SUBSTITUTE($T31,";",REPT(" ",99)),496,99)))-1),Materiales!$A$2:$E$502,5,FALSE)*VALUE(MID(TRIM(MID(SUBSTITUTE($T31,";",REPT(" ",99)),496,99)),FIND(":",TRIM(MID(SUBSTITUTE($T31,";",REPT(" ",99)),496,99)))+1,99)),0) + IFERROR(VLOOKUP(LEFT(TRIM(MID(SUBSTITUTE($T31,";",REPT(" ",99)),595,99)),FIND(":",TRIM(MID(SUBSTITUTE($T31,";",REPT(" ",99)),595,99)))-1),Materiales!$A$2:$E$502,5,FALSE)*VALUE(MID(TRIM(MID(SUBSTITUTE($T31,";",REPT(" ",99)),595,99)),FIND(":",TRIM(MID(SUBSTITUTE($T31,";",REPT(" ",99)),595,99)))+1,99)),0) + IFERROR(VLOOKUP(LEFT(TRIM(MID(SUBSTITUTE($T31,";",REPT(" ",99)),694,99)),FIND(":",TRIM(MID(SUBSTITUTE($T31,";",REPT(" ",99)),694,99)))-1),Materiales!$A$2:$E$502,5,FALSE)*VALUE(MID(TRIM(MID(SUBSTITUTE($T31,";",REPT(" ",99)),694,99)),FIND(":",TRIM(MID(SUBSTITUTE($T31,";",REPT(" ",99)),694,99)))+1,99)),0) + IFERROR(VLOOKUP(LEFT(TRIM(MID(SUBSTITUTE($T31,";",REPT(" ",99)),793,99)),FIND(":",TRIM(MID(SUBSTITUTE($T31,";",REPT(" ",99)),793,99)))-1),Materiales!$A$2:$E$502,5,FALSE)*VALUE(MID(TRIM(MID(SUBSTITUTE($T31,";",REPT(" ",99)),793,99)),FIND(":",TRIM(MID(SUBSTITUTE($T31,";",REPT(" ",99)),793,99)))+1,99)),0) + IFERROR(VLOOKUP(LEFT(TRIM(MID(SUBSTITUTE($T31,";",REPT(" ",99)),892,99)),FIND(":",TRIM(MID(SUBSTITUTE($T31,";",REPT(" ",99)),892,99)))-1),Materiales!$A$2:$E$502,5,FALSE)*VALUE(MID(TRIM(MID(SUBSTITUTE($T31,";",REPT(" ",99)),892,99)),FIND(":",TRIM(MID(SUBSTITUTE($T31,";",REPT(" ",99)),892,99)))+1,99)),0)))</f>
        <v>0</v>
      </c>
      <c r="V31" s="3"/>
      <c r="W31" s="5">
        <f t="array" ref="W31">IF($A31="","",IF($V31="",0,IFERROR(VLOOKUP(LEFT(TRIM(MID(SUBSTITUTE($V31,";",REPT(" ",99)),1,99)),FIND(":",TRIM(MID(SUBSTITUTE($V31,";",REPT(" ",99)),1,99)))-1),Materiales!$A$2:$E$502,5,FALSE)*VALUE(MID(TRIM(MID(SUBSTITUTE($V31,";",REPT(" ",99)),1,99)),FIND(":",TRIM(MID(SUBSTITUTE($V31,";",REPT(" ",99)),1,99)))+1,99)),0) + IFERROR(VLOOKUP(LEFT(TRIM(MID(SUBSTITUTE($V31,";",REPT(" ",99)),100,99)),FIND(":",TRIM(MID(SUBSTITUTE($V31,";",REPT(" ",99)),100,99)))-1),Materiales!$A$2:$E$502,5,FALSE)*VALUE(MID(TRIM(MID(SUBSTITUTE($V31,";",REPT(" ",99)),100,99)),FIND(":",TRIM(MID(SUBSTITUTE($V31,";",REPT(" ",99)),100,99)))+1,99)),0) + IFERROR(VLOOKUP(LEFT(TRIM(MID(SUBSTITUTE($V31,";",REPT(" ",99)),199,99)),FIND(":",TRIM(MID(SUBSTITUTE($V31,";",REPT(" ",99)),199,99)))-1),Materiales!$A$2:$E$502,5,FALSE)*VALUE(MID(TRIM(MID(SUBSTITUTE($V31,";",REPT(" ",99)),199,99)),FIND(":",TRIM(MID(SUBSTITUTE($V31,";",REPT(" ",99)),199,99)))+1,99)),0) + IFERROR(VLOOKUP(LEFT(TRIM(MID(SUBSTITUTE($V31,";",REPT(" ",99)),298,99)),FIND(":",TRIM(MID(SUBSTITUTE($V31,";",REPT(" ",99)),298,99)))-1),Materiales!$A$2:$E$502,5,FALSE)*VALUE(MID(TRIM(MID(SUBSTITUTE($V31,";",REPT(" ",99)),298,99)),FIND(":",TRIM(MID(SUBSTITUTE($V31,";",REPT(" ",99)),298,99)))+1,99)),0) + IFERROR(VLOOKUP(LEFT(TRIM(MID(SUBSTITUTE($V31,";",REPT(" ",99)),397,99)),FIND(":",TRIM(MID(SUBSTITUTE($V31,";",REPT(" ",99)),397,99)))-1),Materiales!$A$2:$E$502,5,FALSE)*VALUE(MID(TRIM(MID(SUBSTITUTE($V31,";",REPT(" ",99)),397,99)),FIND(":",TRIM(MID(SUBSTITUTE($V31,";",REPT(" ",99)),397,99)))+1,99)),0) + IFERROR(VLOOKUP(LEFT(TRIM(MID(SUBSTITUTE($V31,";",REPT(" ",99)),496,99)),FIND(":",TRIM(MID(SUBSTITUTE($V31,";",REPT(" ",99)),496,99)))-1),Materiales!$A$2:$E$502,5,FALSE)*VALUE(MID(TRIM(MID(SUBSTITUTE($V31,";",REPT(" ",99)),496,99)),FIND(":",TRIM(MID(SUBSTITUTE($V31,";",REPT(" ",99)),496,99)))+1,99)),0) + IFERROR(VLOOKUP(LEFT(TRIM(MID(SUBSTITUTE($V31,";",REPT(" ",99)),595,99)),FIND(":",TRIM(MID(SUBSTITUTE($V31,";",REPT(" ",99)),595,99)))-1),Materiales!$A$2:$E$502,5,FALSE)*VALUE(MID(TRIM(MID(SUBSTITUTE($V31,";",REPT(" ",99)),595,99)),FIND(":",TRIM(MID(SUBSTITUTE($V31,";",REPT(" ",99)),595,99)))+1,99)),0) + IFERROR(VLOOKUP(LEFT(TRIM(MID(SUBSTITUTE($V31,";",REPT(" ",99)),694,99)),FIND(":",TRIM(MID(SUBSTITUTE($V31,";",REPT(" ",99)),694,99)))-1),Materiales!$A$2:$E$502,5,FALSE)*VALUE(MID(TRIM(MID(SUBSTITUTE($V31,";",REPT(" ",99)),694,99)),FIND(":",TRIM(MID(SUBSTITUTE($V31,";",REPT(" ",99)),694,99)))+1,99)),0) + IFERROR(VLOOKUP(LEFT(TRIM(MID(SUBSTITUTE($V31,";",REPT(" ",99)),793,99)),FIND(":",TRIM(MID(SUBSTITUTE($V31,";",REPT(" ",99)),793,99)))-1),Materiales!$A$2:$E$502,5,FALSE)*VALUE(MID(TRIM(MID(SUBSTITUTE($V31,";",REPT(" ",99)),793,99)),FIND(":",TRIM(MID(SUBSTITUTE($V31,";",REPT(" ",99)),793,99)))+1,99)),0) + IFERROR(VLOOKUP(LEFT(TRIM(MID(SUBSTITUTE($V31,";",REPT(" ",99)),892,99)),FIND(":",TRIM(MID(SUBSTITUTE($V31,";",REPT(" ",99)),892,99)))-1),Materiales!$A$2:$E$502,5,FALSE)*VALUE(MID(TRIM(MID(SUBSTITUTE($V31,";",REPT(" ",99)),892,99)),FIND(":",TRIM(MID(SUBSTITUTE($V31,";",REPT(" ",99)),892,99)))+1,99)),0)))</f>
        <v>0</v>
      </c>
      <c r="X31" s="39">
        <f t="shared" si="13"/>
        <v>244.0763814</v>
      </c>
      <c r="Y31" s="40" t="s">
        <v>195</v>
      </c>
      <c r="Z31" s="41">
        <f t="shared" si="14"/>
        <v>732.2291441</v>
      </c>
      <c r="AA31" s="42">
        <v>0.0</v>
      </c>
      <c r="AB31" s="18">
        <f t="shared" si="15"/>
        <v>732.2291441</v>
      </c>
      <c r="AC31" s="43">
        <v>500.0</v>
      </c>
      <c r="AD31" s="42">
        <f t="shared" si="16"/>
        <v>488.1527627</v>
      </c>
      <c r="AE31" s="44">
        <f t="shared" si="17"/>
        <v>255.9236186</v>
      </c>
      <c r="AF31" s="45">
        <f t="shared" si="18"/>
        <v>0.5242695283</v>
      </c>
    </row>
    <row r="32" ht="15.75" customHeight="1">
      <c r="A32" s="17" t="s">
        <v>229</v>
      </c>
      <c r="B32" s="17" t="s">
        <v>16</v>
      </c>
      <c r="C32" s="46">
        <v>1.0</v>
      </c>
      <c r="D32" s="38"/>
      <c r="E32" s="38"/>
      <c r="F32" s="18">
        <v>5.0</v>
      </c>
      <c r="G32" s="5">
        <f t="array" ref="G32">IF($A32="","",IFERROR($F32*(N($C32)*XLOOKUP($B32,Ceras!$A$2:$A$500,Ceras!$G$2:$G$500,0)+IF($D32="",0,N($E32)*XLOOKUP($D32,Ceras!$A$2:$A$500,Ceras!$G$2:$G$500,0))),"Revisar cera"))</f>
        <v>90</v>
      </c>
      <c r="H32" s="5">
        <f t="shared" si="11"/>
        <v>7.5</v>
      </c>
      <c r="I32" s="17" t="s">
        <v>32</v>
      </c>
      <c r="J32" s="18">
        <v>3.0</v>
      </c>
      <c r="K32" s="5">
        <f t="array" ref="K32">IF($A32="","",IFERROR($J32*XLOOKUP($I32,Pabilos!$A$2:$A$500,Pabilos!$H$2:$H$500,0),"Revisar pabilo"))</f>
        <v>54</v>
      </c>
      <c r="L32" s="17" t="s">
        <v>55</v>
      </c>
      <c r="M32" s="14">
        <f t="shared" si="12"/>
        <v>0.5</v>
      </c>
      <c r="N32" s="5">
        <f t="array" ref="N32">IF($A32="","",IFERROR($M32*XLOOKUP($L32,Esencias!$A$2:$A$501,Esencias!$G$2:$G$501,0),"Revisar esencia"))</f>
        <v>70.42253521</v>
      </c>
      <c r="O32" s="17" t="s">
        <v>81</v>
      </c>
      <c r="P32" s="18">
        <v>0.5</v>
      </c>
      <c r="Q32" s="5">
        <f t="array" ref="Q32">IF($A32="","",IFERROR(IF($P32="",1,$P32)*XLOOKUP($O32,Colores!$A$2:$A$500,Colores!$H$2:$H$500,0),"Revisar color"))</f>
        <v>46.15384615</v>
      </c>
      <c r="R32" s="3"/>
      <c r="S32" s="5">
        <f t="array" ref="S32">IF($A32="","",IF($R32="",0,IFERROR(VLOOKUP(LEFT(TRIM(MID(SUBSTITUTE($R32,";",REPT(" ",99)),1,99)),FIND(":",TRIM(MID(SUBSTITUTE($R32,";",REPT(" ",99)),1,99)))-1),Materiales!$A$2:$E$502,5,FALSE)*VALUE(MID(TRIM(MID(SUBSTITUTE($R32,";",REPT(" ",99)),1,99)),FIND(":",TRIM(MID(SUBSTITUTE($R32,";",REPT(" ",99)),1,99)))+1,99)),0) + IFERROR(VLOOKUP(LEFT(TRIM(MID(SUBSTITUTE($R32,";",REPT(" ",99)),100,99)),FIND(":",TRIM(MID(SUBSTITUTE($R32,";",REPT(" ",99)),100,99)))-1),Materiales!$A$2:$E$502,5,FALSE)*VALUE(MID(TRIM(MID(SUBSTITUTE($R32,";",REPT(" ",99)),100,99)),FIND(":",TRIM(MID(SUBSTITUTE($R32,";",REPT(" ",99)),100,99)))+1,99)),0) + IFERROR(VLOOKUP(LEFT(TRIM(MID(SUBSTITUTE($R32,";",REPT(" ",99)),199,99)),FIND(":",TRIM(MID(SUBSTITUTE($R32,";",REPT(" ",99)),199,99)))-1),Materiales!$A$2:$E$502,5,FALSE)*VALUE(MID(TRIM(MID(SUBSTITUTE($R32,";",REPT(" ",99)),199,99)),FIND(":",TRIM(MID(SUBSTITUTE($R32,";",REPT(" ",99)),199,99)))+1,99)),0) + IFERROR(VLOOKUP(LEFT(TRIM(MID(SUBSTITUTE($R32,";",REPT(" ",99)),298,99)),FIND(":",TRIM(MID(SUBSTITUTE($R32,";",REPT(" ",99)),298,99)))-1),Materiales!$A$2:$E$502,5,FALSE)*VALUE(MID(TRIM(MID(SUBSTITUTE($R32,";",REPT(" ",99)),298,99)),FIND(":",TRIM(MID(SUBSTITUTE($R32,";",REPT(" ",99)),298,99)))+1,99)),0) + IFERROR(VLOOKUP(LEFT(TRIM(MID(SUBSTITUTE($R32,";",REPT(" ",99)),397,99)),FIND(":",TRIM(MID(SUBSTITUTE($R32,";",REPT(" ",99)),397,99)))-1),Materiales!$A$2:$E$502,5,FALSE)*VALUE(MID(TRIM(MID(SUBSTITUTE($R32,";",REPT(" ",99)),397,99)),FIND(":",TRIM(MID(SUBSTITUTE($R32,";",REPT(" ",99)),397,99)))+1,99)),0) + IFERROR(VLOOKUP(LEFT(TRIM(MID(SUBSTITUTE($R32,";",REPT(" ",99)),496,99)),FIND(":",TRIM(MID(SUBSTITUTE($R32,";",REPT(" ",99)),496,99)))-1),Materiales!$A$2:$E$502,5,FALSE)*VALUE(MID(TRIM(MID(SUBSTITUTE($R32,";",REPT(" ",99)),496,99)),FIND(":",TRIM(MID(SUBSTITUTE($R32,";",REPT(" ",99)),496,99)))+1,99)),0) + IFERROR(VLOOKUP(LEFT(TRIM(MID(SUBSTITUTE($R32,";",REPT(" ",99)),595,99)),FIND(":",TRIM(MID(SUBSTITUTE($R32,";",REPT(" ",99)),595,99)))-1),Materiales!$A$2:$E$502,5,FALSE)*VALUE(MID(TRIM(MID(SUBSTITUTE($R32,";",REPT(" ",99)),595,99)),FIND(":",TRIM(MID(SUBSTITUTE($R32,";",REPT(" ",99)),595,99)))+1,99)),0) + IFERROR(VLOOKUP(LEFT(TRIM(MID(SUBSTITUTE($R32,";",REPT(" ",99)),694,99)),FIND(":",TRIM(MID(SUBSTITUTE($R32,";",REPT(" ",99)),694,99)))-1),Materiales!$A$2:$E$502,5,FALSE)*VALUE(MID(TRIM(MID(SUBSTITUTE($R32,";",REPT(" ",99)),694,99)),FIND(":",TRIM(MID(SUBSTITUTE($R32,";",REPT(" ",99)),694,99)))+1,99)),0) + IFERROR(VLOOKUP(LEFT(TRIM(MID(SUBSTITUTE($R32,";",REPT(" ",99)),793,99)),FIND(":",TRIM(MID(SUBSTITUTE($R32,";",REPT(" ",99)),793,99)))-1),Materiales!$A$2:$E$502,5,FALSE)*VALUE(MID(TRIM(MID(SUBSTITUTE($R32,";",REPT(" ",99)),793,99)),FIND(":",TRIM(MID(SUBSTITUTE($R32,";",REPT(" ",99)),793,99)))+1,99)),0) + IFERROR(VLOOKUP(LEFT(TRIM(MID(SUBSTITUTE($R32,";",REPT(" ",99)),892,99)),FIND(":",TRIM(MID(SUBSTITUTE($R32,";",REPT(" ",99)),892,99)))-1),Materiales!$A$2:$E$502,5,FALSE)*VALUE(MID(TRIM(MID(SUBSTITUTE($R32,";",REPT(" ",99)),892,99)),FIND(":",TRIM(MID(SUBSTITUTE($R32,";",REPT(" ",99)),892,99)))+1,99)),0)))</f>
        <v>0</v>
      </c>
      <c r="T32" s="3"/>
      <c r="U32" s="5">
        <f t="array" ref="U32">IF($A32="","",IF($T32="",0,IFERROR(VLOOKUP(LEFT(TRIM(MID(SUBSTITUTE($T32,";",REPT(" ",99)),1,99)),FIND(":",TRIM(MID(SUBSTITUTE($T32,";",REPT(" ",99)),1,99)))-1),Materiales!$A$2:$E$502,5,FALSE)*VALUE(MID(TRIM(MID(SUBSTITUTE($T32,";",REPT(" ",99)),1,99)),FIND(":",TRIM(MID(SUBSTITUTE($T32,";",REPT(" ",99)),1,99)))+1,99)),0) + IFERROR(VLOOKUP(LEFT(TRIM(MID(SUBSTITUTE($T32,";",REPT(" ",99)),100,99)),FIND(":",TRIM(MID(SUBSTITUTE($T32,";",REPT(" ",99)),100,99)))-1),Materiales!$A$2:$E$502,5,FALSE)*VALUE(MID(TRIM(MID(SUBSTITUTE($T32,";",REPT(" ",99)),100,99)),FIND(":",TRIM(MID(SUBSTITUTE($T32,";",REPT(" ",99)),100,99)))+1,99)),0) + IFERROR(VLOOKUP(LEFT(TRIM(MID(SUBSTITUTE($T32,";",REPT(" ",99)),199,99)),FIND(":",TRIM(MID(SUBSTITUTE($T32,";",REPT(" ",99)),199,99)))-1),Materiales!$A$2:$E$502,5,FALSE)*VALUE(MID(TRIM(MID(SUBSTITUTE($T32,";",REPT(" ",99)),199,99)),FIND(":",TRIM(MID(SUBSTITUTE($T32,";",REPT(" ",99)),199,99)))+1,99)),0) + IFERROR(VLOOKUP(LEFT(TRIM(MID(SUBSTITUTE($T32,";",REPT(" ",99)),298,99)),FIND(":",TRIM(MID(SUBSTITUTE($T32,";",REPT(" ",99)),298,99)))-1),Materiales!$A$2:$E$502,5,FALSE)*VALUE(MID(TRIM(MID(SUBSTITUTE($T32,";",REPT(" ",99)),298,99)),FIND(":",TRIM(MID(SUBSTITUTE($T32,";",REPT(" ",99)),298,99)))+1,99)),0) + IFERROR(VLOOKUP(LEFT(TRIM(MID(SUBSTITUTE($T32,";",REPT(" ",99)),397,99)),FIND(":",TRIM(MID(SUBSTITUTE($T32,";",REPT(" ",99)),397,99)))-1),Materiales!$A$2:$E$502,5,FALSE)*VALUE(MID(TRIM(MID(SUBSTITUTE($T32,";",REPT(" ",99)),397,99)),FIND(":",TRIM(MID(SUBSTITUTE($T32,";",REPT(" ",99)),397,99)))+1,99)),0) + IFERROR(VLOOKUP(LEFT(TRIM(MID(SUBSTITUTE($T32,";",REPT(" ",99)),496,99)),FIND(":",TRIM(MID(SUBSTITUTE($T32,";",REPT(" ",99)),496,99)))-1),Materiales!$A$2:$E$502,5,FALSE)*VALUE(MID(TRIM(MID(SUBSTITUTE($T32,";",REPT(" ",99)),496,99)),FIND(":",TRIM(MID(SUBSTITUTE($T32,";",REPT(" ",99)),496,99)))+1,99)),0) + IFERROR(VLOOKUP(LEFT(TRIM(MID(SUBSTITUTE($T32,";",REPT(" ",99)),595,99)),FIND(":",TRIM(MID(SUBSTITUTE($T32,";",REPT(" ",99)),595,99)))-1),Materiales!$A$2:$E$502,5,FALSE)*VALUE(MID(TRIM(MID(SUBSTITUTE($T32,";",REPT(" ",99)),595,99)),FIND(":",TRIM(MID(SUBSTITUTE($T32,";",REPT(" ",99)),595,99)))+1,99)),0) + IFERROR(VLOOKUP(LEFT(TRIM(MID(SUBSTITUTE($T32,";",REPT(" ",99)),694,99)),FIND(":",TRIM(MID(SUBSTITUTE($T32,";",REPT(" ",99)),694,99)))-1),Materiales!$A$2:$E$502,5,FALSE)*VALUE(MID(TRIM(MID(SUBSTITUTE($T32,";",REPT(" ",99)),694,99)),FIND(":",TRIM(MID(SUBSTITUTE($T32,";",REPT(" ",99)),694,99)))+1,99)),0) + IFERROR(VLOOKUP(LEFT(TRIM(MID(SUBSTITUTE($T32,";",REPT(" ",99)),793,99)),FIND(":",TRIM(MID(SUBSTITUTE($T32,";",REPT(" ",99)),793,99)))-1),Materiales!$A$2:$E$502,5,FALSE)*VALUE(MID(TRIM(MID(SUBSTITUTE($T32,";",REPT(" ",99)),793,99)),FIND(":",TRIM(MID(SUBSTITUTE($T32,";",REPT(" ",99)),793,99)))+1,99)),0) + IFERROR(VLOOKUP(LEFT(TRIM(MID(SUBSTITUTE($T32,";",REPT(" ",99)),892,99)),FIND(":",TRIM(MID(SUBSTITUTE($T32,";",REPT(" ",99)),892,99)))-1),Materiales!$A$2:$E$502,5,FALSE)*VALUE(MID(TRIM(MID(SUBSTITUTE($T32,";",REPT(" ",99)),892,99)),FIND(":",TRIM(MID(SUBSTITUTE($T32,";",REPT(" ",99)),892,99)))+1,99)),0)))</f>
        <v>0</v>
      </c>
      <c r="V32" s="3"/>
      <c r="W32" s="5">
        <f t="array" ref="W32">IF($A32="","",IF($V32="",0,IFERROR(VLOOKUP(LEFT(TRIM(MID(SUBSTITUTE($V32,";",REPT(" ",99)),1,99)),FIND(":",TRIM(MID(SUBSTITUTE($V32,";",REPT(" ",99)),1,99)))-1),Materiales!$A$2:$E$502,5,FALSE)*VALUE(MID(TRIM(MID(SUBSTITUTE($V32,";",REPT(" ",99)),1,99)),FIND(":",TRIM(MID(SUBSTITUTE($V32,";",REPT(" ",99)),1,99)))+1,99)),0) + IFERROR(VLOOKUP(LEFT(TRIM(MID(SUBSTITUTE($V32,";",REPT(" ",99)),100,99)),FIND(":",TRIM(MID(SUBSTITUTE($V32,";",REPT(" ",99)),100,99)))-1),Materiales!$A$2:$E$502,5,FALSE)*VALUE(MID(TRIM(MID(SUBSTITUTE($V32,";",REPT(" ",99)),100,99)),FIND(":",TRIM(MID(SUBSTITUTE($V32,";",REPT(" ",99)),100,99)))+1,99)),0) + IFERROR(VLOOKUP(LEFT(TRIM(MID(SUBSTITUTE($V32,";",REPT(" ",99)),199,99)),FIND(":",TRIM(MID(SUBSTITUTE($V32,";",REPT(" ",99)),199,99)))-1),Materiales!$A$2:$E$502,5,FALSE)*VALUE(MID(TRIM(MID(SUBSTITUTE($V32,";",REPT(" ",99)),199,99)),FIND(":",TRIM(MID(SUBSTITUTE($V32,";",REPT(" ",99)),199,99)))+1,99)),0) + IFERROR(VLOOKUP(LEFT(TRIM(MID(SUBSTITUTE($V32,";",REPT(" ",99)),298,99)),FIND(":",TRIM(MID(SUBSTITUTE($V32,";",REPT(" ",99)),298,99)))-1),Materiales!$A$2:$E$502,5,FALSE)*VALUE(MID(TRIM(MID(SUBSTITUTE($V32,";",REPT(" ",99)),298,99)),FIND(":",TRIM(MID(SUBSTITUTE($V32,";",REPT(" ",99)),298,99)))+1,99)),0) + IFERROR(VLOOKUP(LEFT(TRIM(MID(SUBSTITUTE($V32,";",REPT(" ",99)),397,99)),FIND(":",TRIM(MID(SUBSTITUTE($V32,";",REPT(" ",99)),397,99)))-1),Materiales!$A$2:$E$502,5,FALSE)*VALUE(MID(TRIM(MID(SUBSTITUTE($V32,";",REPT(" ",99)),397,99)),FIND(":",TRIM(MID(SUBSTITUTE($V32,";",REPT(" ",99)),397,99)))+1,99)),0) + IFERROR(VLOOKUP(LEFT(TRIM(MID(SUBSTITUTE($V32,";",REPT(" ",99)),496,99)),FIND(":",TRIM(MID(SUBSTITUTE($V32,";",REPT(" ",99)),496,99)))-1),Materiales!$A$2:$E$502,5,FALSE)*VALUE(MID(TRIM(MID(SUBSTITUTE($V32,";",REPT(" ",99)),496,99)),FIND(":",TRIM(MID(SUBSTITUTE($V32,";",REPT(" ",99)),496,99)))+1,99)),0) + IFERROR(VLOOKUP(LEFT(TRIM(MID(SUBSTITUTE($V32,";",REPT(" ",99)),595,99)),FIND(":",TRIM(MID(SUBSTITUTE($V32,";",REPT(" ",99)),595,99)))-1),Materiales!$A$2:$E$502,5,FALSE)*VALUE(MID(TRIM(MID(SUBSTITUTE($V32,";",REPT(" ",99)),595,99)),FIND(":",TRIM(MID(SUBSTITUTE($V32,";",REPT(" ",99)),595,99)))+1,99)),0) + IFERROR(VLOOKUP(LEFT(TRIM(MID(SUBSTITUTE($V32,";",REPT(" ",99)),694,99)),FIND(":",TRIM(MID(SUBSTITUTE($V32,";",REPT(" ",99)),694,99)))-1),Materiales!$A$2:$E$502,5,FALSE)*VALUE(MID(TRIM(MID(SUBSTITUTE($V32,";",REPT(" ",99)),694,99)),FIND(":",TRIM(MID(SUBSTITUTE($V32,";",REPT(" ",99)),694,99)))+1,99)),0) + IFERROR(VLOOKUP(LEFT(TRIM(MID(SUBSTITUTE($V32,";",REPT(" ",99)),793,99)),FIND(":",TRIM(MID(SUBSTITUTE($V32,";",REPT(" ",99)),793,99)))-1),Materiales!$A$2:$E$502,5,FALSE)*VALUE(MID(TRIM(MID(SUBSTITUTE($V32,";",REPT(" ",99)),793,99)),FIND(":",TRIM(MID(SUBSTITUTE($V32,";",REPT(" ",99)),793,99)))+1,99)),0) + IFERROR(VLOOKUP(LEFT(TRIM(MID(SUBSTITUTE($V32,";",REPT(" ",99)),892,99)),FIND(":",TRIM(MID(SUBSTITUTE($V32,";",REPT(" ",99)),892,99)))-1),Materiales!$A$2:$E$502,5,FALSE)*VALUE(MID(TRIM(MID(SUBSTITUTE($V32,";",REPT(" ",99)),892,99)),FIND(":",TRIM(MID(SUBSTITUTE($V32,";",REPT(" ",99)),892,99)))+1,99)),0)))</f>
        <v>0</v>
      </c>
      <c r="X32" s="39">
        <f t="shared" si="13"/>
        <v>268.0763814</v>
      </c>
      <c r="Y32" s="40" t="s">
        <v>195</v>
      </c>
      <c r="Z32" s="41">
        <f t="shared" si="14"/>
        <v>804.2291441</v>
      </c>
      <c r="AA32" s="42">
        <v>0.0</v>
      </c>
      <c r="AB32" s="18">
        <f t="shared" si="15"/>
        <v>804.2291441</v>
      </c>
      <c r="AC32" s="43">
        <v>500.0</v>
      </c>
      <c r="AD32" s="42">
        <f t="shared" si="16"/>
        <v>536.1527627</v>
      </c>
      <c r="AE32" s="44">
        <f t="shared" si="17"/>
        <v>231.9236186</v>
      </c>
      <c r="AF32" s="45">
        <f t="shared" si="18"/>
        <v>0.4325700337</v>
      </c>
    </row>
    <row r="33" ht="15.75" customHeight="1">
      <c r="A33" s="17" t="s">
        <v>230</v>
      </c>
      <c r="B33" s="17" t="s">
        <v>16</v>
      </c>
      <c r="C33" s="46">
        <v>1.0</v>
      </c>
      <c r="D33" s="38"/>
      <c r="E33" s="38"/>
      <c r="F33" s="18">
        <v>44.0</v>
      </c>
      <c r="G33" s="5">
        <f t="array" ref="G33">IF($A33="","",IFERROR($F33*(N($C33)*XLOOKUP($B33,Ceras!$A$2:$A$500,Ceras!$G$2:$G$500,0)+IF($D33="",0,N($E33)*XLOOKUP($D33,Ceras!$A$2:$A$500,Ceras!$G$2:$G$500,0))),"Revisar cera"))</f>
        <v>792</v>
      </c>
      <c r="H33" s="5">
        <f t="shared" si="11"/>
        <v>66</v>
      </c>
      <c r="I33" s="17" t="s">
        <v>34</v>
      </c>
      <c r="J33" s="18">
        <v>5.0</v>
      </c>
      <c r="K33" s="5">
        <f t="array" ref="K33">IF($A33="","",IFERROR($J33*XLOOKUP($I33,Pabilos!$A$2:$A$500,Pabilos!$H$2:$H$500,0),"Revisar pabilo"))</f>
        <v>100</v>
      </c>
      <c r="L33" s="17" t="s">
        <v>55</v>
      </c>
      <c r="M33" s="14">
        <f t="shared" si="12"/>
        <v>4.4</v>
      </c>
      <c r="N33" s="5">
        <f t="array" ref="N33">IF($A33="","",IFERROR($M33*XLOOKUP($L33,Esencias!$A$2:$A$501,Esencias!$G$2:$G$501,0),"Revisar esencia"))</f>
        <v>619.7183099</v>
      </c>
      <c r="O33" s="17" t="s">
        <v>81</v>
      </c>
      <c r="P33" s="18">
        <v>1.0</v>
      </c>
      <c r="Q33" s="5">
        <f t="array" ref="Q33">IF($A33="","",IFERROR(IF($P33="",1,$P33)*XLOOKUP($O33,Colores!$A$2:$A$500,Colores!$H$2:$H$500,0),"Revisar color"))</f>
        <v>92.30769231</v>
      </c>
      <c r="R33" s="3"/>
      <c r="S33" s="5">
        <f t="array" ref="S33">IF($A33="","",IF($R33="",0,IFERROR(VLOOKUP(LEFT(TRIM(MID(SUBSTITUTE($R33,";",REPT(" ",99)),1,99)),FIND(":",TRIM(MID(SUBSTITUTE($R33,";",REPT(" ",99)),1,99)))-1),Materiales!$A$2:$E$502,5,FALSE)*VALUE(MID(TRIM(MID(SUBSTITUTE($R33,";",REPT(" ",99)),1,99)),FIND(":",TRIM(MID(SUBSTITUTE($R33,";",REPT(" ",99)),1,99)))+1,99)),0) + IFERROR(VLOOKUP(LEFT(TRIM(MID(SUBSTITUTE($R33,";",REPT(" ",99)),100,99)),FIND(":",TRIM(MID(SUBSTITUTE($R33,";",REPT(" ",99)),100,99)))-1),Materiales!$A$2:$E$502,5,FALSE)*VALUE(MID(TRIM(MID(SUBSTITUTE($R33,";",REPT(" ",99)),100,99)),FIND(":",TRIM(MID(SUBSTITUTE($R33,";",REPT(" ",99)),100,99)))+1,99)),0) + IFERROR(VLOOKUP(LEFT(TRIM(MID(SUBSTITUTE($R33,";",REPT(" ",99)),199,99)),FIND(":",TRIM(MID(SUBSTITUTE($R33,";",REPT(" ",99)),199,99)))-1),Materiales!$A$2:$E$502,5,FALSE)*VALUE(MID(TRIM(MID(SUBSTITUTE($R33,";",REPT(" ",99)),199,99)),FIND(":",TRIM(MID(SUBSTITUTE($R33,";",REPT(" ",99)),199,99)))+1,99)),0) + IFERROR(VLOOKUP(LEFT(TRIM(MID(SUBSTITUTE($R33,";",REPT(" ",99)),298,99)),FIND(":",TRIM(MID(SUBSTITUTE($R33,";",REPT(" ",99)),298,99)))-1),Materiales!$A$2:$E$502,5,FALSE)*VALUE(MID(TRIM(MID(SUBSTITUTE($R33,";",REPT(" ",99)),298,99)),FIND(":",TRIM(MID(SUBSTITUTE($R33,";",REPT(" ",99)),298,99)))+1,99)),0) + IFERROR(VLOOKUP(LEFT(TRIM(MID(SUBSTITUTE($R33,";",REPT(" ",99)),397,99)),FIND(":",TRIM(MID(SUBSTITUTE($R33,";",REPT(" ",99)),397,99)))-1),Materiales!$A$2:$E$502,5,FALSE)*VALUE(MID(TRIM(MID(SUBSTITUTE($R33,";",REPT(" ",99)),397,99)),FIND(":",TRIM(MID(SUBSTITUTE($R33,";",REPT(" ",99)),397,99)))+1,99)),0) + IFERROR(VLOOKUP(LEFT(TRIM(MID(SUBSTITUTE($R33,";",REPT(" ",99)),496,99)),FIND(":",TRIM(MID(SUBSTITUTE($R33,";",REPT(" ",99)),496,99)))-1),Materiales!$A$2:$E$502,5,FALSE)*VALUE(MID(TRIM(MID(SUBSTITUTE($R33,";",REPT(" ",99)),496,99)),FIND(":",TRIM(MID(SUBSTITUTE($R33,";",REPT(" ",99)),496,99)))+1,99)),0) + IFERROR(VLOOKUP(LEFT(TRIM(MID(SUBSTITUTE($R33,";",REPT(" ",99)),595,99)),FIND(":",TRIM(MID(SUBSTITUTE($R33,";",REPT(" ",99)),595,99)))-1),Materiales!$A$2:$E$502,5,FALSE)*VALUE(MID(TRIM(MID(SUBSTITUTE($R33,";",REPT(" ",99)),595,99)),FIND(":",TRIM(MID(SUBSTITUTE($R33,";",REPT(" ",99)),595,99)))+1,99)),0) + IFERROR(VLOOKUP(LEFT(TRIM(MID(SUBSTITUTE($R33,";",REPT(" ",99)),694,99)),FIND(":",TRIM(MID(SUBSTITUTE($R33,";",REPT(" ",99)),694,99)))-1),Materiales!$A$2:$E$502,5,FALSE)*VALUE(MID(TRIM(MID(SUBSTITUTE($R33,";",REPT(" ",99)),694,99)),FIND(":",TRIM(MID(SUBSTITUTE($R33,";",REPT(" ",99)),694,99)))+1,99)),0) + IFERROR(VLOOKUP(LEFT(TRIM(MID(SUBSTITUTE($R33,";",REPT(" ",99)),793,99)),FIND(":",TRIM(MID(SUBSTITUTE($R33,";",REPT(" ",99)),793,99)))-1),Materiales!$A$2:$E$502,5,FALSE)*VALUE(MID(TRIM(MID(SUBSTITUTE($R33,";",REPT(" ",99)),793,99)),FIND(":",TRIM(MID(SUBSTITUTE($R33,";",REPT(" ",99)),793,99)))+1,99)),0) + IFERROR(VLOOKUP(LEFT(TRIM(MID(SUBSTITUTE($R33,";",REPT(" ",99)),892,99)),FIND(":",TRIM(MID(SUBSTITUTE($R33,";",REPT(" ",99)),892,99)))-1),Materiales!$A$2:$E$502,5,FALSE)*VALUE(MID(TRIM(MID(SUBSTITUTE($R33,";",REPT(" ",99)),892,99)),FIND(":",TRIM(MID(SUBSTITUTE($R33,";",REPT(" ",99)),892,99)))+1,99)),0)))</f>
        <v>0</v>
      </c>
      <c r="T33" s="3"/>
      <c r="U33" s="5">
        <f t="array" ref="U33">IF($A33="","",IF($T33="",0,IFERROR(VLOOKUP(LEFT(TRIM(MID(SUBSTITUTE($T33,";",REPT(" ",99)),1,99)),FIND(":",TRIM(MID(SUBSTITUTE($T33,";",REPT(" ",99)),1,99)))-1),Materiales!$A$2:$E$502,5,FALSE)*VALUE(MID(TRIM(MID(SUBSTITUTE($T33,";",REPT(" ",99)),1,99)),FIND(":",TRIM(MID(SUBSTITUTE($T33,";",REPT(" ",99)),1,99)))+1,99)),0) + IFERROR(VLOOKUP(LEFT(TRIM(MID(SUBSTITUTE($T33,";",REPT(" ",99)),100,99)),FIND(":",TRIM(MID(SUBSTITUTE($T33,";",REPT(" ",99)),100,99)))-1),Materiales!$A$2:$E$502,5,FALSE)*VALUE(MID(TRIM(MID(SUBSTITUTE($T33,";",REPT(" ",99)),100,99)),FIND(":",TRIM(MID(SUBSTITUTE($T33,";",REPT(" ",99)),100,99)))+1,99)),0) + IFERROR(VLOOKUP(LEFT(TRIM(MID(SUBSTITUTE($T33,";",REPT(" ",99)),199,99)),FIND(":",TRIM(MID(SUBSTITUTE($T33,";",REPT(" ",99)),199,99)))-1),Materiales!$A$2:$E$502,5,FALSE)*VALUE(MID(TRIM(MID(SUBSTITUTE($T33,";",REPT(" ",99)),199,99)),FIND(":",TRIM(MID(SUBSTITUTE($T33,";",REPT(" ",99)),199,99)))+1,99)),0) + IFERROR(VLOOKUP(LEFT(TRIM(MID(SUBSTITUTE($T33,";",REPT(" ",99)),298,99)),FIND(":",TRIM(MID(SUBSTITUTE($T33,";",REPT(" ",99)),298,99)))-1),Materiales!$A$2:$E$502,5,FALSE)*VALUE(MID(TRIM(MID(SUBSTITUTE($T33,";",REPT(" ",99)),298,99)),FIND(":",TRIM(MID(SUBSTITUTE($T33,";",REPT(" ",99)),298,99)))+1,99)),0) + IFERROR(VLOOKUP(LEFT(TRIM(MID(SUBSTITUTE($T33,";",REPT(" ",99)),397,99)),FIND(":",TRIM(MID(SUBSTITUTE($T33,";",REPT(" ",99)),397,99)))-1),Materiales!$A$2:$E$502,5,FALSE)*VALUE(MID(TRIM(MID(SUBSTITUTE($T33,";",REPT(" ",99)),397,99)),FIND(":",TRIM(MID(SUBSTITUTE($T33,";",REPT(" ",99)),397,99)))+1,99)),0) + IFERROR(VLOOKUP(LEFT(TRIM(MID(SUBSTITUTE($T33,";",REPT(" ",99)),496,99)),FIND(":",TRIM(MID(SUBSTITUTE($T33,";",REPT(" ",99)),496,99)))-1),Materiales!$A$2:$E$502,5,FALSE)*VALUE(MID(TRIM(MID(SUBSTITUTE($T33,";",REPT(" ",99)),496,99)),FIND(":",TRIM(MID(SUBSTITUTE($T33,";",REPT(" ",99)),496,99)))+1,99)),0) + IFERROR(VLOOKUP(LEFT(TRIM(MID(SUBSTITUTE($T33,";",REPT(" ",99)),595,99)),FIND(":",TRIM(MID(SUBSTITUTE($T33,";",REPT(" ",99)),595,99)))-1),Materiales!$A$2:$E$502,5,FALSE)*VALUE(MID(TRIM(MID(SUBSTITUTE($T33,";",REPT(" ",99)),595,99)),FIND(":",TRIM(MID(SUBSTITUTE($T33,";",REPT(" ",99)),595,99)))+1,99)),0) + IFERROR(VLOOKUP(LEFT(TRIM(MID(SUBSTITUTE($T33,";",REPT(" ",99)),694,99)),FIND(":",TRIM(MID(SUBSTITUTE($T33,";",REPT(" ",99)),694,99)))-1),Materiales!$A$2:$E$502,5,FALSE)*VALUE(MID(TRIM(MID(SUBSTITUTE($T33,";",REPT(" ",99)),694,99)),FIND(":",TRIM(MID(SUBSTITUTE($T33,";",REPT(" ",99)),694,99)))+1,99)),0) + IFERROR(VLOOKUP(LEFT(TRIM(MID(SUBSTITUTE($T33,";",REPT(" ",99)),793,99)),FIND(":",TRIM(MID(SUBSTITUTE($T33,";",REPT(" ",99)),793,99)))-1),Materiales!$A$2:$E$502,5,FALSE)*VALUE(MID(TRIM(MID(SUBSTITUTE($T33,";",REPT(" ",99)),793,99)),FIND(":",TRIM(MID(SUBSTITUTE($T33,";",REPT(" ",99)),793,99)))+1,99)),0) + IFERROR(VLOOKUP(LEFT(TRIM(MID(SUBSTITUTE($T33,";",REPT(" ",99)),892,99)),FIND(":",TRIM(MID(SUBSTITUTE($T33,";",REPT(" ",99)),892,99)))-1),Materiales!$A$2:$E$502,5,FALSE)*VALUE(MID(TRIM(MID(SUBSTITUTE($T33,";",REPT(" ",99)),892,99)),FIND(":",TRIM(MID(SUBSTITUTE($T33,";",REPT(" ",99)),892,99)))+1,99)),0)))</f>
        <v>0</v>
      </c>
      <c r="V33" s="3"/>
      <c r="W33" s="5">
        <f t="array" ref="W33">IF($A33="","",IF($V33="",0,IFERROR(VLOOKUP(LEFT(TRIM(MID(SUBSTITUTE($V33,";",REPT(" ",99)),1,99)),FIND(":",TRIM(MID(SUBSTITUTE($V33,";",REPT(" ",99)),1,99)))-1),Materiales!$A$2:$E$502,5,FALSE)*VALUE(MID(TRIM(MID(SUBSTITUTE($V33,";",REPT(" ",99)),1,99)),FIND(":",TRIM(MID(SUBSTITUTE($V33,";",REPT(" ",99)),1,99)))+1,99)),0) + IFERROR(VLOOKUP(LEFT(TRIM(MID(SUBSTITUTE($V33,";",REPT(" ",99)),100,99)),FIND(":",TRIM(MID(SUBSTITUTE($V33,";",REPT(" ",99)),100,99)))-1),Materiales!$A$2:$E$502,5,FALSE)*VALUE(MID(TRIM(MID(SUBSTITUTE($V33,";",REPT(" ",99)),100,99)),FIND(":",TRIM(MID(SUBSTITUTE($V33,";",REPT(" ",99)),100,99)))+1,99)),0) + IFERROR(VLOOKUP(LEFT(TRIM(MID(SUBSTITUTE($V33,";",REPT(" ",99)),199,99)),FIND(":",TRIM(MID(SUBSTITUTE($V33,";",REPT(" ",99)),199,99)))-1),Materiales!$A$2:$E$502,5,FALSE)*VALUE(MID(TRIM(MID(SUBSTITUTE($V33,";",REPT(" ",99)),199,99)),FIND(":",TRIM(MID(SUBSTITUTE($V33,";",REPT(" ",99)),199,99)))+1,99)),0) + IFERROR(VLOOKUP(LEFT(TRIM(MID(SUBSTITUTE($V33,";",REPT(" ",99)),298,99)),FIND(":",TRIM(MID(SUBSTITUTE($V33,";",REPT(" ",99)),298,99)))-1),Materiales!$A$2:$E$502,5,FALSE)*VALUE(MID(TRIM(MID(SUBSTITUTE($V33,";",REPT(" ",99)),298,99)),FIND(":",TRIM(MID(SUBSTITUTE($V33,";",REPT(" ",99)),298,99)))+1,99)),0) + IFERROR(VLOOKUP(LEFT(TRIM(MID(SUBSTITUTE($V33,";",REPT(" ",99)),397,99)),FIND(":",TRIM(MID(SUBSTITUTE($V33,";",REPT(" ",99)),397,99)))-1),Materiales!$A$2:$E$502,5,FALSE)*VALUE(MID(TRIM(MID(SUBSTITUTE($V33,";",REPT(" ",99)),397,99)),FIND(":",TRIM(MID(SUBSTITUTE($V33,";",REPT(" ",99)),397,99)))+1,99)),0) + IFERROR(VLOOKUP(LEFT(TRIM(MID(SUBSTITUTE($V33,";",REPT(" ",99)),496,99)),FIND(":",TRIM(MID(SUBSTITUTE($V33,";",REPT(" ",99)),496,99)))-1),Materiales!$A$2:$E$502,5,FALSE)*VALUE(MID(TRIM(MID(SUBSTITUTE($V33,";",REPT(" ",99)),496,99)),FIND(":",TRIM(MID(SUBSTITUTE($V33,";",REPT(" ",99)),496,99)))+1,99)),0) + IFERROR(VLOOKUP(LEFT(TRIM(MID(SUBSTITUTE($V33,";",REPT(" ",99)),595,99)),FIND(":",TRIM(MID(SUBSTITUTE($V33,";",REPT(" ",99)),595,99)))-1),Materiales!$A$2:$E$502,5,FALSE)*VALUE(MID(TRIM(MID(SUBSTITUTE($V33,";",REPT(" ",99)),595,99)),FIND(":",TRIM(MID(SUBSTITUTE($V33,";",REPT(" ",99)),595,99)))+1,99)),0) + IFERROR(VLOOKUP(LEFT(TRIM(MID(SUBSTITUTE($V33,";",REPT(" ",99)),694,99)),FIND(":",TRIM(MID(SUBSTITUTE($V33,";",REPT(" ",99)),694,99)))-1),Materiales!$A$2:$E$502,5,FALSE)*VALUE(MID(TRIM(MID(SUBSTITUTE($V33,";",REPT(" ",99)),694,99)),FIND(":",TRIM(MID(SUBSTITUTE($V33,";",REPT(" ",99)),694,99)))+1,99)),0) + IFERROR(VLOOKUP(LEFT(TRIM(MID(SUBSTITUTE($V33,";",REPT(" ",99)),793,99)),FIND(":",TRIM(MID(SUBSTITUTE($V33,";",REPT(" ",99)),793,99)))-1),Materiales!$A$2:$E$502,5,FALSE)*VALUE(MID(TRIM(MID(SUBSTITUTE($V33,";",REPT(" ",99)),793,99)),FIND(":",TRIM(MID(SUBSTITUTE($V33,";",REPT(" ",99)),793,99)))+1,99)),0) + IFERROR(VLOOKUP(LEFT(TRIM(MID(SUBSTITUTE($V33,";",REPT(" ",99)),892,99)),FIND(":",TRIM(MID(SUBSTITUTE($V33,";",REPT(" ",99)),892,99)))-1),Materiales!$A$2:$E$502,5,FALSE)*VALUE(MID(TRIM(MID(SUBSTITUTE($V33,";",REPT(" ",99)),892,99)),FIND(":",TRIM(MID(SUBSTITUTE($V33,";",REPT(" ",99)),892,99)))+1,99)),0)))</f>
        <v>0</v>
      </c>
      <c r="X33" s="39">
        <f t="shared" si="13"/>
        <v>1670.026002</v>
      </c>
      <c r="Y33" s="40" t="s">
        <v>195</v>
      </c>
      <c r="Z33" s="41">
        <f t="shared" si="14"/>
        <v>5010.078007</v>
      </c>
      <c r="AA33" s="42">
        <v>0.0</v>
      </c>
      <c r="AB33" s="18">
        <f t="shared" si="15"/>
        <v>5010.078007</v>
      </c>
      <c r="AC33" s="43">
        <v>5000.0</v>
      </c>
      <c r="AD33" s="42">
        <f t="shared" si="16"/>
        <v>3340.052004</v>
      </c>
      <c r="AE33" s="44">
        <f t="shared" si="17"/>
        <v>3329.973998</v>
      </c>
      <c r="AF33" s="45">
        <f t="shared" si="18"/>
        <v>0.9969826798</v>
      </c>
    </row>
    <row r="34" ht="15.75" customHeight="1">
      <c r="A34" s="17" t="s">
        <v>231</v>
      </c>
      <c r="B34" s="17" t="s">
        <v>16</v>
      </c>
      <c r="C34" s="46">
        <v>1.0</v>
      </c>
      <c r="D34" s="38"/>
      <c r="E34" s="38"/>
      <c r="F34" s="18">
        <v>79.0</v>
      </c>
      <c r="G34" s="5">
        <f t="array" ref="G34">IF($A34="","",IFERROR($F34*(N($C34)*XLOOKUP($B34,Ceras!$A$2:$A$500,Ceras!$G$2:$G$500,0)+IF($D34="",0,N($E34)*XLOOKUP($D34,Ceras!$A$2:$A$500,Ceras!$G$2:$G$500,0))),"Revisar cera"))</f>
        <v>1422</v>
      </c>
      <c r="H34" s="5">
        <f t="shared" si="11"/>
        <v>118.5</v>
      </c>
      <c r="I34" s="17" t="s">
        <v>32</v>
      </c>
      <c r="J34" s="18">
        <v>3.0</v>
      </c>
      <c r="K34" s="5">
        <f t="array" ref="K34">IF($A34="","",IFERROR($J34*XLOOKUP($I34,Pabilos!$A$2:$A$500,Pabilos!$H$2:$H$500,0),"Revisar pabilo"))</f>
        <v>54</v>
      </c>
      <c r="L34" s="17" t="s">
        <v>55</v>
      </c>
      <c r="M34" s="14">
        <f t="shared" si="12"/>
        <v>7.9</v>
      </c>
      <c r="N34" s="5">
        <f t="array" ref="N34">IF($A34="","",IFERROR($M34*XLOOKUP($L34,Esencias!$A$2:$A$501,Esencias!$G$2:$G$501,0),"Revisar esencia"))</f>
        <v>1112.676056</v>
      </c>
      <c r="O34" s="17" t="s">
        <v>81</v>
      </c>
      <c r="P34" s="18">
        <v>1.0</v>
      </c>
      <c r="Q34" s="5">
        <f t="array" ref="Q34">IF($A34="","",IFERROR(IF($P34="",1,$P34)*XLOOKUP($O34,Colores!$A$2:$A$500,Colores!$H$2:$H$500,0),"Revisar color"))</f>
        <v>92.30769231</v>
      </c>
      <c r="R34" s="3"/>
      <c r="S34" s="5">
        <f t="array" ref="S34">IF($A34="","",IF($R34="",0,IFERROR(VLOOKUP(LEFT(TRIM(MID(SUBSTITUTE($R34,";",REPT(" ",99)),1,99)),FIND(":",TRIM(MID(SUBSTITUTE($R34,";",REPT(" ",99)),1,99)))-1),Materiales!$A$2:$E$502,5,FALSE)*VALUE(MID(TRIM(MID(SUBSTITUTE($R34,";",REPT(" ",99)),1,99)),FIND(":",TRIM(MID(SUBSTITUTE($R34,";",REPT(" ",99)),1,99)))+1,99)),0) + IFERROR(VLOOKUP(LEFT(TRIM(MID(SUBSTITUTE($R34,";",REPT(" ",99)),100,99)),FIND(":",TRIM(MID(SUBSTITUTE($R34,";",REPT(" ",99)),100,99)))-1),Materiales!$A$2:$E$502,5,FALSE)*VALUE(MID(TRIM(MID(SUBSTITUTE($R34,";",REPT(" ",99)),100,99)),FIND(":",TRIM(MID(SUBSTITUTE($R34,";",REPT(" ",99)),100,99)))+1,99)),0) + IFERROR(VLOOKUP(LEFT(TRIM(MID(SUBSTITUTE($R34,";",REPT(" ",99)),199,99)),FIND(":",TRIM(MID(SUBSTITUTE($R34,";",REPT(" ",99)),199,99)))-1),Materiales!$A$2:$E$502,5,FALSE)*VALUE(MID(TRIM(MID(SUBSTITUTE($R34,";",REPT(" ",99)),199,99)),FIND(":",TRIM(MID(SUBSTITUTE($R34,";",REPT(" ",99)),199,99)))+1,99)),0) + IFERROR(VLOOKUP(LEFT(TRIM(MID(SUBSTITUTE($R34,";",REPT(" ",99)),298,99)),FIND(":",TRIM(MID(SUBSTITUTE($R34,";",REPT(" ",99)),298,99)))-1),Materiales!$A$2:$E$502,5,FALSE)*VALUE(MID(TRIM(MID(SUBSTITUTE($R34,";",REPT(" ",99)),298,99)),FIND(":",TRIM(MID(SUBSTITUTE($R34,";",REPT(" ",99)),298,99)))+1,99)),0) + IFERROR(VLOOKUP(LEFT(TRIM(MID(SUBSTITUTE($R34,";",REPT(" ",99)),397,99)),FIND(":",TRIM(MID(SUBSTITUTE($R34,";",REPT(" ",99)),397,99)))-1),Materiales!$A$2:$E$502,5,FALSE)*VALUE(MID(TRIM(MID(SUBSTITUTE($R34,";",REPT(" ",99)),397,99)),FIND(":",TRIM(MID(SUBSTITUTE($R34,";",REPT(" ",99)),397,99)))+1,99)),0) + IFERROR(VLOOKUP(LEFT(TRIM(MID(SUBSTITUTE($R34,";",REPT(" ",99)),496,99)),FIND(":",TRIM(MID(SUBSTITUTE($R34,";",REPT(" ",99)),496,99)))-1),Materiales!$A$2:$E$502,5,FALSE)*VALUE(MID(TRIM(MID(SUBSTITUTE($R34,";",REPT(" ",99)),496,99)),FIND(":",TRIM(MID(SUBSTITUTE($R34,";",REPT(" ",99)),496,99)))+1,99)),0) + IFERROR(VLOOKUP(LEFT(TRIM(MID(SUBSTITUTE($R34,";",REPT(" ",99)),595,99)),FIND(":",TRIM(MID(SUBSTITUTE($R34,";",REPT(" ",99)),595,99)))-1),Materiales!$A$2:$E$502,5,FALSE)*VALUE(MID(TRIM(MID(SUBSTITUTE($R34,";",REPT(" ",99)),595,99)),FIND(":",TRIM(MID(SUBSTITUTE($R34,";",REPT(" ",99)),595,99)))+1,99)),0) + IFERROR(VLOOKUP(LEFT(TRIM(MID(SUBSTITUTE($R34,";",REPT(" ",99)),694,99)),FIND(":",TRIM(MID(SUBSTITUTE($R34,";",REPT(" ",99)),694,99)))-1),Materiales!$A$2:$E$502,5,FALSE)*VALUE(MID(TRIM(MID(SUBSTITUTE($R34,";",REPT(" ",99)),694,99)),FIND(":",TRIM(MID(SUBSTITUTE($R34,";",REPT(" ",99)),694,99)))+1,99)),0) + IFERROR(VLOOKUP(LEFT(TRIM(MID(SUBSTITUTE($R34,";",REPT(" ",99)),793,99)),FIND(":",TRIM(MID(SUBSTITUTE($R34,";",REPT(" ",99)),793,99)))-1),Materiales!$A$2:$E$502,5,FALSE)*VALUE(MID(TRIM(MID(SUBSTITUTE($R34,";",REPT(" ",99)),793,99)),FIND(":",TRIM(MID(SUBSTITUTE($R34,";",REPT(" ",99)),793,99)))+1,99)),0) + IFERROR(VLOOKUP(LEFT(TRIM(MID(SUBSTITUTE($R34,";",REPT(" ",99)),892,99)),FIND(":",TRIM(MID(SUBSTITUTE($R34,";",REPT(" ",99)),892,99)))-1),Materiales!$A$2:$E$502,5,FALSE)*VALUE(MID(TRIM(MID(SUBSTITUTE($R34,";",REPT(" ",99)),892,99)),FIND(":",TRIM(MID(SUBSTITUTE($R34,";",REPT(" ",99)),892,99)))+1,99)),0)))</f>
        <v>0</v>
      </c>
      <c r="T34" s="3"/>
      <c r="U34" s="5">
        <f t="array" ref="U34">IF($A34="","",IF($T34="",0,IFERROR(VLOOKUP(LEFT(TRIM(MID(SUBSTITUTE($T34,";",REPT(" ",99)),1,99)),FIND(":",TRIM(MID(SUBSTITUTE($T34,";",REPT(" ",99)),1,99)))-1),Materiales!$A$2:$E$502,5,FALSE)*VALUE(MID(TRIM(MID(SUBSTITUTE($T34,";",REPT(" ",99)),1,99)),FIND(":",TRIM(MID(SUBSTITUTE($T34,";",REPT(" ",99)),1,99)))+1,99)),0) + IFERROR(VLOOKUP(LEFT(TRIM(MID(SUBSTITUTE($T34,";",REPT(" ",99)),100,99)),FIND(":",TRIM(MID(SUBSTITUTE($T34,";",REPT(" ",99)),100,99)))-1),Materiales!$A$2:$E$502,5,FALSE)*VALUE(MID(TRIM(MID(SUBSTITUTE($T34,";",REPT(" ",99)),100,99)),FIND(":",TRIM(MID(SUBSTITUTE($T34,";",REPT(" ",99)),100,99)))+1,99)),0) + IFERROR(VLOOKUP(LEFT(TRIM(MID(SUBSTITUTE($T34,";",REPT(" ",99)),199,99)),FIND(":",TRIM(MID(SUBSTITUTE($T34,";",REPT(" ",99)),199,99)))-1),Materiales!$A$2:$E$502,5,FALSE)*VALUE(MID(TRIM(MID(SUBSTITUTE($T34,";",REPT(" ",99)),199,99)),FIND(":",TRIM(MID(SUBSTITUTE($T34,";",REPT(" ",99)),199,99)))+1,99)),0) + IFERROR(VLOOKUP(LEFT(TRIM(MID(SUBSTITUTE($T34,";",REPT(" ",99)),298,99)),FIND(":",TRIM(MID(SUBSTITUTE($T34,";",REPT(" ",99)),298,99)))-1),Materiales!$A$2:$E$502,5,FALSE)*VALUE(MID(TRIM(MID(SUBSTITUTE($T34,";",REPT(" ",99)),298,99)),FIND(":",TRIM(MID(SUBSTITUTE($T34,";",REPT(" ",99)),298,99)))+1,99)),0) + IFERROR(VLOOKUP(LEFT(TRIM(MID(SUBSTITUTE($T34,";",REPT(" ",99)),397,99)),FIND(":",TRIM(MID(SUBSTITUTE($T34,";",REPT(" ",99)),397,99)))-1),Materiales!$A$2:$E$502,5,FALSE)*VALUE(MID(TRIM(MID(SUBSTITUTE($T34,";",REPT(" ",99)),397,99)),FIND(":",TRIM(MID(SUBSTITUTE($T34,";",REPT(" ",99)),397,99)))+1,99)),0) + IFERROR(VLOOKUP(LEFT(TRIM(MID(SUBSTITUTE($T34,";",REPT(" ",99)),496,99)),FIND(":",TRIM(MID(SUBSTITUTE($T34,";",REPT(" ",99)),496,99)))-1),Materiales!$A$2:$E$502,5,FALSE)*VALUE(MID(TRIM(MID(SUBSTITUTE($T34,";",REPT(" ",99)),496,99)),FIND(":",TRIM(MID(SUBSTITUTE($T34,";",REPT(" ",99)),496,99)))+1,99)),0) + IFERROR(VLOOKUP(LEFT(TRIM(MID(SUBSTITUTE($T34,";",REPT(" ",99)),595,99)),FIND(":",TRIM(MID(SUBSTITUTE($T34,";",REPT(" ",99)),595,99)))-1),Materiales!$A$2:$E$502,5,FALSE)*VALUE(MID(TRIM(MID(SUBSTITUTE($T34,";",REPT(" ",99)),595,99)),FIND(":",TRIM(MID(SUBSTITUTE($T34,";",REPT(" ",99)),595,99)))+1,99)),0) + IFERROR(VLOOKUP(LEFT(TRIM(MID(SUBSTITUTE($T34,";",REPT(" ",99)),694,99)),FIND(":",TRIM(MID(SUBSTITUTE($T34,";",REPT(" ",99)),694,99)))-1),Materiales!$A$2:$E$502,5,FALSE)*VALUE(MID(TRIM(MID(SUBSTITUTE($T34,";",REPT(" ",99)),694,99)),FIND(":",TRIM(MID(SUBSTITUTE($T34,";",REPT(" ",99)),694,99)))+1,99)),0) + IFERROR(VLOOKUP(LEFT(TRIM(MID(SUBSTITUTE($T34,";",REPT(" ",99)),793,99)),FIND(":",TRIM(MID(SUBSTITUTE($T34,";",REPT(" ",99)),793,99)))-1),Materiales!$A$2:$E$502,5,FALSE)*VALUE(MID(TRIM(MID(SUBSTITUTE($T34,";",REPT(" ",99)),793,99)),FIND(":",TRIM(MID(SUBSTITUTE($T34,";",REPT(" ",99)),793,99)))+1,99)),0) + IFERROR(VLOOKUP(LEFT(TRIM(MID(SUBSTITUTE($T34,";",REPT(" ",99)),892,99)),FIND(":",TRIM(MID(SUBSTITUTE($T34,";",REPT(" ",99)),892,99)))-1),Materiales!$A$2:$E$502,5,FALSE)*VALUE(MID(TRIM(MID(SUBSTITUTE($T34,";",REPT(" ",99)),892,99)),FIND(":",TRIM(MID(SUBSTITUTE($T34,";",REPT(" ",99)),892,99)))+1,99)),0)))</f>
        <v>0</v>
      </c>
      <c r="V34" s="3"/>
      <c r="W34" s="5">
        <f t="array" ref="W34">IF($A34="","",IF($V34="",0,IFERROR(VLOOKUP(LEFT(TRIM(MID(SUBSTITUTE($V34,";",REPT(" ",99)),1,99)),FIND(":",TRIM(MID(SUBSTITUTE($V34,";",REPT(" ",99)),1,99)))-1),Materiales!$A$2:$E$502,5,FALSE)*VALUE(MID(TRIM(MID(SUBSTITUTE($V34,";",REPT(" ",99)),1,99)),FIND(":",TRIM(MID(SUBSTITUTE($V34,";",REPT(" ",99)),1,99)))+1,99)),0) + IFERROR(VLOOKUP(LEFT(TRIM(MID(SUBSTITUTE($V34,";",REPT(" ",99)),100,99)),FIND(":",TRIM(MID(SUBSTITUTE($V34,";",REPT(" ",99)),100,99)))-1),Materiales!$A$2:$E$502,5,FALSE)*VALUE(MID(TRIM(MID(SUBSTITUTE($V34,";",REPT(" ",99)),100,99)),FIND(":",TRIM(MID(SUBSTITUTE($V34,";",REPT(" ",99)),100,99)))+1,99)),0) + IFERROR(VLOOKUP(LEFT(TRIM(MID(SUBSTITUTE($V34,";",REPT(" ",99)),199,99)),FIND(":",TRIM(MID(SUBSTITUTE($V34,";",REPT(" ",99)),199,99)))-1),Materiales!$A$2:$E$502,5,FALSE)*VALUE(MID(TRIM(MID(SUBSTITUTE($V34,";",REPT(" ",99)),199,99)),FIND(":",TRIM(MID(SUBSTITUTE($V34,";",REPT(" ",99)),199,99)))+1,99)),0) + IFERROR(VLOOKUP(LEFT(TRIM(MID(SUBSTITUTE($V34,";",REPT(" ",99)),298,99)),FIND(":",TRIM(MID(SUBSTITUTE($V34,";",REPT(" ",99)),298,99)))-1),Materiales!$A$2:$E$502,5,FALSE)*VALUE(MID(TRIM(MID(SUBSTITUTE($V34,";",REPT(" ",99)),298,99)),FIND(":",TRIM(MID(SUBSTITUTE($V34,";",REPT(" ",99)),298,99)))+1,99)),0) + IFERROR(VLOOKUP(LEFT(TRIM(MID(SUBSTITUTE($V34,";",REPT(" ",99)),397,99)),FIND(":",TRIM(MID(SUBSTITUTE($V34,";",REPT(" ",99)),397,99)))-1),Materiales!$A$2:$E$502,5,FALSE)*VALUE(MID(TRIM(MID(SUBSTITUTE($V34,";",REPT(" ",99)),397,99)),FIND(":",TRIM(MID(SUBSTITUTE($V34,";",REPT(" ",99)),397,99)))+1,99)),0) + IFERROR(VLOOKUP(LEFT(TRIM(MID(SUBSTITUTE($V34,";",REPT(" ",99)),496,99)),FIND(":",TRIM(MID(SUBSTITUTE($V34,";",REPT(" ",99)),496,99)))-1),Materiales!$A$2:$E$502,5,FALSE)*VALUE(MID(TRIM(MID(SUBSTITUTE($V34,";",REPT(" ",99)),496,99)),FIND(":",TRIM(MID(SUBSTITUTE($V34,";",REPT(" ",99)),496,99)))+1,99)),0) + IFERROR(VLOOKUP(LEFT(TRIM(MID(SUBSTITUTE($V34,";",REPT(" ",99)),595,99)),FIND(":",TRIM(MID(SUBSTITUTE($V34,";",REPT(" ",99)),595,99)))-1),Materiales!$A$2:$E$502,5,FALSE)*VALUE(MID(TRIM(MID(SUBSTITUTE($V34,";",REPT(" ",99)),595,99)),FIND(":",TRIM(MID(SUBSTITUTE($V34,";",REPT(" ",99)),595,99)))+1,99)),0) + IFERROR(VLOOKUP(LEFT(TRIM(MID(SUBSTITUTE($V34,";",REPT(" ",99)),694,99)),FIND(":",TRIM(MID(SUBSTITUTE($V34,";",REPT(" ",99)),694,99)))-1),Materiales!$A$2:$E$502,5,FALSE)*VALUE(MID(TRIM(MID(SUBSTITUTE($V34,";",REPT(" ",99)),694,99)),FIND(":",TRIM(MID(SUBSTITUTE($V34,";",REPT(" ",99)),694,99)))+1,99)),0) + IFERROR(VLOOKUP(LEFT(TRIM(MID(SUBSTITUTE($V34,";",REPT(" ",99)),793,99)),FIND(":",TRIM(MID(SUBSTITUTE($V34,";",REPT(" ",99)),793,99)))-1),Materiales!$A$2:$E$502,5,FALSE)*VALUE(MID(TRIM(MID(SUBSTITUTE($V34,";",REPT(" ",99)),793,99)),FIND(":",TRIM(MID(SUBSTITUTE($V34,";",REPT(" ",99)),793,99)))+1,99)),0) + IFERROR(VLOOKUP(LEFT(TRIM(MID(SUBSTITUTE($V34,";",REPT(" ",99)),892,99)),FIND(":",TRIM(MID(SUBSTITUTE($V34,";",REPT(" ",99)),892,99)))-1),Materiales!$A$2:$E$502,5,FALSE)*VALUE(MID(TRIM(MID(SUBSTITUTE($V34,";",REPT(" ",99)),892,99)),FIND(":",TRIM(MID(SUBSTITUTE($V34,";",REPT(" ",99)),892,99)))+1,99)),0)))</f>
        <v>0</v>
      </c>
      <c r="X34" s="39">
        <f t="shared" si="13"/>
        <v>2799.483749</v>
      </c>
      <c r="Y34" s="40" t="s">
        <v>195</v>
      </c>
      <c r="Z34" s="41">
        <f t="shared" si="14"/>
        <v>8398.451246</v>
      </c>
      <c r="AA34" s="42">
        <v>0.0</v>
      </c>
      <c r="AB34" s="18">
        <f t="shared" si="15"/>
        <v>8398.451246</v>
      </c>
      <c r="AC34" s="43">
        <v>8500.0</v>
      </c>
      <c r="AD34" s="42">
        <f t="shared" si="16"/>
        <v>5598.967497</v>
      </c>
      <c r="AE34" s="44">
        <f t="shared" si="17"/>
        <v>5700.516251</v>
      </c>
      <c r="AF34" s="45">
        <f t="shared" si="18"/>
        <v>1.01813705</v>
      </c>
    </row>
    <row r="35" ht="15.75" customHeight="1">
      <c r="A35" s="17" t="s">
        <v>232</v>
      </c>
      <c r="B35" s="17" t="s">
        <v>16</v>
      </c>
      <c r="C35" s="46">
        <v>1.0</v>
      </c>
      <c r="D35" s="38"/>
      <c r="E35" s="38"/>
      <c r="F35" s="18">
        <v>0.0</v>
      </c>
      <c r="G35" s="5">
        <f t="array" ref="G35">IF($A35="","",IFERROR($F35*(N($C35)*XLOOKUP($B35,Ceras!$A$2:$A$500,Ceras!$G$2:$G$500,0)+IF($D35="",0,N($E35)*XLOOKUP($D35,Ceras!$A$2:$A$500,Ceras!$G$2:$G$500,0))),"Revisar cera"))</f>
        <v>0</v>
      </c>
      <c r="H35" s="5">
        <f t="shared" si="11"/>
        <v>0</v>
      </c>
      <c r="I35" s="17" t="s">
        <v>26</v>
      </c>
      <c r="J35" s="18">
        <v>0.0</v>
      </c>
      <c r="K35" s="5">
        <f t="array" ref="K35">IF($A35="","",IFERROR($J35*XLOOKUP($I35,Pabilos!$A$2:$A$500,Pabilos!$H$2:$H$500,0),"Revisar pabilo"))</f>
        <v>0</v>
      </c>
      <c r="L35" s="17" t="s">
        <v>55</v>
      </c>
      <c r="M35" s="14">
        <f t="shared" si="12"/>
        <v>0</v>
      </c>
      <c r="N35" s="5">
        <f t="array" ref="N35">IF($A35="","",IFERROR($M35*XLOOKUP($L35,Esencias!$A$2:$A$501,Esencias!$G$2:$G$501,0),"Revisar esencia"))</f>
        <v>0</v>
      </c>
      <c r="O35" s="17" t="s">
        <v>81</v>
      </c>
      <c r="P35" s="18">
        <v>0.0</v>
      </c>
      <c r="Q35" s="5">
        <f t="array" ref="Q35">IF($A35="","",IFERROR(IF($P35="",1,$P35)*XLOOKUP($O35,Colores!$A$2:$A$500,Colores!$H$2:$H$500,0),"Revisar color"))</f>
        <v>0</v>
      </c>
      <c r="R35" s="3"/>
      <c r="S35" s="5">
        <f t="array" ref="S35">IF($A35="","",IF($R35="",0,IFERROR(VLOOKUP(LEFT(TRIM(MID(SUBSTITUTE($R35,";",REPT(" ",99)),1,99)),FIND(":",TRIM(MID(SUBSTITUTE($R35,";",REPT(" ",99)),1,99)))-1),Materiales!$A$2:$E$502,5,FALSE)*VALUE(MID(TRIM(MID(SUBSTITUTE($R35,";",REPT(" ",99)),1,99)),FIND(":",TRIM(MID(SUBSTITUTE($R35,";",REPT(" ",99)),1,99)))+1,99)),0) + IFERROR(VLOOKUP(LEFT(TRIM(MID(SUBSTITUTE($R35,";",REPT(" ",99)),100,99)),FIND(":",TRIM(MID(SUBSTITUTE($R35,";",REPT(" ",99)),100,99)))-1),Materiales!$A$2:$E$502,5,FALSE)*VALUE(MID(TRIM(MID(SUBSTITUTE($R35,";",REPT(" ",99)),100,99)),FIND(":",TRIM(MID(SUBSTITUTE($R35,";",REPT(" ",99)),100,99)))+1,99)),0) + IFERROR(VLOOKUP(LEFT(TRIM(MID(SUBSTITUTE($R35,";",REPT(" ",99)),199,99)),FIND(":",TRIM(MID(SUBSTITUTE($R35,";",REPT(" ",99)),199,99)))-1),Materiales!$A$2:$E$502,5,FALSE)*VALUE(MID(TRIM(MID(SUBSTITUTE($R35,";",REPT(" ",99)),199,99)),FIND(":",TRIM(MID(SUBSTITUTE($R35,";",REPT(" ",99)),199,99)))+1,99)),0) + IFERROR(VLOOKUP(LEFT(TRIM(MID(SUBSTITUTE($R35,";",REPT(" ",99)),298,99)),FIND(":",TRIM(MID(SUBSTITUTE($R35,";",REPT(" ",99)),298,99)))-1),Materiales!$A$2:$E$502,5,FALSE)*VALUE(MID(TRIM(MID(SUBSTITUTE($R35,";",REPT(" ",99)),298,99)),FIND(":",TRIM(MID(SUBSTITUTE($R35,";",REPT(" ",99)),298,99)))+1,99)),0) + IFERROR(VLOOKUP(LEFT(TRIM(MID(SUBSTITUTE($R35,";",REPT(" ",99)),397,99)),FIND(":",TRIM(MID(SUBSTITUTE($R35,";",REPT(" ",99)),397,99)))-1),Materiales!$A$2:$E$502,5,FALSE)*VALUE(MID(TRIM(MID(SUBSTITUTE($R35,";",REPT(" ",99)),397,99)),FIND(":",TRIM(MID(SUBSTITUTE($R35,";",REPT(" ",99)),397,99)))+1,99)),0) + IFERROR(VLOOKUP(LEFT(TRIM(MID(SUBSTITUTE($R35,";",REPT(" ",99)),496,99)),FIND(":",TRIM(MID(SUBSTITUTE($R35,";",REPT(" ",99)),496,99)))-1),Materiales!$A$2:$E$502,5,FALSE)*VALUE(MID(TRIM(MID(SUBSTITUTE($R35,";",REPT(" ",99)),496,99)),FIND(":",TRIM(MID(SUBSTITUTE($R35,";",REPT(" ",99)),496,99)))+1,99)),0) + IFERROR(VLOOKUP(LEFT(TRIM(MID(SUBSTITUTE($R35,";",REPT(" ",99)),595,99)),FIND(":",TRIM(MID(SUBSTITUTE($R35,";",REPT(" ",99)),595,99)))-1),Materiales!$A$2:$E$502,5,FALSE)*VALUE(MID(TRIM(MID(SUBSTITUTE($R35,";",REPT(" ",99)),595,99)),FIND(":",TRIM(MID(SUBSTITUTE($R35,";",REPT(" ",99)),595,99)))+1,99)),0) + IFERROR(VLOOKUP(LEFT(TRIM(MID(SUBSTITUTE($R35,";",REPT(" ",99)),694,99)),FIND(":",TRIM(MID(SUBSTITUTE($R35,";",REPT(" ",99)),694,99)))-1),Materiales!$A$2:$E$502,5,FALSE)*VALUE(MID(TRIM(MID(SUBSTITUTE($R35,";",REPT(" ",99)),694,99)),FIND(":",TRIM(MID(SUBSTITUTE($R35,";",REPT(" ",99)),694,99)))+1,99)),0) + IFERROR(VLOOKUP(LEFT(TRIM(MID(SUBSTITUTE($R35,";",REPT(" ",99)),793,99)),FIND(":",TRIM(MID(SUBSTITUTE($R35,";",REPT(" ",99)),793,99)))-1),Materiales!$A$2:$E$502,5,FALSE)*VALUE(MID(TRIM(MID(SUBSTITUTE($R35,";",REPT(" ",99)),793,99)),FIND(":",TRIM(MID(SUBSTITUTE($R35,";",REPT(" ",99)),793,99)))+1,99)),0) + IFERROR(VLOOKUP(LEFT(TRIM(MID(SUBSTITUTE($R35,";",REPT(" ",99)),892,99)),FIND(":",TRIM(MID(SUBSTITUTE($R35,";",REPT(" ",99)),892,99)))-1),Materiales!$A$2:$E$502,5,FALSE)*VALUE(MID(TRIM(MID(SUBSTITUTE($R35,";",REPT(" ",99)),892,99)),FIND(":",TRIM(MID(SUBSTITUTE($R35,";",REPT(" ",99)),892,99)))+1,99)),0)))</f>
        <v>0</v>
      </c>
      <c r="T35" s="17" t="s">
        <v>233</v>
      </c>
      <c r="U35" s="5">
        <f t="array" ref="U35">IF($A35="","",IF($T35="",0,IFERROR(VLOOKUP(LEFT(TRIM(MID(SUBSTITUTE($T35,";",REPT(" ",99)),1,99)),FIND(":",TRIM(MID(SUBSTITUTE($T35,";",REPT(" ",99)),1,99)))-1),Materiales!$A$2:$E$502,5,FALSE)*VALUE(MID(TRIM(MID(SUBSTITUTE($T35,";",REPT(" ",99)),1,99)),FIND(":",TRIM(MID(SUBSTITUTE($T35,";",REPT(" ",99)),1,99)))+1,99)),0) + IFERROR(VLOOKUP(LEFT(TRIM(MID(SUBSTITUTE($T35,";",REPT(" ",99)),100,99)),FIND(":",TRIM(MID(SUBSTITUTE($T35,";",REPT(" ",99)),100,99)))-1),Materiales!$A$2:$E$502,5,FALSE)*VALUE(MID(TRIM(MID(SUBSTITUTE($T35,";",REPT(" ",99)),100,99)),FIND(":",TRIM(MID(SUBSTITUTE($T35,";",REPT(" ",99)),100,99)))+1,99)),0) + IFERROR(VLOOKUP(LEFT(TRIM(MID(SUBSTITUTE($T35,";",REPT(" ",99)),199,99)),FIND(":",TRIM(MID(SUBSTITUTE($T35,";",REPT(" ",99)),199,99)))-1),Materiales!$A$2:$E$502,5,FALSE)*VALUE(MID(TRIM(MID(SUBSTITUTE($T35,";",REPT(" ",99)),199,99)),FIND(":",TRIM(MID(SUBSTITUTE($T35,";",REPT(" ",99)),199,99)))+1,99)),0) + IFERROR(VLOOKUP(LEFT(TRIM(MID(SUBSTITUTE($T35,";",REPT(" ",99)),298,99)),FIND(":",TRIM(MID(SUBSTITUTE($T35,";",REPT(" ",99)),298,99)))-1),Materiales!$A$2:$E$502,5,FALSE)*VALUE(MID(TRIM(MID(SUBSTITUTE($T35,";",REPT(" ",99)),298,99)),FIND(":",TRIM(MID(SUBSTITUTE($T35,";",REPT(" ",99)),298,99)))+1,99)),0) + IFERROR(VLOOKUP(LEFT(TRIM(MID(SUBSTITUTE($T35,";",REPT(" ",99)),397,99)),FIND(":",TRIM(MID(SUBSTITUTE($T35,";",REPT(" ",99)),397,99)))-1),Materiales!$A$2:$E$502,5,FALSE)*VALUE(MID(TRIM(MID(SUBSTITUTE($T35,";",REPT(" ",99)),397,99)),FIND(":",TRIM(MID(SUBSTITUTE($T35,";",REPT(" ",99)),397,99)))+1,99)),0) + IFERROR(VLOOKUP(LEFT(TRIM(MID(SUBSTITUTE($T35,";",REPT(" ",99)),496,99)),FIND(":",TRIM(MID(SUBSTITUTE($T35,";",REPT(" ",99)),496,99)))-1),Materiales!$A$2:$E$502,5,FALSE)*VALUE(MID(TRIM(MID(SUBSTITUTE($T35,";",REPT(" ",99)),496,99)),FIND(":",TRIM(MID(SUBSTITUTE($T35,";",REPT(" ",99)),496,99)))+1,99)),0) + IFERROR(VLOOKUP(LEFT(TRIM(MID(SUBSTITUTE($T35,";",REPT(" ",99)),595,99)),FIND(":",TRIM(MID(SUBSTITUTE($T35,";",REPT(" ",99)),595,99)))-1),Materiales!$A$2:$E$502,5,FALSE)*VALUE(MID(TRIM(MID(SUBSTITUTE($T35,";",REPT(" ",99)),595,99)),FIND(":",TRIM(MID(SUBSTITUTE($T35,";",REPT(" ",99)),595,99)))+1,99)),0) + IFERROR(VLOOKUP(LEFT(TRIM(MID(SUBSTITUTE($T35,";",REPT(" ",99)),694,99)),FIND(":",TRIM(MID(SUBSTITUTE($T35,";",REPT(" ",99)),694,99)))-1),Materiales!$A$2:$E$502,5,FALSE)*VALUE(MID(TRIM(MID(SUBSTITUTE($T35,";",REPT(" ",99)),694,99)),FIND(":",TRIM(MID(SUBSTITUTE($T35,";",REPT(" ",99)),694,99)))+1,99)),0) + IFERROR(VLOOKUP(LEFT(TRIM(MID(SUBSTITUTE($T35,";",REPT(" ",99)),793,99)),FIND(":",TRIM(MID(SUBSTITUTE($T35,";",REPT(" ",99)),793,99)))-1),Materiales!$A$2:$E$502,5,FALSE)*VALUE(MID(TRIM(MID(SUBSTITUTE($T35,";",REPT(" ",99)),793,99)),FIND(":",TRIM(MID(SUBSTITUTE($T35,";",REPT(" ",99)),793,99)))+1,99)),0) + IFERROR(VLOOKUP(LEFT(TRIM(MID(SUBSTITUTE($T35,";",REPT(" ",99)),892,99)),FIND(":",TRIM(MID(SUBSTITUTE($T35,";",REPT(" ",99)),892,99)))-1),Materiales!$A$2:$E$502,5,FALSE)*VALUE(MID(TRIM(MID(SUBSTITUTE($T35,";",REPT(" ",99)),892,99)),FIND(":",TRIM(MID(SUBSTITUTE($T35,";",REPT(" ",99)),892,99)))+1,99)),0)))</f>
        <v>789</v>
      </c>
      <c r="V35" s="17" t="s">
        <v>234</v>
      </c>
      <c r="W35" s="5">
        <f t="array" ref="W35">IF($A35="","",IF($V35="",0,IFERROR(VLOOKUP(LEFT(TRIM(MID(SUBSTITUTE($V35,";",REPT(" ",99)),1,99)),FIND(":",TRIM(MID(SUBSTITUTE($V35,";",REPT(" ",99)),1,99)))-1),Materiales!$A$2:$E$502,5,FALSE)*VALUE(MID(TRIM(MID(SUBSTITUTE($V35,";",REPT(" ",99)),1,99)),FIND(":",TRIM(MID(SUBSTITUTE($V35,";",REPT(" ",99)),1,99)))+1,99)),0) + IFERROR(VLOOKUP(LEFT(TRIM(MID(SUBSTITUTE($V35,";",REPT(" ",99)),100,99)),FIND(":",TRIM(MID(SUBSTITUTE($V35,";",REPT(" ",99)),100,99)))-1),Materiales!$A$2:$E$502,5,FALSE)*VALUE(MID(TRIM(MID(SUBSTITUTE($V35,";",REPT(" ",99)),100,99)),FIND(":",TRIM(MID(SUBSTITUTE($V35,";",REPT(" ",99)),100,99)))+1,99)),0) + IFERROR(VLOOKUP(LEFT(TRIM(MID(SUBSTITUTE($V35,";",REPT(" ",99)),199,99)),FIND(":",TRIM(MID(SUBSTITUTE($V35,";",REPT(" ",99)),199,99)))-1),Materiales!$A$2:$E$502,5,FALSE)*VALUE(MID(TRIM(MID(SUBSTITUTE($V35,";",REPT(" ",99)),199,99)),FIND(":",TRIM(MID(SUBSTITUTE($V35,";",REPT(" ",99)),199,99)))+1,99)),0) + IFERROR(VLOOKUP(LEFT(TRIM(MID(SUBSTITUTE($V35,";",REPT(" ",99)),298,99)),FIND(":",TRIM(MID(SUBSTITUTE($V35,";",REPT(" ",99)),298,99)))-1),Materiales!$A$2:$E$502,5,FALSE)*VALUE(MID(TRIM(MID(SUBSTITUTE($V35,";",REPT(" ",99)),298,99)),FIND(":",TRIM(MID(SUBSTITUTE($V35,";",REPT(" ",99)),298,99)))+1,99)),0) + IFERROR(VLOOKUP(LEFT(TRIM(MID(SUBSTITUTE($V35,";",REPT(" ",99)),397,99)),FIND(":",TRIM(MID(SUBSTITUTE($V35,";",REPT(" ",99)),397,99)))-1),Materiales!$A$2:$E$502,5,FALSE)*VALUE(MID(TRIM(MID(SUBSTITUTE($V35,";",REPT(" ",99)),397,99)),FIND(":",TRIM(MID(SUBSTITUTE($V35,";",REPT(" ",99)),397,99)))+1,99)),0) + IFERROR(VLOOKUP(LEFT(TRIM(MID(SUBSTITUTE($V35,";",REPT(" ",99)),496,99)),FIND(":",TRIM(MID(SUBSTITUTE($V35,";",REPT(" ",99)),496,99)))-1),Materiales!$A$2:$E$502,5,FALSE)*VALUE(MID(TRIM(MID(SUBSTITUTE($V35,";",REPT(" ",99)),496,99)),FIND(":",TRIM(MID(SUBSTITUTE($V35,";",REPT(" ",99)),496,99)))+1,99)),0) + IFERROR(VLOOKUP(LEFT(TRIM(MID(SUBSTITUTE($V35,";",REPT(" ",99)),595,99)),FIND(":",TRIM(MID(SUBSTITUTE($V35,";",REPT(" ",99)),595,99)))-1),Materiales!$A$2:$E$502,5,FALSE)*VALUE(MID(TRIM(MID(SUBSTITUTE($V35,";",REPT(" ",99)),595,99)),FIND(":",TRIM(MID(SUBSTITUTE($V35,";",REPT(" ",99)),595,99)))+1,99)),0) + IFERROR(VLOOKUP(LEFT(TRIM(MID(SUBSTITUTE($V35,";",REPT(" ",99)),694,99)),FIND(":",TRIM(MID(SUBSTITUTE($V35,";",REPT(" ",99)),694,99)))-1),Materiales!$A$2:$E$502,5,FALSE)*VALUE(MID(TRIM(MID(SUBSTITUTE($V35,";",REPT(" ",99)),694,99)),FIND(":",TRIM(MID(SUBSTITUTE($V35,";",REPT(" ",99)),694,99)))+1,99)),0) + IFERROR(VLOOKUP(LEFT(TRIM(MID(SUBSTITUTE($V35,";",REPT(" ",99)),793,99)),FIND(":",TRIM(MID(SUBSTITUTE($V35,";",REPT(" ",99)),793,99)))-1),Materiales!$A$2:$E$502,5,FALSE)*VALUE(MID(TRIM(MID(SUBSTITUTE($V35,";",REPT(" ",99)),793,99)),FIND(":",TRIM(MID(SUBSTITUTE($V35,";",REPT(" ",99)),793,99)))+1,99)),0) + IFERROR(VLOOKUP(LEFT(TRIM(MID(SUBSTITUTE($V35,";",REPT(" ",99)),892,99)),FIND(":",TRIM(MID(SUBSTITUTE($V35,";",REPT(" ",99)),892,99)))-1),Materiales!$A$2:$E$502,5,FALSE)*VALUE(MID(TRIM(MID(SUBSTITUTE($V35,";",REPT(" ",99)),892,99)),FIND(":",TRIM(MID(SUBSTITUTE($V35,";",REPT(" ",99)),892,99)))+1,99)),0)))</f>
        <v>6247.865655</v>
      </c>
      <c r="X35" s="39">
        <f t="shared" si="13"/>
        <v>7036.865655</v>
      </c>
      <c r="Y35" s="40" t="s">
        <v>195</v>
      </c>
      <c r="Z35" s="41">
        <f t="shared" si="14"/>
        <v>21110.59697</v>
      </c>
      <c r="AA35" s="42">
        <v>0.0</v>
      </c>
      <c r="AB35" s="18">
        <f t="shared" si="15"/>
        <v>21110.59697</v>
      </c>
      <c r="AC35" s="43">
        <v>23000.0</v>
      </c>
      <c r="AD35" s="42">
        <f t="shared" si="16"/>
        <v>14073.73131</v>
      </c>
      <c r="AE35" s="44">
        <f t="shared" si="17"/>
        <v>15963.13434</v>
      </c>
      <c r="AF35" s="45">
        <f t="shared" si="18"/>
        <v>1.134250327</v>
      </c>
    </row>
    <row r="36" ht="15.75" customHeight="1">
      <c r="A36" s="17" t="s">
        <v>235</v>
      </c>
      <c r="B36" s="17" t="s">
        <v>16</v>
      </c>
      <c r="C36" s="46">
        <v>0.4</v>
      </c>
      <c r="D36" s="17" t="s">
        <v>11</v>
      </c>
      <c r="E36" s="46">
        <v>0.6</v>
      </c>
      <c r="F36" s="18">
        <v>215.0</v>
      </c>
      <c r="G36" s="5">
        <f t="array" ref="G36">IF($A36="","",IFERROR($F36*(N($C36)*XLOOKUP($B36,Ceras!$A$2:$A$500,Ceras!$G$2:$G$500,0)+IF($D36="",0,N($E36)*XLOOKUP($D36,Ceras!$A$2:$A$500,Ceras!$G$2:$G$500,0))),"Revisar cera"))</f>
        <v>3289.5</v>
      </c>
      <c r="H36" s="5">
        <f t="shared" si="11"/>
        <v>322.5</v>
      </c>
      <c r="I36" s="17" t="s">
        <v>34</v>
      </c>
      <c r="J36" s="18">
        <v>16.0</v>
      </c>
      <c r="K36" s="5">
        <f t="array" ref="K36">IF($A36="","",IFERROR($J36*XLOOKUP($I36,Pabilos!$A$2:$A$500,Pabilos!$H$2:$H$500,0),"Revisar pabilo"))</f>
        <v>320</v>
      </c>
      <c r="L36" s="17" t="s">
        <v>55</v>
      </c>
      <c r="M36" s="18">
        <v>4.0</v>
      </c>
      <c r="N36" s="5">
        <f t="array" ref="N36">IF($A36="","",IFERROR($M36*XLOOKUP($L36,Esencias!$A$2:$A$501,Esencias!$G$2:$G$501,0),"Revisar esencia"))</f>
        <v>563.3802817</v>
      </c>
      <c r="O36" s="17" t="s">
        <v>81</v>
      </c>
      <c r="P36" s="18">
        <v>3.0</v>
      </c>
      <c r="Q36" s="5">
        <f t="array" ref="Q36">IF($A36="","",IFERROR(IF($P36="",1,$P36)*XLOOKUP($O36,Colores!$A$2:$A$500,Colores!$H$2:$H$500,0),"Revisar color"))</f>
        <v>276.9230769</v>
      </c>
      <c r="R36" s="3"/>
      <c r="S36" s="5">
        <f t="array" ref="S36">IF($A36="","",IF($R36="",0,IFERROR(VLOOKUP(LEFT(TRIM(MID(SUBSTITUTE($R36,";",REPT(" ",99)),1,99)),FIND(":",TRIM(MID(SUBSTITUTE($R36,";",REPT(" ",99)),1,99)))-1),Materiales!$A$2:$E$502,5,FALSE)*VALUE(MID(TRIM(MID(SUBSTITUTE($R36,";",REPT(" ",99)),1,99)),FIND(":",TRIM(MID(SUBSTITUTE($R36,";",REPT(" ",99)),1,99)))+1,99)),0) + IFERROR(VLOOKUP(LEFT(TRIM(MID(SUBSTITUTE($R36,";",REPT(" ",99)),100,99)),FIND(":",TRIM(MID(SUBSTITUTE($R36,";",REPT(" ",99)),100,99)))-1),Materiales!$A$2:$E$502,5,FALSE)*VALUE(MID(TRIM(MID(SUBSTITUTE($R36,";",REPT(" ",99)),100,99)),FIND(":",TRIM(MID(SUBSTITUTE($R36,";",REPT(" ",99)),100,99)))+1,99)),0) + IFERROR(VLOOKUP(LEFT(TRIM(MID(SUBSTITUTE($R36,";",REPT(" ",99)),199,99)),FIND(":",TRIM(MID(SUBSTITUTE($R36,";",REPT(" ",99)),199,99)))-1),Materiales!$A$2:$E$502,5,FALSE)*VALUE(MID(TRIM(MID(SUBSTITUTE($R36,";",REPT(" ",99)),199,99)),FIND(":",TRIM(MID(SUBSTITUTE($R36,";",REPT(" ",99)),199,99)))+1,99)),0) + IFERROR(VLOOKUP(LEFT(TRIM(MID(SUBSTITUTE($R36,";",REPT(" ",99)),298,99)),FIND(":",TRIM(MID(SUBSTITUTE($R36,";",REPT(" ",99)),298,99)))-1),Materiales!$A$2:$E$502,5,FALSE)*VALUE(MID(TRIM(MID(SUBSTITUTE($R36,";",REPT(" ",99)),298,99)),FIND(":",TRIM(MID(SUBSTITUTE($R36,";",REPT(" ",99)),298,99)))+1,99)),0) + IFERROR(VLOOKUP(LEFT(TRIM(MID(SUBSTITUTE($R36,";",REPT(" ",99)),397,99)),FIND(":",TRIM(MID(SUBSTITUTE($R36,";",REPT(" ",99)),397,99)))-1),Materiales!$A$2:$E$502,5,FALSE)*VALUE(MID(TRIM(MID(SUBSTITUTE($R36,";",REPT(" ",99)),397,99)),FIND(":",TRIM(MID(SUBSTITUTE($R36,";",REPT(" ",99)),397,99)))+1,99)),0) + IFERROR(VLOOKUP(LEFT(TRIM(MID(SUBSTITUTE($R36,";",REPT(" ",99)),496,99)),FIND(":",TRIM(MID(SUBSTITUTE($R36,";",REPT(" ",99)),496,99)))-1),Materiales!$A$2:$E$502,5,FALSE)*VALUE(MID(TRIM(MID(SUBSTITUTE($R36,";",REPT(" ",99)),496,99)),FIND(":",TRIM(MID(SUBSTITUTE($R36,";",REPT(" ",99)),496,99)))+1,99)),0) + IFERROR(VLOOKUP(LEFT(TRIM(MID(SUBSTITUTE($R36,";",REPT(" ",99)),595,99)),FIND(":",TRIM(MID(SUBSTITUTE($R36,";",REPT(" ",99)),595,99)))-1),Materiales!$A$2:$E$502,5,FALSE)*VALUE(MID(TRIM(MID(SUBSTITUTE($R36,";",REPT(" ",99)),595,99)),FIND(":",TRIM(MID(SUBSTITUTE($R36,";",REPT(" ",99)),595,99)))+1,99)),0) + IFERROR(VLOOKUP(LEFT(TRIM(MID(SUBSTITUTE($R36,";",REPT(" ",99)),694,99)),FIND(":",TRIM(MID(SUBSTITUTE($R36,";",REPT(" ",99)),694,99)))-1),Materiales!$A$2:$E$502,5,FALSE)*VALUE(MID(TRIM(MID(SUBSTITUTE($R36,";",REPT(" ",99)),694,99)),FIND(":",TRIM(MID(SUBSTITUTE($R36,";",REPT(" ",99)),694,99)))+1,99)),0) + IFERROR(VLOOKUP(LEFT(TRIM(MID(SUBSTITUTE($R36,";",REPT(" ",99)),793,99)),FIND(":",TRIM(MID(SUBSTITUTE($R36,";",REPT(" ",99)),793,99)))-1),Materiales!$A$2:$E$502,5,FALSE)*VALUE(MID(TRIM(MID(SUBSTITUTE($R36,";",REPT(" ",99)),793,99)),FIND(":",TRIM(MID(SUBSTITUTE($R36,";",REPT(" ",99)),793,99)))+1,99)),0) + IFERROR(VLOOKUP(LEFT(TRIM(MID(SUBSTITUTE($R36,";",REPT(" ",99)),892,99)),FIND(":",TRIM(MID(SUBSTITUTE($R36,";",REPT(" ",99)),892,99)))-1),Materiales!$A$2:$E$502,5,FALSE)*VALUE(MID(TRIM(MID(SUBSTITUTE($R36,";",REPT(" ",99)),892,99)),FIND(":",TRIM(MID(SUBSTITUTE($R36,";",REPT(" ",99)),892,99)))+1,99)),0)))</f>
        <v>0</v>
      </c>
      <c r="T36" s="17" t="s">
        <v>236</v>
      </c>
      <c r="U36" s="5">
        <f t="array" ref="U36">IF($A36="","",IF($T36="",0,IFERROR(VLOOKUP(LEFT(TRIM(MID(SUBSTITUTE($T36,";",REPT(" ",99)),1,99)),FIND(":",TRIM(MID(SUBSTITUTE($T36,";",REPT(" ",99)),1,99)))-1),Materiales!$A$2:$E$502,5,FALSE)*VALUE(MID(TRIM(MID(SUBSTITUTE($T36,";",REPT(" ",99)),1,99)),FIND(":",TRIM(MID(SUBSTITUTE($T36,";",REPT(" ",99)),1,99)))+1,99)),0) + IFERROR(VLOOKUP(LEFT(TRIM(MID(SUBSTITUTE($T36,";",REPT(" ",99)),100,99)),FIND(":",TRIM(MID(SUBSTITUTE($T36,";",REPT(" ",99)),100,99)))-1),Materiales!$A$2:$E$502,5,FALSE)*VALUE(MID(TRIM(MID(SUBSTITUTE($T36,";",REPT(" ",99)),100,99)),FIND(":",TRIM(MID(SUBSTITUTE($T36,";",REPT(" ",99)),100,99)))+1,99)),0) + IFERROR(VLOOKUP(LEFT(TRIM(MID(SUBSTITUTE($T36,";",REPT(" ",99)),199,99)),FIND(":",TRIM(MID(SUBSTITUTE($T36,";",REPT(" ",99)),199,99)))-1),Materiales!$A$2:$E$502,5,FALSE)*VALUE(MID(TRIM(MID(SUBSTITUTE($T36,";",REPT(" ",99)),199,99)),FIND(":",TRIM(MID(SUBSTITUTE($T36,";",REPT(" ",99)),199,99)))+1,99)),0) + IFERROR(VLOOKUP(LEFT(TRIM(MID(SUBSTITUTE($T36,";",REPT(" ",99)),298,99)),FIND(":",TRIM(MID(SUBSTITUTE($T36,";",REPT(" ",99)),298,99)))-1),Materiales!$A$2:$E$502,5,FALSE)*VALUE(MID(TRIM(MID(SUBSTITUTE($T36,";",REPT(" ",99)),298,99)),FIND(":",TRIM(MID(SUBSTITUTE($T36,";",REPT(" ",99)),298,99)))+1,99)),0) + IFERROR(VLOOKUP(LEFT(TRIM(MID(SUBSTITUTE($T36,";",REPT(" ",99)),397,99)),FIND(":",TRIM(MID(SUBSTITUTE($T36,";",REPT(" ",99)),397,99)))-1),Materiales!$A$2:$E$502,5,FALSE)*VALUE(MID(TRIM(MID(SUBSTITUTE($T36,";",REPT(" ",99)),397,99)),FIND(":",TRIM(MID(SUBSTITUTE($T36,";",REPT(" ",99)),397,99)))+1,99)),0) + IFERROR(VLOOKUP(LEFT(TRIM(MID(SUBSTITUTE($T36,";",REPT(" ",99)),496,99)),FIND(":",TRIM(MID(SUBSTITUTE($T36,";",REPT(" ",99)),496,99)))-1),Materiales!$A$2:$E$502,5,FALSE)*VALUE(MID(TRIM(MID(SUBSTITUTE($T36,";",REPT(" ",99)),496,99)),FIND(":",TRIM(MID(SUBSTITUTE($T36,";",REPT(" ",99)),496,99)))+1,99)),0) + IFERROR(VLOOKUP(LEFT(TRIM(MID(SUBSTITUTE($T36,";",REPT(" ",99)),595,99)),FIND(":",TRIM(MID(SUBSTITUTE($T36,";",REPT(" ",99)),595,99)))-1),Materiales!$A$2:$E$502,5,FALSE)*VALUE(MID(TRIM(MID(SUBSTITUTE($T36,";",REPT(" ",99)),595,99)),FIND(":",TRIM(MID(SUBSTITUTE($T36,";",REPT(" ",99)),595,99)))+1,99)),0) + IFERROR(VLOOKUP(LEFT(TRIM(MID(SUBSTITUTE($T36,";",REPT(" ",99)),694,99)),FIND(":",TRIM(MID(SUBSTITUTE($T36,";",REPT(" ",99)),694,99)))-1),Materiales!$A$2:$E$502,5,FALSE)*VALUE(MID(TRIM(MID(SUBSTITUTE($T36,";",REPT(" ",99)),694,99)),FIND(":",TRIM(MID(SUBSTITUTE($T36,";",REPT(" ",99)),694,99)))+1,99)),0) + IFERROR(VLOOKUP(LEFT(TRIM(MID(SUBSTITUTE($T36,";",REPT(" ",99)),793,99)),FIND(":",TRIM(MID(SUBSTITUTE($T36,";",REPT(" ",99)),793,99)))-1),Materiales!$A$2:$E$502,5,FALSE)*VALUE(MID(TRIM(MID(SUBSTITUTE($T36,";",REPT(" ",99)),793,99)),FIND(":",TRIM(MID(SUBSTITUTE($T36,";",REPT(" ",99)),793,99)))+1,99)),0) + IFERROR(VLOOKUP(LEFT(TRIM(MID(SUBSTITUTE($T36,";",REPT(" ",99)),892,99)),FIND(":",TRIM(MID(SUBSTITUTE($T36,";",REPT(" ",99)),892,99)))-1),Materiales!$A$2:$E$502,5,FALSE)*VALUE(MID(TRIM(MID(SUBSTITUTE($T36,";",REPT(" ",99)),892,99)),FIND(":",TRIM(MID(SUBSTITUTE($T36,";",REPT(" ",99)),892,99)))+1,99)),0)))</f>
        <v>3600</v>
      </c>
      <c r="V36" s="17"/>
      <c r="W36" s="5">
        <f t="array" ref="W36">IF($A36="","",IF($V36="",0,IFERROR(VLOOKUP(LEFT(TRIM(MID(SUBSTITUTE($V36,";",REPT(" ",99)),1,99)),FIND(":",TRIM(MID(SUBSTITUTE($V36,";",REPT(" ",99)),1,99)))-1),Materiales!$A$2:$E$502,5,FALSE)*VALUE(MID(TRIM(MID(SUBSTITUTE($V36,";",REPT(" ",99)),1,99)),FIND(":",TRIM(MID(SUBSTITUTE($V36,";",REPT(" ",99)),1,99)))+1,99)),0) + IFERROR(VLOOKUP(LEFT(TRIM(MID(SUBSTITUTE($V36,";",REPT(" ",99)),100,99)),FIND(":",TRIM(MID(SUBSTITUTE($V36,";",REPT(" ",99)),100,99)))-1),Materiales!$A$2:$E$502,5,FALSE)*VALUE(MID(TRIM(MID(SUBSTITUTE($V36,";",REPT(" ",99)),100,99)),FIND(":",TRIM(MID(SUBSTITUTE($V36,";",REPT(" ",99)),100,99)))+1,99)),0) + IFERROR(VLOOKUP(LEFT(TRIM(MID(SUBSTITUTE($V36,";",REPT(" ",99)),199,99)),FIND(":",TRIM(MID(SUBSTITUTE($V36,";",REPT(" ",99)),199,99)))-1),Materiales!$A$2:$E$502,5,FALSE)*VALUE(MID(TRIM(MID(SUBSTITUTE($V36,";",REPT(" ",99)),199,99)),FIND(":",TRIM(MID(SUBSTITUTE($V36,";",REPT(" ",99)),199,99)))+1,99)),0) + IFERROR(VLOOKUP(LEFT(TRIM(MID(SUBSTITUTE($V36,";",REPT(" ",99)),298,99)),FIND(":",TRIM(MID(SUBSTITUTE($V36,";",REPT(" ",99)),298,99)))-1),Materiales!$A$2:$E$502,5,FALSE)*VALUE(MID(TRIM(MID(SUBSTITUTE($V36,";",REPT(" ",99)),298,99)),FIND(":",TRIM(MID(SUBSTITUTE($V36,";",REPT(" ",99)),298,99)))+1,99)),0) + IFERROR(VLOOKUP(LEFT(TRIM(MID(SUBSTITUTE($V36,";",REPT(" ",99)),397,99)),FIND(":",TRIM(MID(SUBSTITUTE($V36,";",REPT(" ",99)),397,99)))-1),Materiales!$A$2:$E$502,5,FALSE)*VALUE(MID(TRIM(MID(SUBSTITUTE($V36,";",REPT(" ",99)),397,99)),FIND(":",TRIM(MID(SUBSTITUTE($V36,";",REPT(" ",99)),397,99)))+1,99)),0) + IFERROR(VLOOKUP(LEFT(TRIM(MID(SUBSTITUTE($V36,";",REPT(" ",99)),496,99)),FIND(":",TRIM(MID(SUBSTITUTE($V36,";",REPT(" ",99)),496,99)))-1),Materiales!$A$2:$E$502,5,FALSE)*VALUE(MID(TRIM(MID(SUBSTITUTE($V36,";",REPT(" ",99)),496,99)),FIND(":",TRIM(MID(SUBSTITUTE($V36,";",REPT(" ",99)),496,99)))+1,99)),0) + IFERROR(VLOOKUP(LEFT(TRIM(MID(SUBSTITUTE($V36,";",REPT(" ",99)),595,99)),FIND(":",TRIM(MID(SUBSTITUTE($V36,";",REPT(" ",99)),595,99)))-1),Materiales!$A$2:$E$502,5,FALSE)*VALUE(MID(TRIM(MID(SUBSTITUTE($V36,";",REPT(" ",99)),595,99)),FIND(":",TRIM(MID(SUBSTITUTE($V36,";",REPT(" ",99)),595,99)))+1,99)),0) + IFERROR(VLOOKUP(LEFT(TRIM(MID(SUBSTITUTE($V36,";",REPT(" ",99)),694,99)),FIND(":",TRIM(MID(SUBSTITUTE($V36,";",REPT(" ",99)),694,99)))-1),Materiales!$A$2:$E$502,5,FALSE)*VALUE(MID(TRIM(MID(SUBSTITUTE($V36,";",REPT(" ",99)),694,99)),FIND(":",TRIM(MID(SUBSTITUTE($V36,";",REPT(" ",99)),694,99)))+1,99)),0) + IFERROR(VLOOKUP(LEFT(TRIM(MID(SUBSTITUTE($V36,";",REPT(" ",99)),793,99)),FIND(":",TRIM(MID(SUBSTITUTE($V36,";",REPT(" ",99)),793,99)))-1),Materiales!$A$2:$E$502,5,FALSE)*VALUE(MID(TRIM(MID(SUBSTITUTE($V36,";",REPT(" ",99)),793,99)),FIND(":",TRIM(MID(SUBSTITUTE($V36,";",REPT(" ",99)),793,99)))+1,99)),0) + IFERROR(VLOOKUP(LEFT(TRIM(MID(SUBSTITUTE($V36,";",REPT(" ",99)),892,99)),FIND(":",TRIM(MID(SUBSTITUTE($V36,";",REPT(" ",99)),892,99)))-1),Materiales!$A$2:$E$502,5,FALSE)*VALUE(MID(TRIM(MID(SUBSTITUTE($V36,";",REPT(" ",99)),892,99)),FIND(":",TRIM(MID(SUBSTITUTE($V36,";",REPT(" ",99)),892,99)))+1,99)),0)))</f>
        <v>0</v>
      </c>
      <c r="X36" s="39">
        <f t="shared" si="13"/>
        <v>8372.303359</v>
      </c>
      <c r="Y36" s="40" t="s">
        <v>195</v>
      </c>
      <c r="Z36" s="41">
        <f t="shared" si="14"/>
        <v>25116.91008</v>
      </c>
      <c r="AA36" s="42">
        <v>5000.0</v>
      </c>
      <c r="AB36" s="18">
        <f t="shared" si="15"/>
        <v>30116.91008</v>
      </c>
      <c r="AC36" s="43">
        <v>30000.0</v>
      </c>
      <c r="AD36" s="42">
        <f t="shared" si="16"/>
        <v>21744.60672</v>
      </c>
      <c r="AE36" s="44">
        <f t="shared" si="17"/>
        <v>21627.69664</v>
      </c>
      <c r="AF36" s="45">
        <f t="shared" si="18"/>
        <v>0.9946234909</v>
      </c>
    </row>
    <row r="37" ht="15.75" customHeight="1">
      <c r="A37" s="17" t="s">
        <v>237</v>
      </c>
      <c r="B37" s="17" t="s">
        <v>18</v>
      </c>
      <c r="C37" s="46">
        <v>1.0</v>
      </c>
      <c r="D37" s="38"/>
      <c r="E37" s="38"/>
      <c r="F37" s="18">
        <v>88.0</v>
      </c>
      <c r="G37" s="5">
        <f t="array" ref="G37">IF($A37="","",IFERROR($F37*(N($C37)*XLOOKUP($B37,Ceras!$A$2:$A$500,Ceras!$G$2:$G$500,0)+IF($D37="",0,N($E37)*XLOOKUP($D37,Ceras!$A$2:$A$500,Ceras!$G$2:$G$500,0))),"Revisar cera"))</f>
        <v>2464</v>
      </c>
      <c r="H37" s="5">
        <f t="shared" si="11"/>
        <v>132</v>
      </c>
      <c r="I37" s="17" t="s">
        <v>32</v>
      </c>
      <c r="J37" s="18">
        <v>6.0</v>
      </c>
      <c r="K37" s="5">
        <f t="array" ref="K37">IF($A37="","",IFERROR($J37*XLOOKUP($I37,Pabilos!$A$2:$A$500,Pabilos!$H$2:$H$500,0),"Revisar pabilo"))</f>
        <v>108</v>
      </c>
      <c r="L37" s="17" t="s">
        <v>238</v>
      </c>
      <c r="M37" s="18">
        <v>12.0</v>
      </c>
      <c r="N37" s="5">
        <f t="array" ref="N37">IF($A37="","",IFERROR($M37*XLOOKUP($L37,Esencias!$A$2:$A$501,Esencias!$G$2:$G$501,0),"Revisar esencia"))</f>
        <v>0</v>
      </c>
      <c r="O37" s="17" t="s">
        <v>81</v>
      </c>
      <c r="P37" s="18">
        <v>0.0</v>
      </c>
      <c r="Q37" s="5">
        <f t="array" ref="Q37">IF($A37="","",IFERROR(IF($P37="",1,$P37)*XLOOKUP($O37,Colores!$A$2:$A$500,Colores!$H$2:$H$500,0),"Revisar color"))</f>
        <v>0</v>
      </c>
      <c r="R37" s="3"/>
      <c r="S37" s="5">
        <f t="array" ref="S37">IF($A37="","",IF($R37="",0,IFERROR(VLOOKUP(LEFT(TRIM(MID(SUBSTITUTE($R37,";",REPT(" ",99)),1,99)),FIND(":",TRIM(MID(SUBSTITUTE($R37,";",REPT(" ",99)),1,99)))-1),Materiales!$A$2:$E$502,5,FALSE)*VALUE(MID(TRIM(MID(SUBSTITUTE($R37,";",REPT(" ",99)),1,99)),FIND(":",TRIM(MID(SUBSTITUTE($R37,";",REPT(" ",99)),1,99)))+1,99)),0) + IFERROR(VLOOKUP(LEFT(TRIM(MID(SUBSTITUTE($R37,";",REPT(" ",99)),100,99)),FIND(":",TRIM(MID(SUBSTITUTE($R37,";",REPT(" ",99)),100,99)))-1),Materiales!$A$2:$E$502,5,FALSE)*VALUE(MID(TRIM(MID(SUBSTITUTE($R37,";",REPT(" ",99)),100,99)),FIND(":",TRIM(MID(SUBSTITUTE($R37,";",REPT(" ",99)),100,99)))+1,99)),0) + IFERROR(VLOOKUP(LEFT(TRIM(MID(SUBSTITUTE($R37,";",REPT(" ",99)),199,99)),FIND(":",TRIM(MID(SUBSTITUTE($R37,";",REPT(" ",99)),199,99)))-1),Materiales!$A$2:$E$502,5,FALSE)*VALUE(MID(TRIM(MID(SUBSTITUTE($R37,";",REPT(" ",99)),199,99)),FIND(":",TRIM(MID(SUBSTITUTE($R37,";",REPT(" ",99)),199,99)))+1,99)),0) + IFERROR(VLOOKUP(LEFT(TRIM(MID(SUBSTITUTE($R37,";",REPT(" ",99)),298,99)),FIND(":",TRIM(MID(SUBSTITUTE($R37,";",REPT(" ",99)),298,99)))-1),Materiales!$A$2:$E$502,5,FALSE)*VALUE(MID(TRIM(MID(SUBSTITUTE($R37,";",REPT(" ",99)),298,99)),FIND(":",TRIM(MID(SUBSTITUTE($R37,";",REPT(" ",99)),298,99)))+1,99)),0) + IFERROR(VLOOKUP(LEFT(TRIM(MID(SUBSTITUTE($R37,";",REPT(" ",99)),397,99)),FIND(":",TRIM(MID(SUBSTITUTE($R37,";",REPT(" ",99)),397,99)))-1),Materiales!$A$2:$E$502,5,FALSE)*VALUE(MID(TRIM(MID(SUBSTITUTE($R37,";",REPT(" ",99)),397,99)),FIND(":",TRIM(MID(SUBSTITUTE($R37,";",REPT(" ",99)),397,99)))+1,99)),0) + IFERROR(VLOOKUP(LEFT(TRIM(MID(SUBSTITUTE($R37,";",REPT(" ",99)),496,99)),FIND(":",TRIM(MID(SUBSTITUTE($R37,";",REPT(" ",99)),496,99)))-1),Materiales!$A$2:$E$502,5,FALSE)*VALUE(MID(TRIM(MID(SUBSTITUTE($R37,";",REPT(" ",99)),496,99)),FIND(":",TRIM(MID(SUBSTITUTE($R37,";",REPT(" ",99)),496,99)))+1,99)),0) + IFERROR(VLOOKUP(LEFT(TRIM(MID(SUBSTITUTE($R37,";",REPT(" ",99)),595,99)),FIND(":",TRIM(MID(SUBSTITUTE($R37,";",REPT(" ",99)),595,99)))-1),Materiales!$A$2:$E$502,5,FALSE)*VALUE(MID(TRIM(MID(SUBSTITUTE($R37,";",REPT(" ",99)),595,99)),FIND(":",TRIM(MID(SUBSTITUTE($R37,";",REPT(" ",99)),595,99)))+1,99)),0) + IFERROR(VLOOKUP(LEFT(TRIM(MID(SUBSTITUTE($R37,";",REPT(" ",99)),694,99)),FIND(":",TRIM(MID(SUBSTITUTE($R37,";",REPT(" ",99)),694,99)))-1),Materiales!$A$2:$E$502,5,FALSE)*VALUE(MID(TRIM(MID(SUBSTITUTE($R37,";",REPT(" ",99)),694,99)),FIND(":",TRIM(MID(SUBSTITUTE($R37,";",REPT(" ",99)),694,99)))+1,99)),0) + IFERROR(VLOOKUP(LEFT(TRIM(MID(SUBSTITUTE($R37,";",REPT(" ",99)),793,99)),FIND(":",TRIM(MID(SUBSTITUTE($R37,";",REPT(" ",99)),793,99)))-1),Materiales!$A$2:$E$502,5,FALSE)*VALUE(MID(TRIM(MID(SUBSTITUTE($R37,";",REPT(" ",99)),793,99)),FIND(":",TRIM(MID(SUBSTITUTE($R37,";",REPT(" ",99)),793,99)))+1,99)),0) + IFERROR(VLOOKUP(LEFT(TRIM(MID(SUBSTITUTE($R37,";",REPT(" ",99)),892,99)),FIND(":",TRIM(MID(SUBSTITUTE($R37,";",REPT(" ",99)),892,99)))-1),Materiales!$A$2:$E$502,5,FALSE)*VALUE(MID(TRIM(MID(SUBSTITUTE($R37,";",REPT(" ",99)),892,99)),FIND(":",TRIM(MID(SUBSTITUTE($R37,";",REPT(" ",99)),892,99)))+1,99)),0)))</f>
        <v>0</v>
      </c>
      <c r="T37" s="17" t="s">
        <v>239</v>
      </c>
      <c r="U37" s="5">
        <f t="array" ref="U37">IF($A37="","",IF($T37="",0,IFERROR(VLOOKUP(LEFT(TRIM(MID(SUBSTITUTE($T37,";",REPT(" ",99)),1,99)),FIND(":",TRIM(MID(SUBSTITUTE($T37,";",REPT(" ",99)),1,99)))-1),Materiales!$A$2:$E$502,5,FALSE)*VALUE(MID(TRIM(MID(SUBSTITUTE($T37,";",REPT(" ",99)),1,99)),FIND(":",TRIM(MID(SUBSTITUTE($T37,";",REPT(" ",99)),1,99)))+1,99)),0) + IFERROR(VLOOKUP(LEFT(TRIM(MID(SUBSTITUTE($T37,";",REPT(" ",99)),100,99)),FIND(":",TRIM(MID(SUBSTITUTE($T37,";",REPT(" ",99)),100,99)))-1),Materiales!$A$2:$E$502,5,FALSE)*VALUE(MID(TRIM(MID(SUBSTITUTE($T37,";",REPT(" ",99)),100,99)),FIND(":",TRIM(MID(SUBSTITUTE($T37,";",REPT(" ",99)),100,99)))+1,99)),0) + IFERROR(VLOOKUP(LEFT(TRIM(MID(SUBSTITUTE($T37,";",REPT(" ",99)),199,99)),FIND(":",TRIM(MID(SUBSTITUTE($T37,";",REPT(" ",99)),199,99)))-1),Materiales!$A$2:$E$502,5,FALSE)*VALUE(MID(TRIM(MID(SUBSTITUTE($T37,";",REPT(" ",99)),199,99)),FIND(":",TRIM(MID(SUBSTITUTE($T37,";",REPT(" ",99)),199,99)))+1,99)),0) + IFERROR(VLOOKUP(LEFT(TRIM(MID(SUBSTITUTE($T37,";",REPT(" ",99)),298,99)),FIND(":",TRIM(MID(SUBSTITUTE($T37,";",REPT(" ",99)),298,99)))-1),Materiales!$A$2:$E$502,5,FALSE)*VALUE(MID(TRIM(MID(SUBSTITUTE($T37,";",REPT(" ",99)),298,99)),FIND(":",TRIM(MID(SUBSTITUTE($T37,";",REPT(" ",99)),298,99)))+1,99)),0) + IFERROR(VLOOKUP(LEFT(TRIM(MID(SUBSTITUTE($T37,";",REPT(" ",99)),397,99)),FIND(":",TRIM(MID(SUBSTITUTE($T37,";",REPT(" ",99)),397,99)))-1),Materiales!$A$2:$E$502,5,FALSE)*VALUE(MID(TRIM(MID(SUBSTITUTE($T37,";",REPT(" ",99)),397,99)),FIND(":",TRIM(MID(SUBSTITUTE($T37,";",REPT(" ",99)),397,99)))+1,99)),0) + IFERROR(VLOOKUP(LEFT(TRIM(MID(SUBSTITUTE($T37,";",REPT(" ",99)),496,99)),FIND(":",TRIM(MID(SUBSTITUTE($T37,";",REPT(" ",99)),496,99)))-1),Materiales!$A$2:$E$502,5,FALSE)*VALUE(MID(TRIM(MID(SUBSTITUTE($T37,";",REPT(" ",99)),496,99)),FIND(":",TRIM(MID(SUBSTITUTE($T37,";",REPT(" ",99)),496,99)))+1,99)),0) + IFERROR(VLOOKUP(LEFT(TRIM(MID(SUBSTITUTE($T37,";",REPT(" ",99)),595,99)),FIND(":",TRIM(MID(SUBSTITUTE($T37,";",REPT(" ",99)),595,99)))-1),Materiales!$A$2:$E$502,5,FALSE)*VALUE(MID(TRIM(MID(SUBSTITUTE($T37,";",REPT(" ",99)),595,99)),FIND(":",TRIM(MID(SUBSTITUTE($T37,";",REPT(" ",99)),595,99)))+1,99)),0) + IFERROR(VLOOKUP(LEFT(TRIM(MID(SUBSTITUTE($T37,";",REPT(" ",99)),694,99)),FIND(":",TRIM(MID(SUBSTITUTE($T37,";",REPT(" ",99)),694,99)))-1),Materiales!$A$2:$E$502,5,FALSE)*VALUE(MID(TRIM(MID(SUBSTITUTE($T37,";",REPT(" ",99)),694,99)),FIND(":",TRIM(MID(SUBSTITUTE($T37,";",REPT(" ",99)),694,99)))+1,99)),0) + IFERROR(VLOOKUP(LEFT(TRIM(MID(SUBSTITUTE($T37,";",REPT(" ",99)),793,99)),FIND(":",TRIM(MID(SUBSTITUTE($T37,";",REPT(" ",99)),793,99)))-1),Materiales!$A$2:$E$502,5,FALSE)*VALUE(MID(TRIM(MID(SUBSTITUTE($T37,";",REPT(" ",99)),793,99)),FIND(":",TRIM(MID(SUBSTITUTE($T37,";",REPT(" ",99)),793,99)))+1,99)),0) + IFERROR(VLOOKUP(LEFT(TRIM(MID(SUBSTITUTE($T37,";",REPT(" ",99)),892,99)),FIND(":",TRIM(MID(SUBSTITUTE($T37,";",REPT(" ",99)),892,99)))-1),Materiales!$A$2:$E$502,5,FALSE)*VALUE(MID(TRIM(MID(SUBSTITUTE($T37,";",REPT(" ",99)),892,99)),FIND(":",TRIM(MID(SUBSTITUTE($T37,";",REPT(" ",99)),892,99)))+1,99)),0)))</f>
        <v>3600</v>
      </c>
      <c r="V37" s="3"/>
      <c r="W37" s="5">
        <f t="array" ref="W37">IF($A37="","",IF($V37="",0,IFERROR(VLOOKUP(LEFT(TRIM(MID(SUBSTITUTE($V37,";",REPT(" ",99)),1,99)),FIND(":",TRIM(MID(SUBSTITUTE($V37,";",REPT(" ",99)),1,99)))-1),Materiales!$A$2:$E$502,5,FALSE)*VALUE(MID(TRIM(MID(SUBSTITUTE($V37,";",REPT(" ",99)),1,99)),FIND(":",TRIM(MID(SUBSTITUTE($V37,";",REPT(" ",99)),1,99)))+1,99)),0) + IFERROR(VLOOKUP(LEFT(TRIM(MID(SUBSTITUTE($V37,";",REPT(" ",99)),100,99)),FIND(":",TRIM(MID(SUBSTITUTE($V37,";",REPT(" ",99)),100,99)))-1),Materiales!$A$2:$E$502,5,FALSE)*VALUE(MID(TRIM(MID(SUBSTITUTE($V37,";",REPT(" ",99)),100,99)),FIND(":",TRIM(MID(SUBSTITUTE($V37,";",REPT(" ",99)),100,99)))+1,99)),0) + IFERROR(VLOOKUP(LEFT(TRIM(MID(SUBSTITUTE($V37,";",REPT(" ",99)),199,99)),FIND(":",TRIM(MID(SUBSTITUTE($V37,";",REPT(" ",99)),199,99)))-1),Materiales!$A$2:$E$502,5,FALSE)*VALUE(MID(TRIM(MID(SUBSTITUTE($V37,";",REPT(" ",99)),199,99)),FIND(":",TRIM(MID(SUBSTITUTE($V37,";",REPT(" ",99)),199,99)))+1,99)),0) + IFERROR(VLOOKUP(LEFT(TRIM(MID(SUBSTITUTE($V37,";",REPT(" ",99)),298,99)),FIND(":",TRIM(MID(SUBSTITUTE($V37,";",REPT(" ",99)),298,99)))-1),Materiales!$A$2:$E$502,5,FALSE)*VALUE(MID(TRIM(MID(SUBSTITUTE($V37,";",REPT(" ",99)),298,99)),FIND(":",TRIM(MID(SUBSTITUTE($V37,";",REPT(" ",99)),298,99)))+1,99)),0) + IFERROR(VLOOKUP(LEFT(TRIM(MID(SUBSTITUTE($V37,";",REPT(" ",99)),397,99)),FIND(":",TRIM(MID(SUBSTITUTE($V37,";",REPT(" ",99)),397,99)))-1),Materiales!$A$2:$E$502,5,FALSE)*VALUE(MID(TRIM(MID(SUBSTITUTE($V37,";",REPT(" ",99)),397,99)),FIND(":",TRIM(MID(SUBSTITUTE($V37,";",REPT(" ",99)),397,99)))+1,99)),0) + IFERROR(VLOOKUP(LEFT(TRIM(MID(SUBSTITUTE($V37,";",REPT(" ",99)),496,99)),FIND(":",TRIM(MID(SUBSTITUTE($V37,";",REPT(" ",99)),496,99)))-1),Materiales!$A$2:$E$502,5,FALSE)*VALUE(MID(TRIM(MID(SUBSTITUTE($V37,";",REPT(" ",99)),496,99)),FIND(":",TRIM(MID(SUBSTITUTE($V37,";",REPT(" ",99)),496,99)))+1,99)),0) + IFERROR(VLOOKUP(LEFT(TRIM(MID(SUBSTITUTE($V37,";",REPT(" ",99)),595,99)),FIND(":",TRIM(MID(SUBSTITUTE($V37,";",REPT(" ",99)),595,99)))-1),Materiales!$A$2:$E$502,5,FALSE)*VALUE(MID(TRIM(MID(SUBSTITUTE($V37,";",REPT(" ",99)),595,99)),FIND(":",TRIM(MID(SUBSTITUTE($V37,";",REPT(" ",99)),595,99)))+1,99)),0) + IFERROR(VLOOKUP(LEFT(TRIM(MID(SUBSTITUTE($V37,";",REPT(" ",99)),694,99)),FIND(":",TRIM(MID(SUBSTITUTE($V37,";",REPT(" ",99)),694,99)))-1),Materiales!$A$2:$E$502,5,FALSE)*VALUE(MID(TRIM(MID(SUBSTITUTE($V37,";",REPT(" ",99)),694,99)),FIND(":",TRIM(MID(SUBSTITUTE($V37,";",REPT(" ",99)),694,99)))+1,99)),0) + IFERROR(VLOOKUP(LEFT(TRIM(MID(SUBSTITUTE($V37,";",REPT(" ",99)),793,99)),FIND(":",TRIM(MID(SUBSTITUTE($V37,";",REPT(" ",99)),793,99)))-1),Materiales!$A$2:$E$502,5,FALSE)*VALUE(MID(TRIM(MID(SUBSTITUTE($V37,";",REPT(" ",99)),793,99)),FIND(":",TRIM(MID(SUBSTITUTE($V37,";",REPT(" ",99)),793,99)))+1,99)),0) + IFERROR(VLOOKUP(LEFT(TRIM(MID(SUBSTITUTE($V37,";",REPT(" ",99)),892,99)),FIND(":",TRIM(MID(SUBSTITUTE($V37,";",REPT(" ",99)),892,99)))-1),Materiales!$A$2:$E$502,5,FALSE)*VALUE(MID(TRIM(MID(SUBSTITUTE($V37,";",REPT(" ",99)),892,99)),FIND(":",TRIM(MID(SUBSTITUTE($V37,";",REPT(" ",99)),892,99)))+1,99)),0)))</f>
        <v>0</v>
      </c>
      <c r="X37" s="39">
        <f t="shared" si="13"/>
        <v>6304</v>
      </c>
      <c r="Y37" s="40" t="s">
        <v>195</v>
      </c>
      <c r="Z37" s="41">
        <f t="shared" si="14"/>
        <v>18912</v>
      </c>
      <c r="AA37" s="42">
        <v>0.0</v>
      </c>
      <c r="AB37" s="18">
        <f t="shared" si="15"/>
        <v>18912</v>
      </c>
      <c r="AC37" s="43">
        <v>20000.0</v>
      </c>
      <c r="AD37" s="42">
        <f t="shared" si="16"/>
        <v>12608</v>
      </c>
      <c r="AE37" s="44">
        <f t="shared" si="17"/>
        <v>13696</v>
      </c>
      <c r="AF37" s="45">
        <f t="shared" si="18"/>
        <v>1.086294416</v>
      </c>
    </row>
    <row r="38" ht="15.75" customHeight="1">
      <c r="A38" s="17" t="s">
        <v>240</v>
      </c>
      <c r="B38" s="17" t="s">
        <v>16</v>
      </c>
      <c r="C38" s="46">
        <v>1.0</v>
      </c>
      <c r="D38" s="38"/>
      <c r="E38" s="38"/>
      <c r="F38" s="18">
        <v>29.0</v>
      </c>
      <c r="G38" s="5">
        <f t="array" ref="G38">IF($A38="","",IFERROR($F38*(N($C38)*XLOOKUP($B38,Ceras!$A$2:$A$500,Ceras!$G$2:$G$500,0)+IF($D38="",0,N($E38)*XLOOKUP($D38,Ceras!$A$2:$A$500,Ceras!$G$2:$G$500,0))),"Revisar cera"))</f>
        <v>522</v>
      </c>
      <c r="H38" s="5">
        <f t="shared" si="11"/>
        <v>43.5</v>
      </c>
      <c r="I38" s="17" t="s">
        <v>26</v>
      </c>
      <c r="J38" s="18">
        <v>20.0</v>
      </c>
      <c r="K38" s="5">
        <f t="array" ref="K38">IF($A38="","",IFERROR($J38*XLOOKUP($I38,Pabilos!$A$2:$A$500,Pabilos!$H$2:$H$500,0),"Revisar pabilo"))</f>
        <v>300</v>
      </c>
      <c r="L38" s="17" t="s">
        <v>55</v>
      </c>
      <c r="M38" s="18">
        <v>0.0</v>
      </c>
      <c r="N38" s="5">
        <f t="array" ref="N38">IF($A38="","",IFERROR($M38*XLOOKUP($L38,Esencias!$A$2:$A$501,Esencias!$G$2:$G$501,0),"Revisar esencia"))</f>
        <v>0</v>
      </c>
      <c r="O38" s="17" t="s">
        <v>81</v>
      </c>
      <c r="P38" s="18">
        <v>1.0</v>
      </c>
      <c r="Q38" s="5">
        <f t="array" ref="Q38">IF($A38="","",IFERROR(IF($P38="",1,$P38)*XLOOKUP($O38,Colores!$A$2:$A$500,Colores!$H$2:$H$500,0),"Revisar color"))</f>
        <v>92.30769231</v>
      </c>
      <c r="R38" s="3"/>
      <c r="S38" s="5">
        <f t="array" ref="S38">IF($A38="","",IF($R38="",0,IFERROR(VLOOKUP(LEFT(TRIM(MID(SUBSTITUTE($R38,";",REPT(" ",99)),1,99)),FIND(":",TRIM(MID(SUBSTITUTE($R38,";",REPT(" ",99)),1,99)))-1),Materiales!$A$2:$E$502,5,FALSE)*VALUE(MID(TRIM(MID(SUBSTITUTE($R38,";",REPT(" ",99)),1,99)),FIND(":",TRIM(MID(SUBSTITUTE($R38,";",REPT(" ",99)),1,99)))+1,99)),0) + IFERROR(VLOOKUP(LEFT(TRIM(MID(SUBSTITUTE($R38,";",REPT(" ",99)),100,99)),FIND(":",TRIM(MID(SUBSTITUTE($R38,";",REPT(" ",99)),100,99)))-1),Materiales!$A$2:$E$502,5,FALSE)*VALUE(MID(TRIM(MID(SUBSTITUTE($R38,";",REPT(" ",99)),100,99)),FIND(":",TRIM(MID(SUBSTITUTE($R38,";",REPT(" ",99)),100,99)))+1,99)),0) + IFERROR(VLOOKUP(LEFT(TRIM(MID(SUBSTITUTE($R38,";",REPT(" ",99)),199,99)),FIND(":",TRIM(MID(SUBSTITUTE($R38,";",REPT(" ",99)),199,99)))-1),Materiales!$A$2:$E$502,5,FALSE)*VALUE(MID(TRIM(MID(SUBSTITUTE($R38,";",REPT(" ",99)),199,99)),FIND(":",TRIM(MID(SUBSTITUTE($R38,";",REPT(" ",99)),199,99)))+1,99)),0) + IFERROR(VLOOKUP(LEFT(TRIM(MID(SUBSTITUTE($R38,";",REPT(" ",99)),298,99)),FIND(":",TRIM(MID(SUBSTITUTE($R38,";",REPT(" ",99)),298,99)))-1),Materiales!$A$2:$E$502,5,FALSE)*VALUE(MID(TRIM(MID(SUBSTITUTE($R38,";",REPT(" ",99)),298,99)),FIND(":",TRIM(MID(SUBSTITUTE($R38,";",REPT(" ",99)),298,99)))+1,99)),0) + IFERROR(VLOOKUP(LEFT(TRIM(MID(SUBSTITUTE($R38,";",REPT(" ",99)),397,99)),FIND(":",TRIM(MID(SUBSTITUTE($R38,";",REPT(" ",99)),397,99)))-1),Materiales!$A$2:$E$502,5,FALSE)*VALUE(MID(TRIM(MID(SUBSTITUTE($R38,";",REPT(" ",99)),397,99)),FIND(":",TRIM(MID(SUBSTITUTE($R38,";",REPT(" ",99)),397,99)))+1,99)),0) + IFERROR(VLOOKUP(LEFT(TRIM(MID(SUBSTITUTE($R38,";",REPT(" ",99)),496,99)),FIND(":",TRIM(MID(SUBSTITUTE($R38,";",REPT(" ",99)),496,99)))-1),Materiales!$A$2:$E$502,5,FALSE)*VALUE(MID(TRIM(MID(SUBSTITUTE($R38,";",REPT(" ",99)),496,99)),FIND(":",TRIM(MID(SUBSTITUTE($R38,";",REPT(" ",99)),496,99)))+1,99)),0) + IFERROR(VLOOKUP(LEFT(TRIM(MID(SUBSTITUTE($R38,";",REPT(" ",99)),595,99)),FIND(":",TRIM(MID(SUBSTITUTE($R38,";",REPT(" ",99)),595,99)))-1),Materiales!$A$2:$E$502,5,FALSE)*VALUE(MID(TRIM(MID(SUBSTITUTE($R38,";",REPT(" ",99)),595,99)),FIND(":",TRIM(MID(SUBSTITUTE($R38,";",REPT(" ",99)),595,99)))+1,99)),0) + IFERROR(VLOOKUP(LEFT(TRIM(MID(SUBSTITUTE($R38,";",REPT(" ",99)),694,99)),FIND(":",TRIM(MID(SUBSTITUTE($R38,";",REPT(" ",99)),694,99)))-1),Materiales!$A$2:$E$502,5,FALSE)*VALUE(MID(TRIM(MID(SUBSTITUTE($R38,";",REPT(" ",99)),694,99)),FIND(":",TRIM(MID(SUBSTITUTE($R38,";",REPT(" ",99)),694,99)))+1,99)),0) + IFERROR(VLOOKUP(LEFT(TRIM(MID(SUBSTITUTE($R38,";",REPT(" ",99)),793,99)),FIND(":",TRIM(MID(SUBSTITUTE($R38,";",REPT(" ",99)),793,99)))-1),Materiales!$A$2:$E$502,5,FALSE)*VALUE(MID(TRIM(MID(SUBSTITUTE($R38,";",REPT(" ",99)),793,99)),FIND(":",TRIM(MID(SUBSTITUTE($R38,";",REPT(" ",99)),793,99)))+1,99)),0) + IFERROR(VLOOKUP(LEFT(TRIM(MID(SUBSTITUTE($R38,";",REPT(" ",99)),892,99)),FIND(":",TRIM(MID(SUBSTITUTE($R38,";",REPT(" ",99)),892,99)))-1),Materiales!$A$2:$E$502,5,FALSE)*VALUE(MID(TRIM(MID(SUBSTITUTE($R38,";",REPT(" ",99)),892,99)),FIND(":",TRIM(MID(SUBSTITUTE($R38,";",REPT(" ",99)),892,99)))+1,99)),0)))</f>
        <v>0</v>
      </c>
      <c r="T38" s="17"/>
      <c r="U38" s="5">
        <f t="array" ref="U38">IF($A38="","",IF($T38="",0,IFERROR(VLOOKUP(LEFT(TRIM(MID(SUBSTITUTE($T38,";",REPT(" ",99)),1,99)),FIND(":",TRIM(MID(SUBSTITUTE($T38,";",REPT(" ",99)),1,99)))-1),Materiales!$A$2:$E$502,5,FALSE)*VALUE(MID(TRIM(MID(SUBSTITUTE($T38,";",REPT(" ",99)),1,99)),FIND(":",TRIM(MID(SUBSTITUTE($T38,";",REPT(" ",99)),1,99)))+1,99)),0) + IFERROR(VLOOKUP(LEFT(TRIM(MID(SUBSTITUTE($T38,";",REPT(" ",99)),100,99)),FIND(":",TRIM(MID(SUBSTITUTE($T38,";",REPT(" ",99)),100,99)))-1),Materiales!$A$2:$E$502,5,FALSE)*VALUE(MID(TRIM(MID(SUBSTITUTE($T38,";",REPT(" ",99)),100,99)),FIND(":",TRIM(MID(SUBSTITUTE($T38,";",REPT(" ",99)),100,99)))+1,99)),0) + IFERROR(VLOOKUP(LEFT(TRIM(MID(SUBSTITUTE($T38,";",REPT(" ",99)),199,99)),FIND(":",TRIM(MID(SUBSTITUTE($T38,";",REPT(" ",99)),199,99)))-1),Materiales!$A$2:$E$502,5,FALSE)*VALUE(MID(TRIM(MID(SUBSTITUTE($T38,";",REPT(" ",99)),199,99)),FIND(":",TRIM(MID(SUBSTITUTE($T38,";",REPT(" ",99)),199,99)))+1,99)),0) + IFERROR(VLOOKUP(LEFT(TRIM(MID(SUBSTITUTE($T38,";",REPT(" ",99)),298,99)),FIND(":",TRIM(MID(SUBSTITUTE($T38,";",REPT(" ",99)),298,99)))-1),Materiales!$A$2:$E$502,5,FALSE)*VALUE(MID(TRIM(MID(SUBSTITUTE($T38,";",REPT(" ",99)),298,99)),FIND(":",TRIM(MID(SUBSTITUTE($T38,";",REPT(" ",99)),298,99)))+1,99)),0) + IFERROR(VLOOKUP(LEFT(TRIM(MID(SUBSTITUTE($T38,";",REPT(" ",99)),397,99)),FIND(":",TRIM(MID(SUBSTITUTE($T38,";",REPT(" ",99)),397,99)))-1),Materiales!$A$2:$E$502,5,FALSE)*VALUE(MID(TRIM(MID(SUBSTITUTE($T38,";",REPT(" ",99)),397,99)),FIND(":",TRIM(MID(SUBSTITUTE($T38,";",REPT(" ",99)),397,99)))+1,99)),0) + IFERROR(VLOOKUP(LEFT(TRIM(MID(SUBSTITUTE($T38,";",REPT(" ",99)),496,99)),FIND(":",TRIM(MID(SUBSTITUTE($T38,";",REPT(" ",99)),496,99)))-1),Materiales!$A$2:$E$502,5,FALSE)*VALUE(MID(TRIM(MID(SUBSTITUTE($T38,";",REPT(" ",99)),496,99)),FIND(":",TRIM(MID(SUBSTITUTE($T38,";",REPT(" ",99)),496,99)))+1,99)),0) + IFERROR(VLOOKUP(LEFT(TRIM(MID(SUBSTITUTE($T38,";",REPT(" ",99)),595,99)),FIND(":",TRIM(MID(SUBSTITUTE($T38,";",REPT(" ",99)),595,99)))-1),Materiales!$A$2:$E$502,5,FALSE)*VALUE(MID(TRIM(MID(SUBSTITUTE($T38,";",REPT(" ",99)),595,99)),FIND(":",TRIM(MID(SUBSTITUTE($T38,";",REPT(" ",99)),595,99)))+1,99)),0) + IFERROR(VLOOKUP(LEFT(TRIM(MID(SUBSTITUTE($T38,";",REPT(" ",99)),694,99)),FIND(":",TRIM(MID(SUBSTITUTE($T38,";",REPT(" ",99)),694,99)))-1),Materiales!$A$2:$E$502,5,FALSE)*VALUE(MID(TRIM(MID(SUBSTITUTE($T38,";",REPT(" ",99)),694,99)),FIND(":",TRIM(MID(SUBSTITUTE($T38,";",REPT(" ",99)),694,99)))+1,99)),0) + IFERROR(VLOOKUP(LEFT(TRIM(MID(SUBSTITUTE($T38,";",REPT(" ",99)),793,99)),FIND(":",TRIM(MID(SUBSTITUTE($T38,";",REPT(" ",99)),793,99)))-1),Materiales!$A$2:$E$502,5,FALSE)*VALUE(MID(TRIM(MID(SUBSTITUTE($T38,";",REPT(" ",99)),793,99)),FIND(":",TRIM(MID(SUBSTITUTE($T38,";",REPT(" ",99)),793,99)))+1,99)),0) + IFERROR(VLOOKUP(LEFT(TRIM(MID(SUBSTITUTE($T38,";",REPT(" ",99)),892,99)),FIND(":",TRIM(MID(SUBSTITUTE($T38,";",REPT(" ",99)),892,99)))-1),Materiales!$A$2:$E$502,5,FALSE)*VALUE(MID(TRIM(MID(SUBSTITUTE($T38,";",REPT(" ",99)),892,99)),FIND(":",TRIM(MID(SUBSTITUTE($T38,";",REPT(" ",99)),892,99)))+1,99)),0)))</f>
        <v>0</v>
      </c>
      <c r="V38" s="17"/>
      <c r="W38" s="5">
        <f t="array" ref="W38">IF($A38="","",IF($V38="",0,IFERROR(VLOOKUP(LEFT(TRIM(MID(SUBSTITUTE($V38,";",REPT(" ",99)),1,99)),FIND(":",TRIM(MID(SUBSTITUTE($V38,";",REPT(" ",99)),1,99)))-1),Materiales!$A$2:$E$502,5,FALSE)*VALUE(MID(TRIM(MID(SUBSTITUTE($V38,";",REPT(" ",99)),1,99)),FIND(":",TRIM(MID(SUBSTITUTE($V38,";",REPT(" ",99)),1,99)))+1,99)),0) + IFERROR(VLOOKUP(LEFT(TRIM(MID(SUBSTITUTE($V38,";",REPT(" ",99)),100,99)),FIND(":",TRIM(MID(SUBSTITUTE($V38,";",REPT(" ",99)),100,99)))-1),Materiales!$A$2:$E$502,5,FALSE)*VALUE(MID(TRIM(MID(SUBSTITUTE($V38,";",REPT(" ",99)),100,99)),FIND(":",TRIM(MID(SUBSTITUTE($V38,";",REPT(" ",99)),100,99)))+1,99)),0) + IFERROR(VLOOKUP(LEFT(TRIM(MID(SUBSTITUTE($V38,";",REPT(" ",99)),199,99)),FIND(":",TRIM(MID(SUBSTITUTE($V38,";",REPT(" ",99)),199,99)))-1),Materiales!$A$2:$E$502,5,FALSE)*VALUE(MID(TRIM(MID(SUBSTITUTE($V38,";",REPT(" ",99)),199,99)),FIND(":",TRIM(MID(SUBSTITUTE($V38,";",REPT(" ",99)),199,99)))+1,99)),0) + IFERROR(VLOOKUP(LEFT(TRIM(MID(SUBSTITUTE($V38,";",REPT(" ",99)),298,99)),FIND(":",TRIM(MID(SUBSTITUTE($V38,";",REPT(" ",99)),298,99)))-1),Materiales!$A$2:$E$502,5,FALSE)*VALUE(MID(TRIM(MID(SUBSTITUTE($V38,";",REPT(" ",99)),298,99)),FIND(":",TRIM(MID(SUBSTITUTE($V38,";",REPT(" ",99)),298,99)))+1,99)),0) + IFERROR(VLOOKUP(LEFT(TRIM(MID(SUBSTITUTE($V38,";",REPT(" ",99)),397,99)),FIND(":",TRIM(MID(SUBSTITUTE($V38,";",REPT(" ",99)),397,99)))-1),Materiales!$A$2:$E$502,5,FALSE)*VALUE(MID(TRIM(MID(SUBSTITUTE($V38,";",REPT(" ",99)),397,99)),FIND(":",TRIM(MID(SUBSTITUTE($V38,";",REPT(" ",99)),397,99)))+1,99)),0) + IFERROR(VLOOKUP(LEFT(TRIM(MID(SUBSTITUTE($V38,";",REPT(" ",99)),496,99)),FIND(":",TRIM(MID(SUBSTITUTE($V38,";",REPT(" ",99)),496,99)))-1),Materiales!$A$2:$E$502,5,FALSE)*VALUE(MID(TRIM(MID(SUBSTITUTE($V38,";",REPT(" ",99)),496,99)),FIND(":",TRIM(MID(SUBSTITUTE($V38,";",REPT(" ",99)),496,99)))+1,99)),0) + IFERROR(VLOOKUP(LEFT(TRIM(MID(SUBSTITUTE($V38,";",REPT(" ",99)),595,99)),FIND(":",TRIM(MID(SUBSTITUTE($V38,";",REPT(" ",99)),595,99)))-1),Materiales!$A$2:$E$502,5,FALSE)*VALUE(MID(TRIM(MID(SUBSTITUTE($V38,";",REPT(" ",99)),595,99)),FIND(":",TRIM(MID(SUBSTITUTE($V38,";",REPT(" ",99)),595,99)))+1,99)),0) + IFERROR(VLOOKUP(LEFT(TRIM(MID(SUBSTITUTE($V38,";",REPT(" ",99)),694,99)),FIND(":",TRIM(MID(SUBSTITUTE($V38,";",REPT(" ",99)),694,99)))-1),Materiales!$A$2:$E$502,5,FALSE)*VALUE(MID(TRIM(MID(SUBSTITUTE($V38,";",REPT(" ",99)),694,99)),FIND(":",TRIM(MID(SUBSTITUTE($V38,";",REPT(" ",99)),694,99)))+1,99)),0) + IFERROR(VLOOKUP(LEFT(TRIM(MID(SUBSTITUTE($V38,";",REPT(" ",99)),793,99)),FIND(":",TRIM(MID(SUBSTITUTE($V38,";",REPT(" ",99)),793,99)))-1),Materiales!$A$2:$E$502,5,FALSE)*VALUE(MID(TRIM(MID(SUBSTITUTE($V38,";",REPT(" ",99)),793,99)),FIND(":",TRIM(MID(SUBSTITUTE($V38,";",REPT(" ",99)),793,99)))+1,99)),0) + IFERROR(VLOOKUP(LEFT(TRIM(MID(SUBSTITUTE($V38,";",REPT(" ",99)),892,99)),FIND(":",TRIM(MID(SUBSTITUTE($V38,";",REPT(" ",99)),892,99)))-1),Materiales!$A$2:$E$502,5,FALSE)*VALUE(MID(TRIM(MID(SUBSTITUTE($V38,";",REPT(" ",99)),892,99)),FIND(":",TRIM(MID(SUBSTITUTE($V38,";",REPT(" ",99)),892,99)))+1,99)),0)))</f>
        <v>0</v>
      </c>
      <c r="X38" s="39">
        <f t="shared" si="13"/>
        <v>957.8076923</v>
      </c>
      <c r="Y38" s="40" t="s">
        <v>195</v>
      </c>
      <c r="Z38" s="41">
        <f t="shared" si="14"/>
        <v>2873.423077</v>
      </c>
      <c r="AA38" s="42">
        <v>0.0</v>
      </c>
      <c r="AB38" s="18">
        <f t="shared" si="15"/>
        <v>2873.423077</v>
      </c>
      <c r="AC38" s="43">
        <v>2500.0</v>
      </c>
      <c r="AD38" s="42">
        <f t="shared" si="16"/>
        <v>1915.615385</v>
      </c>
      <c r="AE38" s="44">
        <f t="shared" si="17"/>
        <v>1542.192308</v>
      </c>
      <c r="AF38" s="45">
        <f t="shared" si="18"/>
        <v>0.805063647</v>
      </c>
    </row>
    <row r="39" ht="15.75" customHeight="1">
      <c r="A39" s="17" t="s">
        <v>241</v>
      </c>
      <c r="B39" s="17" t="s">
        <v>16</v>
      </c>
      <c r="C39" s="46">
        <v>1.0</v>
      </c>
      <c r="D39" s="38"/>
      <c r="E39" s="38"/>
      <c r="F39" s="18"/>
      <c r="G39" s="5">
        <f t="array" ref="G39">IF($A39="","",IFERROR($F39*(N($C39)*XLOOKUP($B39,Ceras!$A$2:$A$500,Ceras!$G$2:$G$500,0)+IF($D39="",0,N($E39)*XLOOKUP($D39,Ceras!$A$2:$A$500,Ceras!$G$2:$G$500,0))),"Revisar cera"))</f>
        <v>0</v>
      </c>
      <c r="H39" s="5">
        <f t="shared" si="11"/>
        <v>0</v>
      </c>
      <c r="I39" s="17" t="s">
        <v>26</v>
      </c>
      <c r="J39" s="18">
        <v>0.0</v>
      </c>
      <c r="K39" s="5">
        <f t="array" ref="K39">IF($A39="","",IFERROR($J39*XLOOKUP($I39,Pabilos!$A$2:$A$500,Pabilos!$H$2:$H$500,0),"Revisar pabilo"))</f>
        <v>0</v>
      </c>
      <c r="L39" s="17" t="s">
        <v>55</v>
      </c>
      <c r="M39" s="18">
        <v>0.0</v>
      </c>
      <c r="N39" s="5">
        <f t="array" ref="N39">IF($A39="","",IFERROR($M39*XLOOKUP($L39,Esencias!$A$2:$A$501,Esencias!$G$2:$G$501,0),"Revisar esencia"))</f>
        <v>0</v>
      </c>
      <c r="O39" s="17" t="s">
        <v>81</v>
      </c>
      <c r="P39" s="18">
        <v>0.0</v>
      </c>
      <c r="Q39" s="5">
        <f t="array" ref="Q39">IF($A39="","",IFERROR(IF($P39="",1,$P39)*XLOOKUP($O39,Colores!$A$2:$A$500,Colores!$H$2:$H$500,0),"Revisar color"))</f>
        <v>0</v>
      </c>
      <c r="R39" s="3"/>
      <c r="S39" s="5">
        <f t="array" ref="S39">IF($A39="","",IF($R39="",0,IFERROR(VLOOKUP(LEFT(TRIM(MID(SUBSTITUTE($R39,";",REPT(" ",99)),1,99)),FIND(":",TRIM(MID(SUBSTITUTE($R39,";",REPT(" ",99)),1,99)))-1),Materiales!$A$2:$E$502,5,FALSE)*VALUE(MID(TRIM(MID(SUBSTITUTE($R39,";",REPT(" ",99)),1,99)),FIND(":",TRIM(MID(SUBSTITUTE($R39,";",REPT(" ",99)),1,99)))+1,99)),0) + IFERROR(VLOOKUP(LEFT(TRIM(MID(SUBSTITUTE($R39,";",REPT(" ",99)),100,99)),FIND(":",TRIM(MID(SUBSTITUTE($R39,";",REPT(" ",99)),100,99)))-1),Materiales!$A$2:$E$502,5,FALSE)*VALUE(MID(TRIM(MID(SUBSTITUTE($R39,";",REPT(" ",99)),100,99)),FIND(":",TRIM(MID(SUBSTITUTE($R39,";",REPT(" ",99)),100,99)))+1,99)),0) + IFERROR(VLOOKUP(LEFT(TRIM(MID(SUBSTITUTE($R39,";",REPT(" ",99)),199,99)),FIND(":",TRIM(MID(SUBSTITUTE($R39,";",REPT(" ",99)),199,99)))-1),Materiales!$A$2:$E$502,5,FALSE)*VALUE(MID(TRIM(MID(SUBSTITUTE($R39,";",REPT(" ",99)),199,99)),FIND(":",TRIM(MID(SUBSTITUTE($R39,";",REPT(" ",99)),199,99)))+1,99)),0) + IFERROR(VLOOKUP(LEFT(TRIM(MID(SUBSTITUTE($R39,";",REPT(" ",99)),298,99)),FIND(":",TRIM(MID(SUBSTITUTE($R39,";",REPT(" ",99)),298,99)))-1),Materiales!$A$2:$E$502,5,FALSE)*VALUE(MID(TRIM(MID(SUBSTITUTE($R39,";",REPT(" ",99)),298,99)),FIND(":",TRIM(MID(SUBSTITUTE($R39,";",REPT(" ",99)),298,99)))+1,99)),0) + IFERROR(VLOOKUP(LEFT(TRIM(MID(SUBSTITUTE($R39,";",REPT(" ",99)),397,99)),FIND(":",TRIM(MID(SUBSTITUTE($R39,";",REPT(" ",99)),397,99)))-1),Materiales!$A$2:$E$502,5,FALSE)*VALUE(MID(TRIM(MID(SUBSTITUTE($R39,";",REPT(" ",99)),397,99)),FIND(":",TRIM(MID(SUBSTITUTE($R39,";",REPT(" ",99)),397,99)))+1,99)),0) + IFERROR(VLOOKUP(LEFT(TRIM(MID(SUBSTITUTE($R39,";",REPT(" ",99)),496,99)),FIND(":",TRIM(MID(SUBSTITUTE($R39,";",REPT(" ",99)),496,99)))-1),Materiales!$A$2:$E$502,5,FALSE)*VALUE(MID(TRIM(MID(SUBSTITUTE($R39,";",REPT(" ",99)),496,99)),FIND(":",TRIM(MID(SUBSTITUTE($R39,";",REPT(" ",99)),496,99)))+1,99)),0) + IFERROR(VLOOKUP(LEFT(TRIM(MID(SUBSTITUTE($R39,";",REPT(" ",99)),595,99)),FIND(":",TRIM(MID(SUBSTITUTE($R39,";",REPT(" ",99)),595,99)))-1),Materiales!$A$2:$E$502,5,FALSE)*VALUE(MID(TRIM(MID(SUBSTITUTE($R39,";",REPT(" ",99)),595,99)),FIND(":",TRIM(MID(SUBSTITUTE($R39,";",REPT(" ",99)),595,99)))+1,99)),0) + IFERROR(VLOOKUP(LEFT(TRIM(MID(SUBSTITUTE($R39,";",REPT(" ",99)),694,99)),FIND(":",TRIM(MID(SUBSTITUTE($R39,";",REPT(" ",99)),694,99)))-1),Materiales!$A$2:$E$502,5,FALSE)*VALUE(MID(TRIM(MID(SUBSTITUTE($R39,";",REPT(" ",99)),694,99)),FIND(":",TRIM(MID(SUBSTITUTE($R39,";",REPT(" ",99)),694,99)))+1,99)),0) + IFERROR(VLOOKUP(LEFT(TRIM(MID(SUBSTITUTE($R39,";",REPT(" ",99)),793,99)),FIND(":",TRIM(MID(SUBSTITUTE($R39,";",REPT(" ",99)),793,99)))-1),Materiales!$A$2:$E$502,5,FALSE)*VALUE(MID(TRIM(MID(SUBSTITUTE($R39,";",REPT(" ",99)),793,99)),FIND(":",TRIM(MID(SUBSTITUTE($R39,";",REPT(" ",99)),793,99)))+1,99)),0) + IFERROR(VLOOKUP(LEFT(TRIM(MID(SUBSTITUTE($R39,";",REPT(" ",99)),892,99)),FIND(":",TRIM(MID(SUBSTITUTE($R39,";",REPT(" ",99)),892,99)))-1),Materiales!$A$2:$E$502,5,FALSE)*VALUE(MID(TRIM(MID(SUBSTITUTE($R39,";",REPT(" ",99)),892,99)),FIND(":",TRIM(MID(SUBSTITUTE($R39,";",REPT(" ",99)),892,99)))+1,99)),0)))</f>
        <v>0</v>
      </c>
      <c r="T39" s="17" t="s">
        <v>242</v>
      </c>
      <c r="U39" s="5">
        <f t="array" ref="U39">IF($A39="","",IF($T39="",0,IFERROR(VLOOKUP(LEFT(TRIM(MID(SUBSTITUTE($T39,";",REPT(" ",99)),1,99)),FIND(":",TRIM(MID(SUBSTITUTE($T39,";",REPT(" ",99)),1,99)))-1),Materiales!$A$2:$E$502,5,FALSE)*VALUE(MID(TRIM(MID(SUBSTITUTE($T39,";",REPT(" ",99)),1,99)),FIND(":",TRIM(MID(SUBSTITUTE($T39,";",REPT(" ",99)),1,99)))+1,99)),0) + IFERROR(VLOOKUP(LEFT(TRIM(MID(SUBSTITUTE($T39,";",REPT(" ",99)),100,99)),FIND(":",TRIM(MID(SUBSTITUTE($T39,";",REPT(" ",99)),100,99)))-1),Materiales!$A$2:$E$502,5,FALSE)*VALUE(MID(TRIM(MID(SUBSTITUTE($T39,";",REPT(" ",99)),100,99)),FIND(":",TRIM(MID(SUBSTITUTE($T39,";",REPT(" ",99)),100,99)))+1,99)),0) + IFERROR(VLOOKUP(LEFT(TRIM(MID(SUBSTITUTE($T39,";",REPT(" ",99)),199,99)),FIND(":",TRIM(MID(SUBSTITUTE($T39,";",REPT(" ",99)),199,99)))-1),Materiales!$A$2:$E$502,5,FALSE)*VALUE(MID(TRIM(MID(SUBSTITUTE($T39,";",REPT(" ",99)),199,99)),FIND(":",TRIM(MID(SUBSTITUTE($T39,";",REPT(" ",99)),199,99)))+1,99)),0) + IFERROR(VLOOKUP(LEFT(TRIM(MID(SUBSTITUTE($T39,";",REPT(" ",99)),298,99)),FIND(":",TRIM(MID(SUBSTITUTE($T39,";",REPT(" ",99)),298,99)))-1),Materiales!$A$2:$E$502,5,FALSE)*VALUE(MID(TRIM(MID(SUBSTITUTE($T39,";",REPT(" ",99)),298,99)),FIND(":",TRIM(MID(SUBSTITUTE($T39,";",REPT(" ",99)),298,99)))+1,99)),0) + IFERROR(VLOOKUP(LEFT(TRIM(MID(SUBSTITUTE($T39,";",REPT(" ",99)),397,99)),FIND(":",TRIM(MID(SUBSTITUTE($T39,";",REPT(" ",99)),397,99)))-1),Materiales!$A$2:$E$502,5,FALSE)*VALUE(MID(TRIM(MID(SUBSTITUTE($T39,";",REPT(" ",99)),397,99)),FIND(":",TRIM(MID(SUBSTITUTE($T39,";",REPT(" ",99)),397,99)))+1,99)),0) + IFERROR(VLOOKUP(LEFT(TRIM(MID(SUBSTITUTE($T39,";",REPT(" ",99)),496,99)),FIND(":",TRIM(MID(SUBSTITUTE($T39,";",REPT(" ",99)),496,99)))-1),Materiales!$A$2:$E$502,5,FALSE)*VALUE(MID(TRIM(MID(SUBSTITUTE($T39,";",REPT(" ",99)),496,99)),FIND(":",TRIM(MID(SUBSTITUTE($T39,";",REPT(" ",99)),496,99)))+1,99)),0) + IFERROR(VLOOKUP(LEFT(TRIM(MID(SUBSTITUTE($T39,";",REPT(" ",99)),595,99)),FIND(":",TRIM(MID(SUBSTITUTE($T39,";",REPT(" ",99)),595,99)))-1),Materiales!$A$2:$E$502,5,FALSE)*VALUE(MID(TRIM(MID(SUBSTITUTE($T39,";",REPT(" ",99)),595,99)),FIND(":",TRIM(MID(SUBSTITUTE($T39,";",REPT(" ",99)),595,99)))+1,99)),0) + IFERROR(VLOOKUP(LEFT(TRIM(MID(SUBSTITUTE($T39,";",REPT(" ",99)),694,99)),FIND(":",TRIM(MID(SUBSTITUTE($T39,";",REPT(" ",99)),694,99)))-1),Materiales!$A$2:$E$502,5,FALSE)*VALUE(MID(TRIM(MID(SUBSTITUTE($T39,";",REPT(" ",99)),694,99)),FIND(":",TRIM(MID(SUBSTITUTE($T39,";",REPT(" ",99)),694,99)))+1,99)),0) + IFERROR(VLOOKUP(LEFT(TRIM(MID(SUBSTITUTE($T39,";",REPT(" ",99)),793,99)),FIND(":",TRIM(MID(SUBSTITUTE($T39,";",REPT(" ",99)),793,99)))-1),Materiales!$A$2:$E$502,5,FALSE)*VALUE(MID(TRIM(MID(SUBSTITUTE($T39,";",REPT(" ",99)),793,99)),FIND(":",TRIM(MID(SUBSTITUTE($T39,";",REPT(" ",99)),793,99)))+1,99)),0) + IFERROR(VLOOKUP(LEFT(TRIM(MID(SUBSTITUTE($T39,";",REPT(" ",99)),892,99)),FIND(":",TRIM(MID(SUBSTITUTE($T39,";",REPT(" ",99)),892,99)))-1),Materiales!$A$2:$E$502,5,FALSE)*VALUE(MID(TRIM(MID(SUBSTITUTE($T39,";",REPT(" ",99)),892,99)),FIND(":",TRIM(MID(SUBSTITUTE($T39,";",REPT(" ",99)),892,99)))+1,99)),0)))</f>
        <v>500</v>
      </c>
      <c r="V39" s="17" t="s">
        <v>243</v>
      </c>
      <c r="W39" s="5">
        <f t="array" ref="W39">IF($A39="","",IF($V39="",0,IFERROR(VLOOKUP(LEFT(TRIM(MID(SUBSTITUTE($V39,";",REPT(" ",99)),1,99)),FIND(":",TRIM(MID(SUBSTITUTE($V39,";",REPT(" ",99)),1,99)))-1),Materiales!$A$2:$E$502,5,FALSE)*VALUE(MID(TRIM(MID(SUBSTITUTE($V39,";",REPT(" ",99)),1,99)),FIND(":",TRIM(MID(SUBSTITUTE($V39,";",REPT(" ",99)),1,99)))+1,99)),0) + IFERROR(VLOOKUP(LEFT(TRIM(MID(SUBSTITUTE($V39,";",REPT(" ",99)),100,99)),FIND(":",TRIM(MID(SUBSTITUTE($V39,";",REPT(" ",99)),100,99)))-1),Materiales!$A$2:$E$502,5,FALSE)*VALUE(MID(TRIM(MID(SUBSTITUTE($V39,";",REPT(" ",99)),100,99)),FIND(":",TRIM(MID(SUBSTITUTE($V39,";",REPT(" ",99)),100,99)))+1,99)),0) + IFERROR(VLOOKUP(LEFT(TRIM(MID(SUBSTITUTE($V39,";",REPT(" ",99)),199,99)),FIND(":",TRIM(MID(SUBSTITUTE($V39,";",REPT(" ",99)),199,99)))-1),Materiales!$A$2:$E$502,5,FALSE)*VALUE(MID(TRIM(MID(SUBSTITUTE($V39,";",REPT(" ",99)),199,99)),FIND(":",TRIM(MID(SUBSTITUTE($V39,";",REPT(" ",99)),199,99)))+1,99)),0) + IFERROR(VLOOKUP(LEFT(TRIM(MID(SUBSTITUTE($V39,";",REPT(" ",99)),298,99)),FIND(":",TRIM(MID(SUBSTITUTE($V39,";",REPT(" ",99)),298,99)))-1),Materiales!$A$2:$E$502,5,FALSE)*VALUE(MID(TRIM(MID(SUBSTITUTE($V39,";",REPT(" ",99)),298,99)),FIND(":",TRIM(MID(SUBSTITUTE($V39,";",REPT(" ",99)),298,99)))+1,99)),0) + IFERROR(VLOOKUP(LEFT(TRIM(MID(SUBSTITUTE($V39,";",REPT(" ",99)),397,99)),FIND(":",TRIM(MID(SUBSTITUTE($V39,";",REPT(" ",99)),397,99)))-1),Materiales!$A$2:$E$502,5,FALSE)*VALUE(MID(TRIM(MID(SUBSTITUTE($V39,";",REPT(" ",99)),397,99)),FIND(":",TRIM(MID(SUBSTITUTE($V39,";",REPT(" ",99)),397,99)))+1,99)),0) + IFERROR(VLOOKUP(LEFT(TRIM(MID(SUBSTITUTE($V39,";",REPT(" ",99)),496,99)),FIND(":",TRIM(MID(SUBSTITUTE($V39,";",REPT(" ",99)),496,99)))-1),Materiales!$A$2:$E$502,5,FALSE)*VALUE(MID(TRIM(MID(SUBSTITUTE($V39,";",REPT(" ",99)),496,99)),FIND(":",TRIM(MID(SUBSTITUTE($V39,";",REPT(" ",99)),496,99)))+1,99)),0) + IFERROR(VLOOKUP(LEFT(TRIM(MID(SUBSTITUTE($V39,";",REPT(" ",99)),595,99)),FIND(":",TRIM(MID(SUBSTITUTE($V39,";",REPT(" ",99)),595,99)))-1),Materiales!$A$2:$E$502,5,FALSE)*VALUE(MID(TRIM(MID(SUBSTITUTE($V39,";",REPT(" ",99)),595,99)),FIND(":",TRIM(MID(SUBSTITUTE($V39,";",REPT(" ",99)),595,99)))+1,99)),0) + IFERROR(VLOOKUP(LEFT(TRIM(MID(SUBSTITUTE($V39,";",REPT(" ",99)),694,99)),FIND(":",TRIM(MID(SUBSTITUTE($V39,";",REPT(" ",99)),694,99)))-1),Materiales!$A$2:$E$502,5,FALSE)*VALUE(MID(TRIM(MID(SUBSTITUTE($V39,";",REPT(" ",99)),694,99)),FIND(":",TRIM(MID(SUBSTITUTE($V39,";",REPT(" ",99)),694,99)))+1,99)),0) + IFERROR(VLOOKUP(LEFT(TRIM(MID(SUBSTITUTE($V39,";",REPT(" ",99)),793,99)),FIND(":",TRIM(MID(SUBSTITUTE($V39,";",REPT(" ",99)),793,99)))-1),Materiales!$A$2:$E$502,5,FALSE)*VALUE(MID(TRIM(MID(SUBSTITUTE($V39,";",REPT(" ",99)),793,99)),FIND(":",TRIM(MID(SUBSTITUTE($V39,";",REPT(" ",99)),793,99)))+1,99)),0) + IFERROR(VLOOKUP(LEFT(TRIM(MID(SUBSTITUTE($V39,";",REPT(" ",99)),892,99)),FIND(":",TRIM(MID(SUBSTITUTE($V39,";",REPT(" ",99)),892,99)))-1),Materiales!$A$2:$E$502,5,FALSE)*VALUE(MID(TRIM(MID(SUBSTITUTE($V39,";",REPT(" ",99)),892,99)),FIND(":",TRIM(MID(SUBSTITUTE($V39,";",REPT(" ",99)),892,99)))+1,99)),0)))</f>
        <v>7580.470206</v>
      </c>
      <c r="X39" s="39">
        <f t="shared" si="13"/>
        <v>8080.470206</v>
      </c>
      <c r="Y39" s="40" t="s">
        <v>195</v>
      </c>
      <c r="Z39" s="41">
        <f t="shared" si="14"/>
        <v>24241.41062</v>
      </c>
      <c r="AA39" s="42">
        <v>5000.0</v>
      </c>
      <c r="AB39" s="18">
        <f t="shared" si="15"/>
        <v>29241.41062</v>
      </c>
      <c r="AC39" s="43">
        <v>30000.0</v>
      </c>
      <c r="AD39" s="42">
        <f t="shared" si="16"/>
        <v>21160.94041</v>
      </c>
      <c r="AE39" s="44">
        <f t="shared" si="17"/>
        <v>21919.52979</v>
      </c>
      <c r="AF39" s="45">
        <f t="shared" si="18"/>
        <v>1.035848567</v>
      </c>
    </row>
    <row r="40" ht="15.75" customHeight="1">
      <c r="A40" s="17" t="s">
        <v>244</v>
      </c>
      <c r="B40" s="17" t="s">
        <v>16</v>
      </c>
      <c r="C40" s="46">
        <v>1.0</v>
      </c>
      <c r="D40" s="38"/>
      <c r="E40" s="38"/>
      <c r="F40" s="18">
        <v>30.0</v>
      </c>
      <c r="G40" s="5">
        <f t="array" ref="G40">IF($A40="","",IFERROR($F40*(N($C40)*XLOOKUP($B40,Ceras!$A$2:$A$500,Ceras!$G$2:$G$500,0)+IF($D40="",0,N($E40)*XLOOKUP($D40,Ceras!$A$2:$A$500,Ceras!$G$2:$G$500,0))),"Revisar cera"))</f>
        <v>540</v>
      </c>
      <c r="H40" s="5">
        <f t="shared" si="11"/>
        <v>45</v>
      </c>
      <c r="I40" s="17" t="s">
        <v>26</v>
      </c>
      <c r="J40" s="18">
        <v>0.0</v>
      </c>
      <c r="K40" s="5">
        <f t="array" ref="K40">IF($A40="","",IFERROR($J40*XLOOKUP($I40,Pabilos!$A$2:$A$500,Pabilos!$H$2:$H$500,0),"Revisar pabilo"))</f>
        <v>0</v>
      </c>
      <c r="L40" s="17" t="s">
        <v>65</v>
      </c>
      <c r="M40" s="18">
        <v>3.0</v>
      </c>
      <c r="N40" s="5">
        <f t="array" ref="N40">IF($A40="","",IFERROR($M40*XLOOKUP($L40,Esencias!$A$2:$A$501,Esencias!$G$2:$G$501,0),"Revisar esencia"))</f>
        <v>234</v>
      </c>
      <c r="O40" s="17" t="s">
        <v>81</v>
      </c>
      <c r="P40" s="18">
        <v>1.0</v>
      </c>
      <c r="Q40" s="5">
        <f t="array" ref="Q40">IF($A40="","",IFERROR(IF($P40="",1,$P40)*XLOOKUP($O40,Colores!$A$2:$A$500,Colores!$H$2:$H$500,0),"Revisar color"))</f>
        <v>92.30769231</v>
      </c>
      <c r="R40" s="3"/>
      <c r="S40" s="5">
        <f t="array" ref="S40">IF($A40="","",IF($R40="",0,IFERROR(VLOOKUP(LEFT(TRIM(MID(SUBSTITUTE($R40,";",REPT(" ",99)),1,99)),FIND(":",TRIM(MID(SUBSTITUTE($R40,";",REPT(" ",99)),1,99)))-1),Materiales!$A$2:$E$502,5,FALSE)*VALUE(MID(TRIM(MID(SUBSTITUTE($R40,";",REPT(" ",99)),1,99)),FIND(":",TRIM(MID(SUBSTITUTE($R40,";",REPT(" ",99)),1,99)))+1,99)),0) + IFERROR(VLOOKUP(LEFT(TRIM(MID(SUBSTITUTE($R40,";",REPT(" ",99)),100,99)),FIND(":",TRIM(MID(SUBSTITUTE($R40,";",REPT(" ",99)),100,99)))-1),Materiales!$A$2:$E$502,5,FALSE)*VALUE(MID(TRIM(MID(SUBSTITUTE($R40,";",REPT(" ",99)),100,99)),FIND(":",TRIM(MID(SUBSTITUTE($R40,";",REPT(" ",99)),100,99)))+1,99)),0) + IFERROR(VLOOKUP(LEFT(TRIM(MID(SUBSTITUTE($R40,";",REPT(" ",99)),199,99)),FIND(":",TRIM(MID(SUBSTITUTE($R40,";",REPT(" ",99)),199,99)))-1),Materiales!$A$2:$E$502,5,FALSE)*VALUE(MID(TRIM(MID(SUBSTITUTE($R40,";",REPT(" ",99)),199,99)),FIND(":",TRIM(MID(SUBSTITUTE($R40,";",REPT(" ",99)),199,99)))+1,99)),0) + IFERROR(VLOOKUP(LEFT(TRIM(MID(SUBSTITUTE($R40,";",REPT(" ",99)),298,99)),FIND(":",TRIM(MID(SUBSTITUTE($R40,";",REPT(" ",99)),298,99)))-1),Materiales!$A$2:$E$502,5,FALSE)*VALUE(MID(TRIM(MID(SUBSTITUTE($R40,";",REPT(" ",99)),298,99)),FIND(":",TRIM(MID(SUBSTITUTE($R40,";",REPT(" ",99)),298,99)))+1,99)),0) + IFERROR(VLOOKUP(LEFT(TRIM(MID(SUBSTITUTE($R40,";",REPT(" ",99)),397,99)),FIND(":",TRIM(MID(SUBSTITUTE($R40,";",REPT(" ",99)),397,99)))-1),Materiales!$A$2:$E$502,5,FALSE)*VALUE(MID(TRIM(MID(SUBSTITUTE($R40,";",REPT(" ",99)),397,99)),FIND(":",TRIM(MID(SUBSTITUTE($R40,";",REPT(" ",99)),397,99)))+1,99)),0) + IFERROR(VLOOKUP(LEFT(TRIM(MID(SUBSTITUTE($R40,";",REPT(" ",99)),496,99)),FIND(":",TRIM(MID(SUBSTITUTE($R40,";",REPT(" ",99)),496,99)))-1),Materiales!$A$2:$E$502,5,FALSE)*VALUE(MID(TRIM(MID(SUBSTITUTE($R40,";",REPT(" ",99)),496,99)),FIND(":",TRIM(MID(SUBSTITUTE($R40,";",REPT(" ",99)),496,99)))+1,99)),0) + IFERROR(VLOOKUP(LEFT(TRIM(MID(SUBSTITUTE($R40,";",REPT(" ",99)),595,99)),FIND(":",TRIM(MID(SUBSTITUTE($R40,";",REPT(" ",99)),595,99)))-1),Materiales!$A$2:$E$502,5,FALSE)*VALUE(MID(TRIM(MID(SUBSTITUTE($R40,";",REPT(" ",99)),595,99)),FIND(":",TRIM(MID(SUBSTITUTE($R40,";",REPT(" ",99)),595,99)))+1,99)),0) + IFERROR(VLOOKUP(LEFT(TRIM(MID(SUBSTITUTE($R40,";",REPT(" ",99)),694,99)),FIND(":",TRIM(MID(SUBSTITUTE($R40,";",REPT(" ",99)),694,99)))-1),Materiales!$A$2:$E$502,5,FALSE)*VALUE(MID(TRIM(MID(SUBSTITUTE($R40,";",REPT(" ",99)),694,99)),FIND(":",TRIM(MID(SUBSTITUTE($R40,";",REPT(" ",99)),694,99)))+1,99)),0) + IFERROR(VLOOKUP(LEFT(TRIM(MID(SUBSTITUTE($R40,";",REPT(" ",99)),793,99)),FIND(":",TRIM(MID(SUBSTITUTE($R40,";",REPT(" ",99)),793,99)))-1),Materiales!$A$2:$E$502,5,FALSE)*VALUE(MID(TRIM(MID(SUBSTITUTE($R40,";",REPT(" ",99)),793,99)),FIND(":",TRIM(MID(SUBSTITUTE($R40,";",REPT(" ",99)),793,99)))+1,99)),0) + IFERROR(VLOOKUP(LEFT(TRIM(MID(SUBSTITUTE($R40,";",REPT(" ",99)),892,99)),FIND(":",TRIM(MID(SUBSTITUTE($R40,";",REPT(" ",99)),892,99)))-1),Materiales!$A$2:$E$502,5,FALSE)*VALUE(MID(TRIM(MID(SUBSTITUTE($R40,";",REPT(" ",99)),892,99)),FIND(":",TRIM(MID(SUBSTITUTE($R40,";",REPT(" ",99)),892,99)))+1,99)),0)))</f>
        <v>0</v>
      </c>
      <c r="T40" s="17" t="s">
        <v>245</v>
      </c>
      <c r="U40" s="5">
        <f t="array" ref="U40">IF($A40="","",IF($T40="",0,IFERROR(VLOOKUP(LEFT(TRIM(MID(SUBSTITUTE($T40,";",REPT(" ",99)),1,99)),FIND(":",TRIM(MID(SUBSTITUTE($T40,";",REPT(" ",99)),1,99)))-1),Materiales!$A$2:$E$502,5,FALSE)*VALUE(MID(TRIM(MID(SUBSTITUTE($T40,";",REPT(" ",99)),1,99)),FIND(":",TRIM(MID(SUBSTITUTE($T40,";",REPT(" ",99)),1,99)))+1,99)),0) + IFERROR(VLOOKUP(LEFT(TRIM(MID(SUBSTITUTE($T40,";",REPT(" ",99)),100,99)),FIND(":",TRIM(MID(SUBSTITUTE($T40,";",REPT(" ",99)),100,99)))-1),Materiales!$A$2:$E$502,5,FALSE)*VALUE(MID(TRIM(MID(SUBSTITUTE($T40,";",REPT(" ",99)),100,99)),FIND(":",TRIM(MID(SUBSTITUTE($T40,";",REPT(" ",99)),100,99)))+1,99)),0) + IFERROR(VLOOKUP(LEFT(TRIM(MID(SUBSTITUTE($T40,";",REPT(" ",99)),199,99)),FIND(":",TRIM(MID(SUBSTITUTE($T40,";",REPT(" ",99)),199,99)))-1),Materiales!$A$2:$E$502,5,FALSE)*VALUE(MID(TRIM(MID(SUBSTITUTE($T40,";",REPT(" ",99)),199,99)),FIND(":",TRIM(MID(SUBSTITUTE($T40,";",REPT(" ",99)),199,99)))+1,99)),0) + IFERROR(VLOOKUP(LEFT(TRIM(MID(SUBSTITUTE($T40,";",REPT(" ",99)),298,99)),FIND(":",TRIM(MID(SUBSTITUTE($T40,";",REPT(" ",99)),298,99)))-1),Materiales!$A$2:$E$502,5,FALSE)*VALUE(MID(TRIM(MID(SUBSTITUTE($T40,";",REPT(" ",99)),298,99)),FIND(":",TRIM(MID(SUBSTITUTE($T40,";",REPT(" ",99)),298,99)))+1,99)),0) + IFERROR(VLOOKUP(LEFT(TRIM(MID(SUBSTITUTE($T40,";",REPT(" ",99)),397,99)),FIND(":",TRIM(MID(SUBSTITUTE($T40,";",REPT(" ",99)),397,99)))-1),Materiales!$A$2:$E$502,5,FALSE)*VALUE(MID(TRIM(MID(SUBSTITUTE($T40,";",REPT(" ",99)),397,99)),FIND(":",TRIM(MID(SUBSTITUTE($T40,";",REPT(" ",99)),397,99)))+1,99)),0) + IFERROR(VLOOKUP(LEFT(TRIM(MID(SUBSTITUTE($T40,";",REPT(" ",99)),496,99)),FIND(":",TRIM(MID(SUBSTITUTE($T40,";",REPT(" ",99)),496,99)))-1),Materiales!$A$2:$E$502,5,FALSE)*VALUE(MID(TRIM(MID(SUBSTITUTE($T40,";",REPT(" ",99)),496,99)),FIND(":",TRIM(MID(SUBSTITUTE($T40,";",REPT(" ",99)),496,99)))+1,99)),0) + IFERROR(VLOOKUP(LEFT(TRIM(MID(SUBSTITUTE($T40,";",REPT(" ",99)),595,99)),FIND(":",TRIM(MID(SUBSTITUTE($T40,";",REPT(" ",99)),595,99)))-1),Materiales!$A$2:$E$502,5,FALSE)*VALUE(MID(TRIM(MID(SUBSTITUTE($T40,";",REPT(" ",99)),595,99)),FIND(":",TRIM(MID(SUBSTITUTE($T40,";",REPT(" ",99)),595,99)))+1,99)),0) + IFERROR(VLOOKUP(LEFT(TRIM(MID(SUBSTITUTE($T40,";",REPT(" ",99)),694,99)),FIND(":",TRIM(MID(SUBSTITUTE($T40,";",REPT(" ",99)),694,99)))-1),Materiales!$A$2:$E$502,5,FALSE)*VALUE(MID(TRIM(MID(SUBSTITUTE($T40,";",REPT(" ",99)),694,99)),FIND(":",TRIM(MID(SUBSTITUTE($T40,";",REPT(" ",99)),694,99)))+1,99)),0) + IFERROR(VLOOKUP(LEFT(TRIM(MID(SUBSTITUTE($T40,";",REPT(" ",99)),793,99)),FIND(":",TRIM(MID(SUBSTITUTE($T40,";",REPT(" ",99)),793,99)))-1),Materiales!$A$2:$E$502,5,FALSE)*VALUE(MID(TRIM(MID(SUBSTITUTE($T40,";",REPT(" ",99)),793,99)),FIND(":",TRIM(MID(SUBSTITUTE($T40,";",REPT(" ",99)),793,99)))+1,99)),0) + IFERROR(VLOOKUP(LEFT(TRIM(MID(SUBSTITUTE($T40,";",REPT(" ",99)),892,99)),FIND(":",TRIM(MID(SUBSTITUTE($T40,";",REPT(" ",99)),892,99)))-1),Materiales!$A$2:$E$502,5,FALSE)*VALUE(MID(TRIM(MID(SUBSTITUTE($T40,";",REPT(" ",99)),892,99)),FIND(":",TRIM(MID(SUBSTITUTE($T40,";",REPT(" ",99)),892,99)))+1,99)),0)))</f>
        <v>240</v>
      </c>
      <c r="V40" s="17"/>
      <c r="W40" s="5">
        <f t="array" ref="W40">IF($A40="","",IF($V40="",0,IFERROR(VLOOKUP(LEFT(TRIM(MID(SUBSTITUTE($V40,";",REPT(" ",99)),1,99)),FIND(":",TRIM(MID(SUBSTITUTE($V40,";",REPT(" ",99)),1,99)))-1),Materiales!$A$2:$E$502,5,FALSE)*VALUE(MID(TRIM(MID(SUBSTITUTE($V40,";",REPT(" ",99)),1,99)),FIND(":",TRIM(MID(SUBSTITUTE($V40,";",REPT(" ",99)),1,99)))+1,99)),0) + IFERROR(VLOOKUP(LEFT(TRIM(MID(SUBSTITUTE($V40,";",REPT(" ",99)),100,99)),FIND(":",TRIM(MID(SUBSTITUTE($V40,";",REPT(" ",99)),100,99)))-1),Materiales!$A$2:$E$502,5,FALSE)*VALUE(MID(TRIM(MID(SUBSTITUTE($V40,";",REPT(" ",99)),100,99)),FIND(":",TRIM(MID(SUBSTITUTE($V40,";",REPT(" ",99)),100,99)))+1,99)),0) + IFERROR(VLOOKUP(LEFT(TRIM(MID(SUBSTITUTE($V40,";",REPT(" ",99)),199,99)),FIND(":",TRIM(MID(SUBSTITUTE($V40,";",REPT(" ",99)),199,99)))-1),Materiales!$A$2:$E$502,5,FALSE)*VALUE(MID(TRIM(MID(SUBSTITUTE($V40,";",REPT(" ",99)),199,99)),FIND(":",TRIM(MID(SUBSTITUTE($V40,";",REPT(" ",99)),199,99)))+1,99)),0) + IFERROR(VLOOKUP(LEFT(TRIM(MID(SUBSTITUTE($V40,";",REPT(" ",99)),298,99)),FIND(":",TRIM(MID(SUBSTITUTE($V40,";",REPT(" ",99)),298,99)))-1),Materiales!$A$2:$E$502,5,FALSE)*VALUE(MID(TRIM(MID(SUBSTITUTE($V40,";",REPT(" ",99)),298,99)),FIND(":",TRIM(MID(SUBSTITUTE($V40,";",REPT(" ",99)),298,99)))+1,99)),0) + IFERROR(VLOOKUP(LEFT(TRIM(MID(SUBSTITUTE($V40,";",REPT(" ",99)),397,99)),FIND(":",TRIM(MID(SUBSTITUTE($V40,";",REPT(" ",99)),397,99)))-1),Materiales!$A$2:$E$502,5,FALSE)*VALUE(MID(TRIM(MID(SUBSTITUTE($V40,";",REPT(" ",99)),397,99)),FIND(":",TRIM(MID(SUBSTITUTE($V40,";",REPT(" ",99)),397,99)))+1,99)),0) + IFERROR(VLOOKUP(LEFT(TRIM(MID(SUBSTITUTE($V40,";",REPT(" ",99)),496,99)),FIND(":",TRIM(MID(SUBSTITUTE($V40,";",REPT(" ",99)),496,99)))-1),Materiales!$A$2:$E$502,5,FALSE)*VALUE(MID(TRIM(MID(SUBSTITUTE($V40,";",REPT(" ",99)),496,99)),FIND(":",TRIM(MID(SUBSTITUTE($V40,";",REPT(" ",99)),496,99)))+1,99)),0) + IFERROR(VLOOKUP(LEFT(TRIM(MID(SUBSTITUTE($V40,";",REPT(" ",99)),595,99)),FIND(":",TRIM(MID(SUBSTITUTE($V40,";",REPT(" ",99)),595,99)))-1),Materiales!$A$2:$E$502,5,FALSE)*VALUE(MID(TRIM(MID(SUBSTITUTE($V40,";",REPT(" ",99)),595,99)),FIND(":",TRIM(MID(SUBSTITUTE($V40,";",REPT(" ",99)),595,99)))+1,99)),0) + IFERROR(VLOOKUP(LEFT(TRIM(MID(SUBSTITUTE($V40,";",REPT(" ",99)),694,99)),FIND(":",TRIM(MID(SUBSTITUTE($V40,";",REPT(" ",99)),694,99)))-1),Materiales!$A$2:$E$502,5,FALSE)*VALUE(MID(TRIM(MID(SUBSTITUTE($V40,";",REPT(" ",99)),694,99)),FIND(":",TRIM(MID(SUBSTITUTE($V40,";",REPT(" ",99)),694,99)))+1,99)),0) + IFERROR(VLOOKUP(LEFT(TRIM(MID(SUBSTITUTE($V40,";",REPT(" ",99)),793,99)),FIND(":",TRIM(MID(SUBSTITUTE($V40,";",REPT(" ",99)),793,99)))-1),Materiales!$A$2:$E$502,5,FALSE)*VALUE(MID(TRIM(MID(SUBSTITUTE($V40,";",REPT(" ",99)),793,99)),FIND(":",TRIM(MID(SUBSTITUTE($V40,";",REPT(" ",99)),793,99)))+1,99)),0) + IFERROR(VLOOKUP(LEFT(TRIM(MID(SUBSTITUTE($V40,";",REPT(" ",99)),892,99)),FIND(":",TRIM(MID(SUBSTITUTE($V40,";",REPT(" ",99)),892,99)))-1),Materiales!$A$2:$E$502,5,FALSE)*VALUE(MID(TRIM(MID(SUBSTITUTE($V40,";",REPT(" ",99)),892,99)),FIND(":",TRIM(MID(SUBSTITUTE($V40,";",REPT(" ",99)),892,99)))+1,99)),0)))</f>
        <v>0</v>
      </c>
      <c r="X40" s="39">
        <f t="shared" si="13"/>
        <v>1151.307692</v>
      </c>
      <c r="Y40" s="40" t="s">
        <v>195</v>
      </c>
      <c r="Z40" s="41">
        <f t="shared" si="14"/>
        <v>3453.923077</v>
      </c>
      <c r="AA40" s="42"/>
      <c r="AB40" s="18">
        <f t="shared" si="15"/>
        <v>3453.923077</v>
      </c>
      <c r="AC40" s="43">
        <v>3000.0</v>
      </c>
      <c r="AD40" s="42">
        <f t="shared" si="16"/>
        <v>2302.615385</v>
      </c>
      <c r="AE40" s="44">
        <f t="shared" si="17"/>
        <v>1848.692308</v>
      </c>
      <c r="AF40" s="45">
        <f t="shared" si="18"/>
        <v>0.8028663059</v>
      </c>
    </row>
    <row r="41" ht="15.75" customHeight="1">
      <c r="A41" s="17" t="s">
        <v>246</v>
      </c>
      <c r="B41" s="17" t="s">
        <v>16</v>
      </c>
      <c r="C41" s="46">
        <v>1.0</v>
      </c>
      <c r="D41" s="38"/>
      <c r="E41" s="38"/>
      <c r="F41" s="18">
        <v>20.0</v>
      </c>
      <c r="G41" s="5">
        <f t="array" ref="G41">IF($A41="","",IFERROR($F41*(N($C41)*XLOOKUP($B41,Ceras!$A$2:$A$500,Ceras!$G$2:$G$500,0)+IF($D41="",0,N($E41)*XLOOKUP($D41,Ceras!$A$2:$A$500,Ceras!$G$2:$G$500,0))),"Revisar cera"))</f>
        <v>360</v>
      </c>
      <c r="H41" s="5">
        <f t="shared" si="11"/>
        <v>30</v>
      </c>
      <c r="I41" s="17" t="s">
        <v>247</v>
      </c>
      <c r="J41" s="18">
        <v>0.0</v>
      </c>
      <c r="K41" s="5">
        <f t="array" ref="K41">IF($A41="","",IFERROR($J41*XLOOKUP($I41,Pabilos!$A$2:$A$500,Pabilos!$H$2:$H$500,0),"Revisar pabilo"))</f>
        <v>0</v>
      </c>
      <c r="L41" s="17" t="s">
        <v>65</v>
      </c>
      <c r="M41" s="18">
        <v>2.0</v>
      </c>
      <c r="N41" s="5">
        <f t="array" ref="N41">IF($A41="","",IFERROR($M41*XLOOKUP($L41,Esencias!$A$2:$A$501,Esencias!$G$2:$G$501,0),"Revisar esencia"))</f>
        <v>156</v>
      </c>
      <c r="O41" s="17" t="s">
        <v>81</v>
      </c>
      <c r="P41" s="18">
        <v>1.0</v>
      </c>
      <c r="Q41" s="5">
        <f t="array" ref="Q41">IF($A41="","",IFERROR(IF($P41="",1,$P41)*XLOOKUP($O41,Colores!$A$2:$A$500,Colores!$H$2:$H$500,0),"Revisar color"))</f>
        <v>92.30769231</v>
      </c>
      <c r="R41" s="3"/>
      <c r="S41" s="5">
        <f t="array" ref="S41">IF($A41="","",IF($R41="",0,IFERROR(VLOOKUP(LEFT(TRIM(MID(SUBSTITUTE($R41,";",REPT(" ",99)),1,99)),FIND(":",TRIM(MID(SUBSTITUTE($R41,";",REPT(" ",99)),1,99)))-1),Materiales!$A$2:$E$502,5,FALSE)*VALUE(MID(TRIM(MID(SUBSTITUTE($R41,";",REPT(" ",99)),1,99)),FIND(":",TRIM(MID(SUBSTITUTE($R41,";",REPT(" ",99)),1,99)))+1,99)),0) + IFERROR(VLOOKUP(LEFT(TRIM(MID(SUBSTITUTE($R41,";",REPT(" ",99)),100,99)),FIND(":",TRIM(MID(SUBSTITUTE($R41,";",REPT(" ",99)),100,99)))-1),Materiales!$A$2:$E$502,5,FALSE)*VALUE(MID(TRIM(MID(SUBSTITUTE($R41,";",REPT(" ",99)),100,99)),FIND(":",TRIM(MID(SUBSTITUTE($R41,";",REPT(" ",99)),100,99)))+1,99)),0) + IFERROR(VLOOKUP(LEFT(TRIM(MID(SUBSTITUTE($R41,";",REPT(" ",99)),199,99)),FIND(":",TRIM(MID(SUBSTITUTE($R41,";",REPT(" ",99)),199,99)))-1),Materiales!$A$2:$E$502,5,FALSE)*VALUE(MID(TRIM(MID(SUBSTITUTE($R41,";",REPT(" ",99)),199,99)),FIND(":",TRIM(MID(SUBSTITUTE($R41,";",REPT(" ",99)),199,99)))+1,99)),0) + IFERROR(VLOOKUP(LEFT(TRIM(MID(SUBSTITUTE($R41,";",REPT(" ",99)),298,99)),FIND(":",TRIM(MID(SUBSTITUTE($R41,";",REPT(" ",99)),298,99)))-1),Materiales!$A$2:$E$502,5,FALSE)*VALUE(MID(TRIM(MID(SUBSTITUTE($R41,";",REPT(" ",99)),298,99)),FIND(":",TRIM(MID(SUBSTITUTE($R41,";",REPT(" ",99)),298,99)))+1,99)),0) + IFERROR(VLOOKUP(LEFT(TRIM(MID(SUBSTITUTE($R41,";",REPT(" ",99)),397,99)),FIND(":",TRIM(MID(SUBSTITUTE($R41,";",REPT(" ",99)),397,99)))-1),Materiales!$A$2:$E$502,5,FALSE)*VALUE(MID(TRIM(MID(SUBSTITUTE($R41,";",REPT(" ",99)),397,99)),FIND(":",TRIM(MID(SUBSTITUTE($R41,";",REPT(" ",99)),397,99)))+1,99)),0) + IFERROR(VLOOKUP(LEFT(TRIM(MID(SUBSTITUTE($R41,";",REPT(" ",99)),496,99)),FIND(":",TRIM(MID(SUBSTITUTE($R41,";",REPT(" ",99)),496,99)))-1),Materiales!$A$2:$E$502,5,FALSE)*VALUE(MID(TRIM(MID(SUBSTITUTE($R41,";",REPT(" ",99)),496,99)),FIND(":",TRIM(MID(SUBSTITUTE($R41,";",REPT(" ",99)),496,99)))+1,99)),0) + IFERROR(VLOOKUP(LEFT(TRIM(MID(SUBSTITUTE($R41,";",REPT(" ",99)),595,99)),FIND(":",TRIM(MID(SUBSTITUTE($R41,";",REPT(" ",99)),595,99)))-1),Materiales!$A$2:$E$502,5,FALSE)*VALUE(MID(TRIM(MID(SUBSTITUTE($R41,";",REPT(" ",99)),595,99)),FIND(":",TRIM(MID(SUBSTITUTE($R41,";",REPT(" ",99)),595,99)))+1,99)),0) + IFERROR(VLOOKUP(LEFT(TRIM(MID(SUBSTITUTE($R41,";",REPT(" ",99)),694,99)),FIND(":",TRIM(MID(SUBSTITUTE($R41,";",REPT(" ",99)),694,99)))-1),Materiales!$A$2:$E$502,5,FALSE)*VALUE(MID(TRIM(MID(SUBSTITUTE($R41,";",REPT(" ",99)),694,99)),FIND(":",TRIM(MID(SUBSTITUTE($R41,";",REPT(" ",99)),694,99)))+1,99)),0) + IFERROR(VLOOKUP(LEFT(TRIM(MID(SUBSTITUTE($R41,";",REPT(" ",99)),793,99)),FIND(":",TRIM(MID(SUBSTITUTE($R41,";",REPT(" ",99)),793,99)))-1),Materiales!$A$2:$E$502,5,FALSE)*VALUE(MID(TRIM(MID(SUBSTITUTE($R41,";",REPT(" ",99)),793,99)),FIND(":",TRIM(MID(SUBSTITUTE($R41,";",REPT(" ",99)),793,99)))+1,99)),0) + IFERROR(VLOOKUP(LEFT(TRIM(MID(SUBSTITUTE($R41,";",REPT(" ",99)),892,99)),FIND(":",TRIM(MID(SUBSTITUTE($R41,";",REPT(" ",99)),892,99)))-1),Materiales!$A$2:$E$502,5,FALSE)*VALUE(MID(TRIM(MID(SUBSTITUTE($R41,";",REPT(" ",99)),892,99)),FIND(":",TRIM(MID(SUBSTITUTE($R41,";",REPT(" ",99)),892,99)))+1,99)),0)))</f>
        <v>0</v>
      </c>
      <c r="T41" s="17" t="s">
        <v>245</v>
      </c>
      <c r="U41" s="5">
        <f t="array" ref="U41">IF($A41="","",IF($T41="",0,IFERROR(VLOOKUP(LEFT(TRIM(MID(SUBSTITUTE($T41,";",REPT(" ",99)),1,99)),FIND(":",TRIM(MID(SUBSTITUTE($T41,";",REPT(" ",99)),1,99)))-1),Materiales!$A$2:$E$502,5,FALSE)*VALUE(MID(TRIM(MID(SUBSTITUTE($T41,";",REPT(" ",99)),1,99)),FIND(":",TRIM(MID(SUBSTITUTE($T41,";",REPT(" ",99)),1,99)))+1,99)),0) + IFERROR(VLOOKUP(LEFT(TRIM(MID(SUBSTITUTE($T41,";",REPT(" ",99)),100,99)),FIND(":",TRIM(MID(SUBSTITUTE($T41,";",REPT(" ",99)),100,99)))-1),Materiales!$A$2:$E$502,5,FALSE)*VALUE(MID(TRIM(MID(SUBSTITUTE($T41,";",REPT(" ",99)),100,99)),FIND(":",TRIM(MID(SUBSTITUTE($T41,";",REPT(" ",99)),100,99)))+1,99)),0) + IFERROR(VLOOKUP(LEFT(TRIM(MID(SUBSTITUTE($T41,";",REPT(" ",99)),199,99)),FIND(":",TRIM(MID(SUBSTITUTE($T41,";",REPT(" ",99)),199,99)))-1),Materiales!$A$2:$E$502,5,FALSE)*VALUE(MID(TRIM(MID(SUBSTITUTE($T41,";",REPT(" ",99)),199,99)),FIND(":",TRIM(MID(SUBSTITUTE($T41,";",REPT(" ",99)),199,99)))+1,99)),0) + IFERROR(VLOOKUP(LEFT(TRIM(MID(SUBSTITUTE($T41,";",REPT(" ",99)),298,99)),FIND(":",TRIM(MID(SUBSTITUTE($T41,";",REPT(" ",99)),298,99)))-1),Materiales!$A$2:$E$502,5,FALSE)*VALUE(MID(TRIM(MID(SUBSTITUTE($T41,";",REPT(" ",99)),298,99)),FIND(":",TRIM(MID(SUBSTITUTE($T41,";",REPT(" ",99)),298,99)))+1,99)),0) + IFERROR(VLOOKUP(LEFT(TRIM(MID(SUBSTITUTE($T41,";",REPT(" ",99)),397,99)),FIND(":",TRIM(MID(SUBSTITUTE($T41,";",REPT(" ",99)),397,99)))-1),Materiales!$A$2:$E$502,5,FALSE)*VALUE(MID(TRIM(MID(SUBSTITUTE($T41,";",REPT(" ",99)),397,99)),FIND(":",TRIM(MID(SUBSTITUTE($T41,";",REPT(" ",99)),397,99)))+1,99)),0) + IFERROR(VLOOKUP(LEFT(TRIM(MID(SUBSTITUTE($T41,";",REPT(" ",99)),496,99)),FIND(":",TRIM(MID(SUBSTITUTE($T41,";",REPT(" ",99)),496,99)))-1),Materiales!$A$2:$E$502,5,FALSE)*VALUE(MID(TRIM(MID(SUBSTITUTE($T41,";",REPT(" ",99)),496,99)),FIND(":",TRIM(MID(SUBSTITUTE($T41,";",REPT(" ",99)),496,99)))+1,99)),0) + IFERROR(VLOOKUP(LEFT(TRIM(MID(SUBSTITUTE($T41,";",REPT(" ",99)),595,99)),FIND(":",TRIM(MID(SUBSTITUTE($T41,";",REPT(" ",99)),595,99)))-1),Materiales!$A$2:$E$502,5,FALSE)*VALUE(MID(TRIM(MID(SUBSTITUTE($T41,";",REPT(" ",99)),595,99)),FIND(":",TRIM(MID(SUBSTITUTE($T41,";",REPT(" ",99)),595,99)))+1,99)),0) + IFERROR(VLOOKUP(LEFT(TRIM(MID(SUBSTITUTE($T41,";",REPT(" ",99)),694,99)),FIND(":",TRIM(MID(SUBSTITUTE($T41,";",REPT(" ",99)),694,99)))-1),Materiales!$A$2:$E$502,5,FALSE)*VALUE(MID(TRIM(MID(SUBSTITUTE($T41,";",REPT(" ",99)),694,99)),FIND(":",TRIM(MID(SUBSTITUTE($T41,";",REPT(" ",99)),694,99)))+1,99)),0) + IFERROR(VLOOKUP(LEFT(TRIM(MID(SUBSTITUTE($T41,";",REPT(" ",99)),793,99)),FIND(":",TRIM(MID(SUBSTITUTE($T41,";",REPT(" ",99)),793,99)))-1),Materiales!$A$2:$E$502,5,FALSE)*VALUE(MID(TRIM(MID(SUBSTITUTE($T41,";",REPT(" ",99)),793,99)),FIND(":",TRIM(MID(SUBSTITUTE($T41,";",REPT(" ",99)),793,99)))+1,99)),0) + IFERROR(VLOOKUP(LEFT(TRIM(MID(SUBSTITUTE($T41,";",REPT(" ",99)),892,99)),FIND(":",TRIM(MID(SUBSTITUTE($T41,";",REPT(" ",99)),892,99)))-1),Materiales!$A$2:$E$502,5,FALSE)*VALUE(MID(TRIM(MID(SUBSTITUTE($T41,";",REPT(" ",99)),892,99)),FIND(":",TRIM(MID(SUBSTITUTE($T41,";",REPT(" ",99)),892,99)))+1,99)),0)))</f>
        <v>240</v>
      </c>
      <c r="V41" s="17"/>
      <c r="W41" s="5">
        <f t="array" ref="W41">IF($A41="","",IF($V41="",0,IFERROR(VLOOKUP(LEFT(TRIM(MID(SUBSTITUTE($V41,";",REPT(" ",99)),1,99)),FIND(":",TRIM(MID(SUBSTITUTE($V41,";",REPT(" ",99)),1,99)))-1),Materiales!$A$2:$E$502,5,FALSE)*VALUE(MID(TRIM(MID(SUBSTITUTE($V41,";",REPT(" ",99)),1,99)),FIND(":",TRIM(MID(SUBSTITUTE($V41,";",REPT(" ",99)),1,99)))+1,99)),0) + IFERROR(VLOOKUP(LEFT(TRIM(MID(SUBSTITUTE($V41,";",REPT(" ",99)),100,99)),FIND(":",TRIM(MID(SUBSTITUTE($V41,";",REPT(" ",99)),100,99)))-1),Materiales!$A$2:$E$502,5,FALSE)*VALUE(MID(TRIM(MID(SUBSTITUTE($V41,";",REPT(" ",99)),100,99)),FIND(":",TRIM(MID(SUBSTITUTE($V41,";",REPT(" ",99)),100,99)))+1,99)),0) + IFERROR(VLOOKUP(LEFT(TRIM(MID(SUBSTITUTE($V41,";",REPT(" ",99)),199,99)),FIND(":",TRIM(MID(SUBSTITUTE($V41,";",REPT(" ",99)),199,99)))-1),Materiales!$A$2:$E$502,5,FALSE)*VALUE(MID(TRIM(MID(SUBSTITUTE($V41,";",REPT(" ",99)),199,99)),FIND(":",TRIM(MID(SUBSTITUTE($V41,";",REPT(" ",99)),199,99)))+1,99)),0) + IFERROR(VLOOKUP(LEFT(TRIM(MID(SUBSTITUTE($V41,";",REPT(" ",99)),298,99)),FIND(":",TRIM(MID(SUBSTITUTE($V41,";",REPT(" ",99)),298,99)))-1),Materiales!$A$2:$E$502,5,FALSE)*VALUE(MID(TRIM(MID(SUBSTITUTE($V41,";",REPT(" ",99)),298,99)),FIND(":",TRIM(MID(SUBSTITUTE($V41,";",REPT(" ",99)),298,99)))+1,99)),0) + IFERROR(VLOOKUP(LEFT(TRIM(MID(SUBSTITUTE($V41,";",REPT(" ",99)),397,99)),FIND(":",TRIM(MID(SUBSTITUTE($V41,";",REPT(" ",99)),397,99)))-1),Materiales!$A$2:$E$502,5,FALSE)*VALUE(MID(TRIM(MID(SUBSTITUTE($V41,";",REPT(" ",99)),397,99)),FIND(":",TRIM(MID(SUBSTITUTE($V41,";",REPT(" ",99)),397,99)))+1,99)),0) + IFERROR(VLOOKUP(LEFT(TRIM(MID(SUBSTITUTE($V41,";",REPT(" ",99)),496,99)),FIND(":",TRIM(MID(SUBSTITUTE($V41,";",REPT(" ",99)),496,99)))-1),Materiales!$A$2:$E$502,5,FALSE)*VALUE(MID(TRIM(MID(SUBSTITUTE($V41,";",REPT(" ",99)),496,99)),FIND(":",TRIM(MID(SUBSTITUTE($V41,";",REPT(" ",99)),496,99)))+1,99)),0) + IFERROR(VLOOKUP(LEFT(TRIM(MID(SUBSTITUTE($V41,";",REPT(" ",99)),595,99)),FIND(":",TRIM(MID(SUBSTITUTE($V41,";",REPT(" ",99)),595,99)))-1),Materiales!$A$2:$E$502,5,FALSE)*VALUE(MID(TRIM(MID(SUBSTITUTE($V41,";",REPT(" ",99)),595,99)),FIND(":",TRIM(MID(SUBSTITUTE($V41,";",REPT(" ",99)),595,99)))+1,99)),0) + IFERROR(VLOOKUP(LEFT(TRIM(MID(SUBSTITUTE($V41,";",REPT(" ",99)),694,99)),FIND(":",TRIM(MID(SUBSTITUTE($V41,";",REPT(" ",99)),694,99)))-1),Materiales!$A$2:$E$502,5,FALSE)*VALUE(MID(TRIM(MID(SUBSTITUTE($V41,";",REPT(" ",99)),694,99)),FIND(":",TRIM(MID(SUBSTITUTE($V41,";",REPT(" ",99)),694,99)))+1,99)),0) + IFERROR(VLOOKUP(LEFT(TRIM(MID(SUBSTITUTE($V41,";",REPT(" ",99)),793,99)),FIND(":",TRIM(MID(SUBSTITUTE($V41,";",REPT(" ",99)),793,99)))-1),Materiales!$A$2:$E$502,5,FALSE)*VALUE(MID(TRIM(MID(SUBSTITUTE($V41,";",REPT(" ",99)),793,99)),FIND(":",TRIM(MID(SUBSTITUTE($V41,";",REPT(" ",99)),793,99)))+1,99)),0) + IFERROR(VLOOKUP(LEFT(TRIM(MID(SUBSTITUTE($V41,";",REPT(" ",99)),892,99)),FIND(":",TRIM(MID(SUBSTITUTE($V41,";",REPT(" ",99)),892,99)))-1),Materiales!$A$2:$E$502,5,FALSE)*VALUE(MID(TRIM(MID(SUBSTITUTE($V41,";",REPT(" ",99)),892,99)),FIND(":",TRIM(MID(SUBSTITUTE($V41,";",REPT(" ",99)),892,99)))+1,99)),0)))</f>
        <v>0</v>
      </c>
      <c r="X41" s="39">
        <f t="shared" si="13"/>
        <v>878.3076923</v>
      </c>
      <c r="Y41" s="40" t="s">
        <v>195</v>
      </c>
      <c r="Z41" s="41">
        <f t="shared" si="14"/>
        <v>2634.923077</v>
      </c>
      <c r="AA41" s="42"/>
      <c r="AB41" s="18">
        <f t="shared" si="15"/>
        <v>2634.923077</v>
      </c>
      <c r="AC41" s="43">
        <v>2000.0</v>
      </c>
      <c r="AD41" s="42">
        <f t="shared" si="16"/>
        <v>1756.615385</v>
      </c>
      <c r="AE41" s="44">
        <f t="shared" si="17"/>
        <v>1121.692308</v>
      </c>
      <c r="AF41" s="45">
        <f t="shared" si="18"/>
        <v>0.6385531617</v>
      </c>
    </row>
    <row r="42" ht="15.75" customHeight="1">
      <c r="A42" s="17" t="s">
        <v>248</v>
      </c>
      <c r="B42" s="17" t="s">
        <v>16</v>
      </c>
      <c r="C42" s="46">
        <v>1.0</v>
      </c>
      <c r="D42" s="38"/>
      <c r="E42" s="38"/>
      <c r="F42" s="18">
        <v>30.0</v>
      </c>
      <c r="G42" s="5">
        <f t="array" ref="G42">IF($A42="","",IFERROR($F42*(N($C42)*XLOOKUP($B42,Ceras!$A$2:$A$500,Ceras!$G$2:$G$500,0)+IF($D42="",0,N($E42)*XLOOKUP($D42,Ceras!$A$2:$A$500,Ceras!$G$2:$G$500,0))),"Revisar cera"))</f>
        <v>540</v>
      </c>
      <c r="H42" s="5">
        <f t="shared" si="11"/>
        <v>45</v>
      </c>
      <c r="I42" s="17" t="s">
        <v>249</v>
      </c>
      <c r="J42" s="18">
        <v>0.0</v>
      </c>
      <c r="K42" s="5">
        <f t="array" ref="K42">IF($A42="","",IFERROR($J42*XLOOKUP($I42,Pabilos!$A$2:$A$500,Pabilos!$H$2:$H$500,0),"Revisar pabilo"))</f>
        <v>0</v>
      </c>
      <c r="L42" s="17" t="s">
        <v>65</v>
      </c>
      <c r="M42" s="18">
        <v>3.0</v>
      </c>
      <c r="N42" s="5">
        <f t="array" ref="N42">IF($A42="","",IFERROR($M42*XLOOKUP($L42,Esencias!$A$2:$A$501,Esencias!$G$2:$G$501,0),"Revisar esencia"))</f>
        <v>234</v>
      </c>
      <c r="O42" s="17" t="s">
        <v>81</v>
      </c>
      <c r="P42" s="18">
        <v>1.0</v>
      </c>
      <c r="Q42" s="5">
        <f t="array" ref="Q42">IF($A42="","",IFERROR(IF($P42="",1,$P42)*XLOOKUP($O42,Colores!$A$2:$A$500,Colores!$H$2:$H$500,0),"Revisar color"))</f>
        <v>92.30769231</v>
      </c>
      <c r="R42" s="3"/>
      <c r="S42" s="5">
        <f t="array" ref="S42">IF($A42="","",IF($R42="",0,IFERROR(VLOOKUP(LEFT(TRIM(MID(SUBSTITUTE($R42,";",REPT(" ",99)),1,99)),FIND(":",TRIM(MID(SUBSTITUTE($R42,";",REPT(" ",99)),1,99)))-1),Materiales!$A$2:$E$502,5,FALSE)*VALUE(MID(TRIM(MID(SUBSTITUTE($R42,";",REPT(" ",99)),1,99)),FIND(":",TRIM(MID(SUBSTITUTE($R42,";",REPT(" ",99)),1,99)))+1,99)),0) + IFERROR(VLOOKUP(LEFT(TRIM(MID(SUBSTITUTE($R42,";",REPT(" ",99)),100,99)),FIND(":",TRIM(MID(SUBSTITUTE($R42,";",REPT(" ",99)),100,99)))-1),Materiales!$A$2:$E$502,5,FALSE)*VALUE(MID(TRIM(MID(SUBSTITUTE($R42,";",REPT(" ",99)),100,99)),FIND(":",TRIM(MID(SUBSTITUTE($R42,";",REPT(" ",99)),100,99)))+1,99)),0) + IFERROR(VLOOKUP(LEFT(TRIM(MID(SUBSTITUTE($R42,";",REPT(" ",99)),199,99)),FIND(":",TRIM(MID(SUBSTITUTE($R42,";",REPT(" ",99)),199,99)))-1),Materiales!$A$2:$E$502,5,FALSE)*VALUE(MID(TRIM(MID(SUBSTITUTE($R42,";",REPT(" ",99)),199,99)),FIND(":",TRIM(MID(SUBSTITUTE($R42,";",REPT(" ",99)),199,99)))+1,99)),0) + IFERROR(VLOOKUP(LEFT(TRIM(MID(SUBSTITUTE($R42,";",REPT(" ",99)),298,99)),FIND(":",TRIM(MID(SUBSTITUTE($R42,";",REPT(" ",99)),298,99)))-1),Materiales!$A$2:$E$502,5,FALSE)*VALUE(MID(TRIM(MID(SUBSTITUTE($R42,";",REPT(" ",99)),298,99)),FIND(":",TRIM(MID(SUBSTITUTE($R42,";",REPT(" ",99)),298,99)))+1,99)),0) + IFERROR(VLOOKUP(LEFT(TRIM(MID(SUBSTITUTE($R42,";",REPT(" ",99)),397,99)),FIND(":",TRIM(MID(SUBSTITUTE($R42,";",REPT(" ",99)),397,99)))-1),Materiales!$A$2:$E$502,5,FALSE)*VALUE(MID(TRIM(MID(SUBSTITUTE($R42,";",REPT(" ",99)),397,99)),FIND(":",TRIM(MID(SUBSTITUTE($R42,";",REPT(" ",99)),397,99)))+1,99)),0) + IFERROR(VLOOKUP(LEFT(TRIM(MID(SUBSTITUTE($R42,";",REPT(" ",99)),496,99)),FIND(":",TRIM(MID(SUBSTITUTE($R42,";",REPT(" ",99)),496,99)))-1),Materiales!$A$2:$E$502,5,FALSE)*VALUE(MID(TRIM(MID(SUBSTITUTE($R42,";",REPT(" ",99)),496,99)),FIND(":",TRIM(MID(SUBSTITUTE($R42,";",REPT(" ",99)),496,99)))+1,99)),0) + IFERROR(VLOOKUP(LEFT(TRIM(MID(SUBSTITUTE($R42,";",REPT(" ",99)),595,99)),FIND(":",TRIM(MID(SUBSTITUTE($R42,";",REPT(" ",99)),595,99)))-1),Materiales!$A$2:$E$502,5,FALSE)*VALUE(MID(TRIM(MID(SUBSTITUTE($R42,";",REPT(" ",99)),595,99)),FIND(":",TRIM(MID(SUBSTITUTE($R42,";",REPT(" ",99)),595,99)))+1,99)),0) + IFERROR(VLOOKUP(LEFT(TRIM(MID(SUBSTITUTE($R42,";",REPT(" ",99)),694,99)),FIND(":",TRIM(MID(SUBSTITUTE($R42,";",REPT(" ",99)),694,99)))-1),Materiales!$A$2:$E$502,5,FALSE)*VALUE(MID(TRIM(MID(SUBSTITUTE($R42,";",REPT(" ",99)),694,99)),FIND(":",TRIM(MID(SUBSTITUTE($R42,";",REPT(" ",99)),694,99)))+1,99)),0) + IFERROR(VLOOKUP(LEFT(TRIM(MID(SUBSTITUTE($R42,";",REPT(" ",99)),793,99)),FIND(":",TRIM(MID(SUBSTITUTE($R42,";",REPT(" ",99)),793,99)))-1),Materiales!$A$2:$E$502,5,FALSE)*VALUE(MID(TRIM(MID(SUBSTITUTE($R42,";",REPT(" ",99)),793,99)),FIND(":",TRIM(MID(SUBSTITUTE($R42,";",REPT(" ",99)),793,99)))+1,99)),0) + IFERROR(VLOOKUP(LEFT(TRIM(MID(SUBSTITUTE($R42,";",REPT(" ",99)),892,99)),FIND(":",TRIM(MID(SUBSTITUTE($R42,";",REPT(" ",99)),892,99)))-1),Materiales!$A$2:$E$502,5,FALSE)*VALUE(MID(TRIM(MID(SUBSTITUTE($R42,";",REPT(" ",99)),892,99)),FIND(":",TRIM(MID(SUBSTITUTE($R42,";",REPT(" ",99)),892,99)))+1,99)),0)))</f>
        <v>0</v>
      </c>
      <c r="T42" s="17"/>
      <c r="U42" s="5">
        <f t="array" ref="U42">IF($A42="","",IF($T42="",0,IFERROR(VLOOKUP(LEFT(TRIM(MID(SUBSTITUTE($T42,";",REPT(" ",99)),1,99)),FIND(":",TRIM(MID(SUBSTITUTE($T42,";",REPT(" ",99)),1,99)))-1),Materiales!$A$2:$E$502,5,FALSE)*VALUE(MID(TRIM(MID(SUBSTITUTE($T42,";",REPT(" ",99)),1,99)),FIND(":",TRIM(MID(SUBSTITUTE($T42,";",REPT(" ",99)),1,99)))+1,99)),0) + IFERROR(VLOOKUP(LEFT(TRIM(MID(SUBSTITUTE($T42,";",REPT(" ",99)),100,99)),FIND(":",TRIM(MID(SUBSTITUTE($T42,";",REPT(" ",99)),100,99)))-1),Materiales!$A$2:$E$502,5,FALSE)*VALUE(MID(TRIM(MID(SUBSTITUTE($T42,";",REPT(" ",99)),100,99)),FIND(":",TRIM(MID(SUBSTITUTE($T42,";",REPT(" ",99)),100,99)))+1,99)),0) + IFERROR(VLOOKUP(LEFT(TRIM(MID(SUBSTITUTE($T42,";",REPT(" ",99)),199,99)),FIND(":",TRIM(MID(SUBSTITUTE($T42,";",REPT(" ",99)),199,99)))-1),Materiales!$A$2:$E$502,5,FALSE)*VALUE(MID(TRIM(MID(SUBSTITUTE($T42,";",REPT(" ",99)),199,99)),FIND(":",TRIM(MID(SUBSTITUTE($T42,";",REPT(" ",99)),199,99)))+1,99)),0) + IFERROR(VLOOKUP(LEFT(TRIM(MID(SUBSTITUTE($T42,";",REPT(" ",99)),298,99)),FIND(":",TRIM(MID(SUBSTITUTE($T42,";",REPT(" ",99)),298,99)))-1),Materiales!$A$2:$E$502,5,FALSE)*VALUE(MID(TRIM(MID(SUBSTITUTE($T42,";",REPT(" ",99)),298,99)),FIND(":",TRIM(MID(SUBSTITUTE($T42,";",REPT(" ",99)),298,99)))+1,99)),0) + IFERROR(VLOOKUP(LEFT(TRIM(MID(SUBSTITUTE($T42,";",REPT(" ",99)),397,99)),FIND(":",TRIM(MID(SUBSTITUTE($T42,";",REPT(" ",99)),397,99)))-1),Materiales!$A$2:$E$502,5,FALSE)*VALUE(MID(TRIM(MID(SUBSTITUTE($T42,";",REPT(" ",99)),397,99)),FIND(":",TRIM(MID(SUBSTITUTE($T42,";",REPT(" ",99)),397,99)))+1,99)),0) + IFERROR(VLOOKUP(LEFT(TRIM(MID(SUBSTITUTE($T42,";",REPT(" ",99)),496,99)),FIND(":",TRIM(MID(SUBSTITUTE($T42,";",REPT(" ",99)),496,99)))-1),Materiales!$A$2:$E$502,5,FALSE)*VALUE(MID(TRIM(MID(SUBSTITUTE($T42,";",REPT(" ",99)),496,99)),FIND(":",TRIM(MID(SUBSTITUTE($T42,";",REPT(" ",99)),496,99)))+1,99)),0) + IFERROR(VLOOKUP(LEFT(TRIM(MID(SUBSTITUTE($T42,";",REPT(" ",99)),595,99)),FIND(":",TRIM(MID(SUBSTITUTE($T42,";",REPT(" ",99)),595,99)))-1),Materiales!$A$2:$E$502,5,FALSE)*VALUE(MID(TRIM(MID(SUBSTITUTE($T42,";",REPT(" ",99)),595,99)),FIND(":",TRIM(MID(SUBSTITUTE($T42,";",REPT(" ",99)),595,99)))+1,99)),0) + IFERROR(VLOOKUP(LEFT(TRIM(MID(SUBSTITUTE($T42,";",REPT(" ",99)),694,99)),FIND(":",TRIM(MID(SUBSTITUTE($T42,";",REPT(" ",99)),694,99)))-1),Materiales!$A$2:$E$502,5,FALSE)*VALUE(MID(TRIM(MID(SUBSTITUTE($T42,";",REPT(" ",99)),694,99)),FIND(":",TRIM(MID(SUBSTITUTE($T42,";",REPT(" ",99)),694,99)))+1,99)),0) + IFERROR(VLOOKUP(LEFT(TRIM(MID(SUBSTITUTE($T42,";",REPT(" ",99)),793,99)),FIND(":",TRIM(MID(SUBSTITUTE($T42,";",REPT(" ",99)),793,99)))-1),Materiales!$A$2:$E$502,5,FALSE)*VALUE(MID(TRIM(MID(SUBSTITUTE($T42,";",REPT(" ",99)),793,99)),FIND(":",TRIM(MID(SUBSTITUTE($T42,";",REPT(" ",99)),793,99)))+1,99)),0) + IFERROR(VLOOKUP(LEFT(TRIM(MID(SUBSTITUTE($T42,";",REPT(" ",99)),892,99)),FIND(":",TRIM(MID(SUBSTITUTE($T42,";",REPT(" ",99)),892,99)))-1),Materiales!$A$2:$E$502,5,FALSE)*VALUE(MID(TRIM(MID(SUBSTITUTE($T42,";",REPT(" ",99)),892,99)),FIND(":",TRIM(MID(SUBSTITUTE($T42,";",REPT(" ",99)),892,99)))+1,99)),0)))</f>
        <v>0</v>
      </c>
      <c r="V42" s="17"/>
      <c r="W42" s="5">
        <f t="array" ref="W42">IF($A42="","",IF($V42="",0,IFERROR(VLOOKUP(LEFT(TRIM(MID(SUBSTITUTE($V42,";",REPT(" ",99)),1,99)),FIND(":",TRIM(MID(SUBSTITUTE($V42,";",REPT(" ",99)),1,99)))-1),Materiales!$A$2:$E$502,5,FALSE)*VALUE(MID(TRIM(MID(SUBSTITUTE($V42,";",REPT(" ",99)),1,99)),FIND(":",TRIM(MID(SUBSTITUTE($V42,";",REPT(" ",99)),1,99)))+1,99)),0) + IFERROR(VLOOKUP(LEFT(TRIM(MID(SUBSTITUTE($V42,";",REPT(" ",99)),100,99)),FIND(":",TRIM(MID(SUBSTITUTE($V42,";",REPT(" ",99)),100,99)))-1),Materiales!$A$2:$E$502,5,FALSE)*VALUE(MID(TRIM(MID(SUBSTITUTE($V42,";",REPT(" ",99)),100,99)),FIND(":",TRIM(MID(SUBSTITUTE($V42,";",REPT(" ",99)),100,99)))+1,99)),0) + IFERROR(VLOOKUP(LEFT(TRIM(MID(SUBSTITUTE($V42,";",REPT(" ",99)),199,99)),FIND(":",TRIM(MID(SUBSTITUTE($V42,";",REPT(" ",99)),199,99)))-1),Materiales!$A$2:$E$502,5,FALSE)*VALUE(MID(TRIM(MID(SUBSTITUTE($V42,";",REPT(" ",99)),199,99)),FIND(":",TRIM(MID(SUBSTITUTE($V42,";",REPT(" ",99)),199,99)))+1,99)),0) + IFERROR(VLOOKUP(LEFT(TRIM(MID(SUBSTITUTE($V42,";",REPT(" ",99)),298,99)),FIND(":",TRIM(MID(SUBSTITUTE($V42,";",REPT(" ",99)),298,99)))-1),Materiales!$A$2:$E$502,5,FALSE)*VALUE(MID(TRIM(MID(SUBSTITUTE($V42,";",REPT(" ",99)),298,99)),FIND(":",TRIM(MID(SUBSTITUTE($V42,";",REPT(" ",99)),298,99)))+1,99)),0) + IFERROR(VLOOKUP(LEFT(TRIM(MID(SUBSTITUTE($V42,";",REPT(" ",99)),397,99)),FIND(":",TRIM(MID(SUBSTITUTE($V42,";",REPT(" ",99)),397,99)))-1),Materiales!$A$2:$E$502,5,FALSE)*VALUE(MID(TRIM(MID(SUBSTITUTE($V42,";",REPT(" ",99)),397,99)),FIND(":",TRIM(MID(SUBSTITUTE($V42,";",REPT(" ",99)),397,99)))+1,99)),0) + IFERROR(VLOOKUP(LEFT(TRIM(MID(SUBSTITUTE($V42,";",REPT(" ",99)),496,99)),FIND(":",TRIM(MID(SUBSTITUTE($V42,";",REPT(" ",99)),496,99)))-1),Materiales!$A$2:$E$502,5,FALSE)*VALUE(MID(TRIM(MID(SUBSTITUTE($V42,";",REPT(" ",99)),496,99)),FIND(":",TRIM(MID(SUBSTITUTE($V42,";",REPT(" ",99)),496,99)))+1,99)),0) + IFERROR(VLOOKUP(LEFT(TRIM(MID(SUBSTITUTE($V42,";",REPT(" ",99)),595,99)),FIND(":",TRIM(MID(SUBSTITUTE($V42,";",REPT(" ",99)),595,99)))-1),Materiales!$A$2:$E$502,5,FALSE)*VALUE(MID(TRIM(MID(SUBSTITUTE($V42,";",REPT(" ",99)),595,99)),FIND(":",TRIM(MID(SUBSTITUTE($V42,";",REPT(" ",99)),595,99)))+1,99)),0) + IFERROR(VLOOKUP(LEFT(TRIM(MID(SUBSTITUTE($V42,";",REPT(" ",99)),694,99)),FIND(":",TRIM(MID(SUBSTITUTE($V42,";",REPT(" ",99)),694,99)))-1),Materiales!$A$2:$E$502,5,FALSE)*VALUE(MID(TRIM(MID(SUBSTITUTE($V42,";",REPT(" ",99)),694,99)),FIND(":",TRIM(MID(SUBSTITUTE($V42,";",REPT(" ",99)),694,99)))+1,99)),0) + IFERROR(VLOOKUP(LEFT(TRIM(MID(SUBSTITUTE($V42,";",REPT(" ",99)),793,99)),FIND(":",TRIM(MID(SUBSTITUTE($V42,";",REPT(" ",99)),793,99)))-1),Materiales!$A$2:$E$502,5,FALSE)*VALUE(MID(TRIM(MID(SUBSTITUTE($V42,";",REPT(" ",99)),793,99)),FIND(":",TRIM(MID(SUBSTITUTE($V42,";",REPT(" ",99)),793,99)))+1,99)),0) + IFERROR(VLOOKUP(LEFT(TRIM(MID(SUBSTITUTE($V42,";",REPT(" ",99)),892,99)),FIND(":",TRIM(MID(SUBSTITUTE($V42,";",REPT(" ",99)),892,99)))-1),Materiales!$A$2:$E$502,5,FALSE)*VALUE(MID(TRIM(MID(SUBSTITUTE($V42,";",REPT(" ",99)),892,99)),FIND(":",TRIM(MID(SUBSTITUTE($V42,";",REPT(" ",99)),892,99)))+1,99)),0)))</f>
        <v>0</v>
      </c>
      <c r="X42" s="39">
        <f t="shared" si="13"/>
        <v>911.3076923</v>
      </c>
      <c r="Y42" s="40"/>
      <c r="Z42" s="41">
        <f t="shared" si="14"/>
        <v>0</v>
      </c>
      <c r="AA42" s="42"/>
      <c r="AB42" s="18">
        <f t="shared" si="15"/>
        <v>0</v>
      </c>
      <c r="AC42" s="43">
        <v>30000.0</v>
      </c>
      <c r="AD42" s="42">
        <f t="shared" si="16"/>
        <v>-911.3076923</v>
      </c>
      <c r="AE42" s="44">
        <f t="shared" si="17"/>
        <v>29088.69231</v>
      </c>
      <c r="AF42" s="45">
        <f t="shared" si="18"/>
        <v>-31.91972651</v>
      </c>
    </row>
    <row r="43" ht="15.75" customHeight="1">
      <c r="A43" s="17" t="s">
        <v>250</v>
      </c>
      <c r="B43" s="17" t="s">
        <v>16</v>
      </c>
      <c r="C43" s="46">
        <v>1.0</v>
      </c>
      <c r="D43" s="38"/>
      <c r="E43" s="38"/>
      <c r="F43" s="18">
        <v>42.0</v>
      </c>
      <c r="G43" s="5">
        <f t="array" ref="G43">IF($A43="","",IFERROR($F43*(N($C43)*XLOOKUP($B43,Ceras!$A$2:$A$500,Ceras!$G$2:$G$500,0)+IF($D43="",0,N($E43)*XLOOKUP($D43,Ceras!$A$2:$A$500,Ceras!$G$2:$G$500,0))),"Revisar cera"))</f>
        <v>756</v>
      </c>
      <c r="H43" s="5">
        <f t="shared" si="11"/>
        <v>63</v>
      </c>
      <c r="I43" s="17" t="s">
        <v>34</v>
      </c>
      <c r="J43" s="18">
        <v>5.0</v>
      </c>
      <c r="K43" s="5">
        <f t="array" ref="K43">IF($A43="","",IFERROR($J43*XLOOKUP($I43,Pabilos!$A$2:$A$500,Pabilos!$H$2:$H$500,0),"Revisar pabilo"))</f>
        <v>100</v>
      </c>
      <c r="L43" s="17" t="s">
        <v>55</v>
      </c>
      <c r="M43" s="14">
        <f t="shared" ref="M43:M45" si="19">F43/10</f>
        <v>4.2</v>
      </c>
      <c r="N43" s="5">
        <f t="array" ref="N43">IF($A43="","",IFERROR($M43*XLOOKUP($L43,Esencias!$A$2:$A$501,Esencias!$G$2:$G$501,0),"Revisar esencia"))</f>
        <v>591.5492958</v>
      </c>
      <c r="O43" s="17" t="s">
        <v>81</v>
      </c>
      <c r="P43" s="18">
        <v>1.0</v>
      </c>
      <c r="Q43" s="5">
        <f t="array" ref="Q43">IF($A43="","",IFERROR(IF($P43="",1,$P43)*XLOOKUP($O43,Colores!$A$2:$A$500,Colores!$H$2:$H$500,0),"Revisar color"))</f>
        <v>92.30769231</v>
      </c>
      <c r="R43" s="3"/>
      <c r="S43" s="5">
        <f t="array" ref="S43">IF($A43="","",IF($R43="",0,IFERROR(VLOOKUP(LEFT(TRIM(MID(SUBSTITUTE($R43,";",REPT(" ",99)),1,99)),FIND(":",TRIM(MID(SUBSTITUTE($R43,";",REPT(" ",99)),1,99)))-1),Materiales!$A$2:$E$502,5,FALSE)*VALUE(MID(TRIM(MID(SUBSTITUTE($R43,";",REPT(" ",99)),1,99)),FIND(":",TRIM(MID(SUBSTITUTE($R43,";",REPT(" ",99)),1,99)))+1,99)),0) + IFERROR(VLOOKUP(LEFT(TRIM(MID(SUBSTITUTE($R43,";",REPT(" ",99)),100,99)),FIND(":",TRIM(MID(SUBSTITUTE($R43,";",REPT(" ",99)),100,99)))-1),Materiales!$A$2:$E$502,5,FALSE)*VALUE(MID(TRIM(MID(SUBSTITUTE($R43,";",REPT(" ",99)),100,99)),FIND(":",TRIM(MID(SUBSTITUTE($R43,";",REPT(" ",99)),100,99)))+1,99)),0) + IFERROR(VLOOKUP(LEFT(TRIM(MID(SUBSTITUTE($R43,";",REPT(" ",99)),199,99)),FIND(":",TRIM(MID(SUBSTITUTE($R43,";",REPT(" ",99)),199,99)))-1),Materiales!$A$2:$E$502,5,FALSE)*VALUE(MID(TRIM(MID(SUBSTITUTE($R43,";",REPT(" ",99)),199,99)),FIND(":",TRIM(MID(SUBSTITUTE($R43,";",REPT(" ",99)),199,99)))+1,99)),0) + IFERROR(VLOOKUP(LEFT(TRIM(MID(SUBSTITUTE($R43,";",REPT(" ",99)),298,99)),FIND(":",TRIM(MID(SUBSTITUTE($R43,";",REPT(" ",99)),298,99)))-1),Materiales!$A$2:$E$502,5,FALSE)*VALUE(MID(TRIM(MID(SUBSTITUTE($R43,";",REPT(" ",99)),298,99)),FIND(":",TRIM(MID(SUBSTITUTE($R43,";",REPT(" ",99)),298,99)))+1,99)),0) + IFERROR(VLOOKUP(LEFT(TRIM(MID(SUBSTITUTE($R43,";",REPT(" ",99)),397,99)),FIND(":",TRIM(MID(SUBSTITUTE($R43,";",REPT(" ",99)),397,99)))-1),Materiales!$A$2:$E$502,5,FALSE)*VALUE(MID(TRIM(MID(SUBSTITUTE($R43,";",REPT(" ",99)),397,99)),FIND(":",TRIM(MID(SUBSTITUTE($R43,";",REPT(" ",99)),397,99)))+1,99)),0) + IFERROR(VLOOKUP(LEFT(TRIM(MID(SUBSTITUTE($R43,";",REPT(" ",99)),496,99)),FIND(":",TRIM(MID(SUBSTITUTE($R43,";",REPT(" ",99)),496,99)))-1),Materiales!$A$2:$E$502,5,FALSE)*VALUE(MID(TRIM(MID(SUBSTITUTE($R43,";",REPT(" ",99)),496,99)),FIND(":",TRIM(MID(SUBSTITUTE($R43,";",REPT(" ",99)),496,99)))+1,99)),0) + IFERROR(VLOOKUP(LEFT(TRIM(MID(SUBSTITUTE($R43,";",REPT(" ",99)),595,99)),FIND(":",TRIM(MID(SUBSTITUTE($R43,";",REPT(" ",99)),595,99)))-1),Materiales!$A$2:$E$502,5,FALSE)*VALUE(MID(TRIM(MID(SUBSTITUTE($R43,";",REPT(" ",99)),595,99)),FIND(":",TRIM(MID(SUBSTITUTE($R43,";",REPT(" ",99)),595,99)))+1,99)),0) + IFERROR(VLOOKUP(LEFT(TRIM(MID(SUBSTITUTE($R43,";",REPT(" ",99)),694,99)),FIND(":",TRIM(MID(SUBSTITUTE($R43,";",REPT(" ",99)),694,99)))-1),Materiales!$A$2:$E$502,5,FALSE)*VALUE(MID(TRIM(MID(SUBSTITUTE($R43,";",REPT(" ",99)),694,99)),FIND(":",TRIM(MID(SUBSTITUTE($R43,";",REPT(" ",99)),694,99)))+1,99)),0) + IFERROR(VLOOKUP(LEFT(TRIM(MID(SUBSTITUTE($R43,";",REPT(" ",99)),793,99)),FIND(":",TRIM(MID(SUBSTITUTE($R43,";",REPT(" ",99)),793,99)))-1),Materiales!$A$2:$E$502,5,FALSE)*VALUE(MID(TRIM(MID(SUBSTITUTE($R43,";",REPT(" ",99)),793,99)),FIND(":",TRIM(MID(SUBSTITUTE($R43,";",REPT(" ",99)),793,99)))+1,99)),0) + IFERROR(VLOOKUP(LEFT(TRIM(MID(SUBSTITUTE($R43,";",REPT(" ",99)),892,99)),FIND(":",TRIM(MID(SUBSTITUTE($R43,";",REPT(" ",99)),892,99)))-1),Materiales!$A$2:$E$502,5,FALSE)*VALUE(MID(TRIM(MID(SUBSTITUTE($R43,";",REPT(" ",99)),892,99)),FIND(":",TRIM(MID(SUBSTITUTE($R43,";",REPT(" ",99)),892,99)))+1,99)),0)))</f>
        <v>0</v>
      </c>
      <c r="T43" s="3"/>
      <c r="U43" s="5">
        <f t="array" ref="U43">IF($A43="","",IF($T43="",0,IFERROR(VLOOKUP(LEFT(TRIM(MID(SUBSTITUTE($T43,";",REPT(" ",99)),1,99)),FIND(":",TRIM(MID(SUBSTITUTE($T43,";",REPT(" ",99)),1,99)))-1),Materiales!$A$2:$E$502,5,FALSE)*VALUE(MID(TRIM(MID(SUBSTITUTE($T43,";",REPT(" ",99)),1,99)),FIND(":",TRIM(MID(SUBSTITUTE($T43,";",REPT(" ",99)),1,99)))+1,99)),0) + IFERROR(VLOOKUP(LEFT(TRIM(MID(SUBSTITUTE($T43,";",REPT(" ",99)),100,99)),FIND(":",TRIM(MID(SUBSTITUTE($T43,";",REPT(" ",99)),100,99)))-1),Materiales!$A$2:$E$502,5,FALSE)*VALUE(MID(TRIM(MID(SUBSTITUTE($T43,";",REPT(" ",99)),100,99)),FIND(":",TRIM(MID(SUBSTITUTE($T43,";",REPT(" ",99)),100,99)))+1,99)),0) + IFERROR(VLOOKUP(LEFT(TRIM(MID(SUBSTITUTE($T43,";",REPT(" ",99)),199,99)),FIND(":",TRIM(MID(SUBSTITUTE($T43,";",REPT(" ",99)),199,99)))-1),Materiales!$A$2:$E$502,5,FALSE)*VALUE(MID(TRIM(MID(SUBSTITUTE($T43,";",REPT(" ",99)),199,99)),FIND(":",TRIM(MID(SUBSTITUTE($T43,";",REPT(" ",99)),199,99)))+1,99)),0) + IFERROR(VLOOKUP(LEFT(TRIM(MID(SUBSTITUTE($T43,";",REPT(" ",99)),298,99)),FIND(":",TRIM(MID(SUBSTITUTE($T43,";",REPT(" ",99)),298,99)))-1),Materiales!$A$2:$E$502,5,FALSE)*VALUE(MID(TRIM(MID(SUBSTITUTE($T43,";",REPT(" ",99)),298,99)),FIND(":",TRIM(MID(SUBSTITUTE($T43,";",REPT(" ",99)),298,99)))+1,99)),0) + IFERROR(VLOOKUP(LEFT(TRIM(MID(SUBSTITUTE($T43,";",REPT(" ",99)),397,99)),FIND(":",TRIM(MID(SUBSTITUTE($T43,";",REPT(" ",99)),397,99)))-1),Materiales!$A$2:$E$502,5,FALSE)*VALUE(MID(TRIM(MID(SUBSTITUTE($T43,";",REPT(" ",99)),397,99)),FIND(":",TRIM(MID(SUBSTITUTE($T43,";",REPT(" ",99)),397,99)))+1,99)),0) + IFERROR(VLOOKUP(LEFT(TRIM(MID(SUBSTITUTE($T43,";",REPT(" ",99)),496,99)),FIND(":",TRIM(MID(SUBSTITUTE($T43,";",REPT(" ",99)),496,99)))-1),Materiales!$A$2:$E$502,5,FALSE)*VALUE(MID(TRIM(MID(SUBSTITUTE($T43,";",REPT(" ",99)),496,99)),FIND(":",TRIM(MID(SUBSTITUTE($T43,";",REPT(" ",99)),496,99)))+1,99)),0) + IFERROR(VLOOKUP(LEFT(TRIM(MID(SUBSTITUTE($T43,";",REPT(" ",99)),595,99)),FIND(":",TRIM(MID(SUBSTITUTE($T43,";",REPT(" ",99)),595,99)))-1),Materiales!$A$2:$E$502,5,FALSE)*VALUE(MID(TRIM(MID(SUBSTITUTE($T43,";",REPT(" ",99)),595,99)),FIND(":",TRIM(MID(SUBSTITUTE($T43,";",REPT(" ",99)),595,99)))+1,99)),0) + IFERROR(VLOOKUP(LEFT(TRIM(MID(SUBSTITUTE($T43,";",REPT(" ",99)),694,99)),FIND(":",TRIM(MID(SUBSTITUTE($T43,";",REPT(" ",99)),694,99)))-1),Materiales!$A$2:$E$502,5,FALSE)*VALUE(MID(TRIM(MID(SUBSTITUTE($T43,";",REPT(" ",99)),694,99)),FIND(":",TRIM(MID(SUBSTITUTE($T43,";",REPT(" ",99)),694,99)))+1,99)),0) + IFERROR(VLOOKUP(LEFT(TRIM(MID(SUBSTITUTE($T43,";",REPT(" ",99)),793,99)),FIND(":",TRIM(MID(SUBSTITUTE($T43,";",REPT(" ",99)),793,99)))-1),Materiales!$A$2:$E$502,5,FALSE)*VALUE(MID(TRIM(MID(SUBSTITUTE($T43,";",REPT(" ",99)),793,99)),FIND(":",TRIM(MID(SUBSTITUTE($T43,";",REPT(" ",99)),793,99)))+1,99)),0) + IFERROR(VLOOKUP(LEFT(TRIM(MID(SUBSTITUTE($T43,";",REPT(" ",99)),892,99)),FIND(":",TRIM(MID(SUBSTITUTE($T43,";",REPT(" ",99)),892,99)))-1),Materiales!$A$2:$E$502,5,FALSE)*VALUE(MID(TRIM(MID(SUBSTITUTE($T43,";",REPT(" ",99)),892,99)),FIND(":",TRIM(MID(SUBSTITUTE($T43,";",REPT(" ",99)),892,99)))+1,99)),0)))</f>
        <v>0</v>
      </c>
      <c r="V43" s="3"/>
      <c r="W43" s="5">
        <f t="array" ref="W43">IF($A43="","",IF($V43="",0,IFERROR(VLOOKUP(LEFT(TRIM(MID(SUBSTITUTE($V43,";",REPT(" ",99)),1,99)),FIND(":",TRIM(MID(SUBSTITUTE($V43,";",REPT(" ",99)),1,99)))-1),Materiales!$A$2:$E$502,5,FALSE)*VALUE(MID(TRIM(MID(SUBSTITUTE($V43,";",REPT(" ",99)),1,99)),FIND(":",TRIM(MID(SUBSTITUTE($V43,";",REPT(" ",99)),1,99)))+1,99)),0) + IFERROR(VLOOKUP(LEFT(TRIM(MID(SUBSTITUTE($V43,";",REPT(" ",99)),100,99)),FIND(":",TRIM(MID(SUBSTITUTE($V43,";",REPT(" ",99)),100,99)))-1),Materiales!$A$2:$E$502,5,FALSE)*VALUE(MID(TRIM(MID(SUBSTITUTE($V43,";",REPT(" ",99)),100,99)),FIND(":",TRIM(MID(SUBSTITUTE($V43,";",REPT(" ",99)),100,99)))+1,99)),0) + IFERROR(VLOOKUP(LEFT(TRIM(MID(SUBSTITUTE($V43,";",REPT(" ",99)),199,99)),FIND(":",TRIM(MID(SUBSTITUTE($V43,";",REPT(" ",99)),199,99)))-1),Materiales!$A$2:$E$502,5,FALSE)*VALUE(MID(TRIM(MID(SUBSTITUTE($V43,";",REPT(" ",99)),199,99)),FIND(":",TRIM(MID(SUBSTITUTE($V43,";",REPT(" ",99)),199,99)))+1,99)),0) + IFERROR(VLOOKUP(LEFT(TRIM(MID(SUBSTITUTE($V43,";",REPT(" ",99)),298,99)),FIND(":",TRIM(MID(SUBSTITUTE($V43,";",REPT(" ",99)),298,99)))-1),Materiales!$A$2:$E$502,5,FALSE)*VALUE(MID(TRIM(MID(SUBSTITUTE($V43,";",REPT(" ",99)),298,99)),FIND(":",TRIM(MID(SUBSTITUTE($V43,";",REPT(" ",99)),298,99)))+1,99)),0) + IFERROR(VLOOKUP(LEFT(TRIM(MID(SUBSTITUTE($V43,";",REPT(" ",99)),397,99)),FIND(":",TRIM(MID(SUBSTITUTE($V43,";",REPT(" ",99)),397,99)))-1),Materiales!$A$2:$E$502,5,FALSE)*VALUE(MID(TRIM(MID(SUBSTITUTE($V43,";",REPT(" ",99)),397,99)),FIND(":",TRIM(MID(SUBSTITUTE($V43,";",REPT(" ",99)),397,99)))+1,99)),0) + IFERROR(VLOOKUP(LEFT(TRIM(MID(SUBSTITUTE($V43,";",REPT(" ",99)),496,99)),FIND(":",TRIM(MID(SUBSTITUTE($V43,";",REPT(" ",99)),496,99)))-1),Materiales!$A$2:$E$502,5,FALSE)*VALUE(MID(TRIM(MID(SUBSTITUTE($V43,";",REPT(" ",99)),496,99)),FIND(":",TRIM(MID(SUBSTITUTE($V43,";",REPT(" ",99)),496,99)))+1,99)),0) + IFERROR(VLOOKUP(LEFT(TRIM(MID(SUBSTITUTE($V43,";",REPT(" ",99)),595,99)),FIND(":",TRIM(MID(SUBSTITUTE($V43,";",REPT(" ",99)),595,99)))-1),Materiales!$A$2:$E$502,5,FALSE)*VALUE(MID(TRIM(MID(SUBSTITUTE($V43,";",REPT(" ",99)),595,99)),FIND(":",TRIM(MID(SUBSTITUTE($V43,";",REPT(" ",99)),595,99)))+1,99)),0) + IFERROR(VLOOKUP(LEFT(TRIM(MID(SUBSTITUTE($V43,";",REPT(" ",99)),694,99)),FIND(":",TRIM(MID(SUBSTITUTE($V43,";",REPT(" ",99)),694,99)))-1),Materiales!$A$2:$E$502,5,FALSE)*VALUE(MID(TRIM(MID(SUBSTITUTE($V43,";",REPT(" ",99)),694,99)),FIND(":",TRIM(MID(SUBSTITUTE($V43,";",REPT(" ",99)),694,99)))+1,99)),0) + IFERROR(VLOOKUP(LEFT(TRIM(MID(SUBSTITUTE($V43,";",REPT(" ",99)),793,99)),FIND(":",TRIM(MID(SUBSTITUTE($V43,";",REPT(" ",99)),793,99)))-1),Materiales!$A$2:$E$502,5,FALSE)*VALUE(MID(TRIM(MID(SUBSTITUTE($V43,";",REPT(" ",99)),793,99)),FIND(":",TRIM(MID(SUBSTITUTE($V43,";",REPT(" ",99)),793,99)))+1,99)),0) + IFERROR(VLOOKUP(LEFT(TRIM(MID(SUBSTITUTE($V43,";",REPT(" ",99)),892,99)),FIND(":",TRIM(MID(SUBSTITUTE($V43,";",REPT(" ",99)),892,99)))-1),Materiales!$A$2:$E$502,5,FALSE)*VALUE(MID(TRIM(MID(SUBSTITUTE($V43,";",REPT(" ",99)),892,99)),FIND(":",TRIM(MID(SUBSTITUTE($V43,";",REPT(" ",99)),892,99)))+1,99)),0)))</f>
        <v>0</v>
      </c>
      <c r="X43" s="39">
        <f t="shared" si="13"/>
        <v>1602.856988</v>
      </c>
      <c r="Y43" s="40" t="s">
        <v>195</v>
      </c>
      <c r="Z43" s="41">
        <f t="shared" si="14"/>
        <v>4808.570964</v>
      </c>
      <c r="AA43" s="42">
        <v>0.0</v>
      </c>
      <c r="AB43" s="18">
        <f t="shared" si="15"/>
        <v>4808.570964</v>
      </c>
      <c r="AC43" s="43">
        <v>5000.0</v>
      </c>
      <c r="AD43" s="42">
        <f t="shared" si="16"/>
        <v>3205.713976</v>
      </c>
      <c r="AE43" s="44">
        <f t="shared" si="17"/>
        <v>3397.143012</v>
      </c>
      <c r="AF43" s="45">
        <f t="shared" si="18"/>
        <v>1.059714946</v>
      </c>
    </row>
    <row r="44" ht="15.75" customHeight="1">
      <c r="A44" s="47" t="s">
        <v>251</v>
      </c>
      <c r="B44" s="62" t="s">
        <v>16</v>
      </c>
      <c r="C44" s="49">
        <v>1.0</v>
      </c>
      <c r="D44" s="50"/>
      <c r="E44" s="50"/>
      <c r="F44" s="51">
        <v>26.0</v>
      </c>
      <c r="G44" s="52">
        <f t="array" ref="G44">IF($A44="","",IFERROR($F44*(N($C44)*XLOOKUP($B44,Ceras!$A$2:$A$500,Ceras!$G$2:$G$500,0)+IF($D44="",0,N($E44)*XLOOKUP($D44,Ceras!$A$2:$A$500,Ceras!$G$2:$G$500,0))),"Revisar cera"))</f>
        <v>468</v>
      </c>
      <c r="H44" s="52">
        <f t="shared" si="11"/>
        <v>39</v>
      </c>
      <c r="I44" s="62" t="s">
        <v>34</v>
      </c>
      <c r="J44" s="53">
        <v>5.0</v>
      </c>
      <c r="K44" s="52">
        <f t="array" ref="K44">IF($A44="","",IFERROR($J44*XLOOKUP($I44,Pabilos!$A$2:$A$500,Pabilos!$H$2:$H$500,0),"Revisar pabilo"))</f>
        <v>100</v>
      </c>
      <c r="L44" s="62" t="s">
        <v>55</v>
      </c>
      <c r="M44" s="53">
        <f t="shared" si="19"/>
        <v>2.6</v>
      </c>
      <c r="N44" s="52">
        <f t="array" ref="N44">IF($A44="","",IFERROR($M44*XLOOKUP($L44,Esencias!$A$2:$A$501,Esencias!$G$2:$G$501,0),"Revisar esencia"))</f>
        <v>366.1971831</v>
      </c>
      <c r="O44" s="62" t="s">
        <v>81</v>
      </c>
      <c r="P44" s="53">
        <v>1.0</v>
      </c>
      <c r="Q44" s="52">
        <f t="array" ref="Q44">IF($A44="","",IFERROR(IF($P44="",1,$P44)*XLOOKUP($O44,Colores!$A$2:$A$500,Colores!$H$2:$H$500,0),"Revisar color"))</f>
        <v>92.30769231</v>
      </c>
      <c r="R44" s="54"/>
      <c r="S44" s="52">
        <f t="array" ref="S44">IF($A44="","",IF($R44="",0,IFERROR(VLOOKUP(LEFT(TRIM(MID(SUBSTITUTE($R44,";",REPT(" ",99)),1,99)),FIND(":",TRIM(MID(SUBSTITUTE($R44,";",REPT(" ",99)),1,99)))-1),Materiales!$A$2:$E$502,5,FALSE)*VALUE(MID(TRIM(MID(SUBSTITUTE($R44,";",REPT(" ",99)),1,99)),FIND(":",TRIM(MID(SUBSTITUTE($R44,";",REPT(" ",99)),1,99)))+1,99)),0) + IFERROR(VLOOKUP(LEFT(TRIM(MID(SUBSTITUTE($R44,";",REPT(" ",99)),100,99)),FIND(":",TRIM(MID(SUBSTITUTE($R44,";",REPT(" ",99)),100,99)))-1),Materiales!$A$2:$E$502,5,FALSE)*VALUE(MID(TRIM(MID(SUBSTITUTE($R44,";",REPT(" ",99)),100,99)),FIND(":",TRIM(MID(SUBSTITUTE($R44,";",REPT(" ",99)),100,99)))+1,99)),0) + IFERROR(VLOOKUP(LEFT(TRIM(MID(SUBSTITUTE($R44,";",REPT(" ",99)),199,99)),FIND(":",TRIM(MID(SUBSTITUTE($R44,";",REPT(" ",99)),199,99)))-1),Materiales!$A$2:$E$502,5,FALSE)*VALUE(MID(TRIM(MID(SUBSTITUTE($R44,";",REPT(" ",99)),199,99)),FIND(":",TRIM(MID(SUBSTITUTE($R44,";",REPT(" ",99)),199,99)))+1,99)),0) + IFERROR(VLOOKUP(LEFT(TRIM(MID(SUBSTITUTE($R44,";",REPT(" ",99)),298,99)),FIND(":",TRIM(MID(SUBSTITUTE($R44,";",REPT(" ",99)),298,99)))-1),Materiales!$A$2:$E$502,5,FALSE)*VALUE(MID(TRIM(MID(SUBSTITUTE($R44,";",REPT(" ",99)),298,99)),FIND(":",TRIM(MID(SUBSTITUTE($R44,";",REPT(" ",99)),298,99)))+1,99)),0) + IFERROR(VLOOKUP(LEFT(TRIM(MID(SUBSTITUTE($R44,";",REPT(" ",99)),397,99)),FIND(":",TRIM(MID(SUBSTITUTE($R44,";",REPT(" ",99)),397,99)))-1),Materiales!$A$2:$E$502,5,FALSE)*VALUE(MID(TRIM(MID(SUBSTITUTE($R44,";",REPT(" ",99)),397,99)),FIND(":",TRIM(MID(SUBSTITUTE($R44,";",REPT(" ",99)),397,99)))+1,99)),0) + IFERROR(VLOOKUP(LEFT(TRIM(MID(SUBSTITUTE($R44,";",REPT(" ",99)),496,99)),FIND(":",TRIM(MID(SUBSTITUTE($R44,";",REPT(" ",99)),496,99)))-1),Materiales!$A$2:$E$502,5,FALSE)*VALUE(MID(TRIM(MID(SUBSTITUTE($R44,";",REPT(" ",99)),496,99)),FIND(":",TRIM(MID(SUBSTITUTE($R44,";",REPT(" ",99)),496,99)))+1,99)),0) + IFERROR(VLOOKUP(LEFT(TRIM(MID(SUBSTITUTE($R44,";",REPT(" ",99)),595,99)),FIND(":",TRIM(MID(SUBSTITUTE($R44,";",REPT(" ",99)),595,99)))-1),Materiales!$A$2:$E$502,5,FALSE)*VALUE(MID(TRIM(MID(SUBSTITUTE($R44,";",REPT(" ",99)),595,99)),FIND(":",TRIM(MID(SUBSTITUTE($R44,";",REPT(" ",99)),595,99)))+1,99)),0) + IFERROR(VLOOKUP(LEFT(TRIM(MID(SUBSTITUTE($R44,";",REPT(" ",99)),694,99)),FIND(":",TRIM(MID(SUBSTITUTE($R44,";",REPT(" ",99)),694,99)))-1),Materiales!$A$2:$E$502,5,FALSE)*VALUE(MID(TRIM(MID(SUBSTITUTE($R44,";",REPT(" ",99)),694,99)),FIND(":",TRIM(MID(SUBSTITUTE($R44,";",REPT(" ",99)),694,99)))+1,99)),0) + IFERROR(VLOOKUP(LEFT(TRIM(MID(SUBSTITUTE($R44,";",REPT(" ",99)),793,99)),FIND(":",TRIM(MID(SUBSTITUTE($R44,";",REPT(" ",99)),793,99)))-1),Materiales!$A$2:$E$502,5,FALSE)*VALUE(MID(TRIM(MID(SUBSTITUTE($R44,";",REPT(" ",99)),793,99)),FIND(":",TRIM(MID(SUBSTITUTE($R44,";",REPT(" ",99)),793,99)))+1,99)),0) + IFERROR(VLOOKUP(LEFT(TRIM(MID(SUBSTITUTE($R44,";",REPT(" ",99)),892,99)),FIND(":",TRIM(MID(SUBSTITUTE($R44,";",REPT(" ",99)),892,99)))-1),Materiales!$A$2:$E$502,5,FALSE)*VALUE(MID(TRIM(MID(SUBSTITUTE($R44,";",REPT(" ",99)),892,99)),FIND(":",TRIM(MID(SUBSTITUTE($R44,";",REPT(" ",99)),892,99)))+1,99)),0)))</f>
        <v>0</v>
      </c>
      <c r="T44" s="63"/>
      <c r="U44" s="52">
        <f t="array" ref="U44">IF($A44="","",IF($T44="",0,IFERROR(VLOOKUP(LEFT(TRIM(MID(SUBSTITUTE($T44,";",REPT(" ",99)),1,99)),FIND(":",TRIM(MID(SUBSTITUTE($T44,";",REPT(" ",99)),1,99)))-1),Materiales!$A$2:$E$502,5,FALSE)*VALUE(MID(TRIM(MID(SUBSTITUTE($T44,";",REPT(" ",99)),1,99)),FIND(":",TRIM(MID(SUBSTITUTE($T44,";",REPT(" ",99)),1,99)))+1,99)),0) + IFERROR(VLOOKUP(LEFT(TRIM(MID(SUBSTITUTE($T44,";",REPT(" ",99)),100,99)),FIND(":",TRIM(MID(SUBSTITUTE($T44,";",REPT(" ",99)),100,99)))-1),Materiales!$A$2:$E$502,5,FALSE)*VALUE(MID(TRIM(MID(SUBSTITUTE($T44,";",REPT(" ",99)),100,99)),FIND(":",TRIM(MID(SUBSTITUTE($T44,";",REPT(" ",99)),100,99)))+1,99)),0) + IFERROR(VLOOKUP(LEFT(TRIM(MID(SUBSTITUTE($T44,";",REPT(" ",99)),199,99)),FIND(":",TRIM(MID(SUBSTITUTE($T44,";",REPT(" ",99)),199,99)))-1),Materiales!$A$2:$E$502,5,FALSE)*VALUE(MID(TRIM(MID(SUBSTITUTE($T44,";",REPT(" ",99)),199,99)),FIND(":",TRIM(MID(SUBSTITUTE($T44,";",REPT(" ",99)),199,99)))+1,99)),0) + IFERROR(VLOOKUP(LEFT(TRIM(MID(SUBSTITUTE($T44,";",REPT(" ",99)),298,99)),FIND(":",TRIM(MID(SUBSTITUTE($T44,";",REPT(" ",99)),298,99)))-1),Materiales!$A$2:$E$502,5,FALSE)*VALUE(MID(TRIM(MID(SUBSTITUTE($T44,";",REPT(" ",99)),298,99)),FIND(":",TRIM(MID(SUBSTITUTE($T44,";",REPT(" ",99)),298,99)))+1,99)),0) + IFERROR(VLOOKUP(LEFT(TRIM(MID(SUBSTITUTE($T44,";",REPT(" ",99)),397,99)),FIND(":",TRIM(MID(SUBSTITUTE($T44,";",REPT(" ",99)),397,99)))-1),Materiales!$A$2:$E$502,5,FALSE)*VALUE(MID(TRIM(MID(SUBSTITUTE($T44,";",REPT(" ",99)),397,99)),FIND(":",TRIM(MID(SUBSTITUTE($T44,";",REPT(" ",99)),397,99)))+1,99)),0) + IFERROR(VLOOKUP(LEFT(TRIM(MID(SUBSTITUTE($T44,";",REPT(" ",99)),496,99)),FIND(":",TRIM(MID(SUBSTITUTE($T44,";",REPT(" ",99)),496,99)))-1),Materiales!$A$2:$E$502,5,FALSE)*VALUE(MID(TRIM(MID(SUBSTITUTE($T44,";",REPT(" ",99)),496,99)),FIND(":",TRIM(MID(SUBSTITUTE($T44,";",REPT(" ",99)),496,99)))+1,99)),0) + IFERROR(VLOOKUP(LEFT(TRIM(MID(SUBSTITUTE($T44,";",REPT(" ",99)),595,99)),FIND(":",TRIM(MID(SUBSTITUTE($T44,";",REPT(" ",99)),595,99)))-1),Materiales!$A$2:$E$502,5,FALSE)*VALUE(MID(TRIM(MID(SUBSTITUTE($T44,";",REPT(" ",99)),595,99)),FIND(":",TRIM(MID(SUBSTITUTE($T44,";",REPT(" ",99)),595,99)))+1,99)),0) + IFERROR(VLOOKUP(LEFT(TRIM(MID(SUBSTITUTE($T44,";",REPT(" ",99)),694,99)),FIND(":",TRIM(MID(SUBSTITUTE($T44,";",REPT(" ",99)),694,99)))-1),Materiales!$A$2:$E$502,5,FALSE)*VALUE(MID(TRIM(MID(SUBSTITUTE($T44,";",REPT(" ",99)),694,99)),FIND(":",TRIM(MID(SUBSTITUTE($T44,";",REPT(" ",99)),694,99)))+1,99)),0) + IFERROR(VLOOKUP(LEFT(TRIM(MID(SUBSTITUTE($T44,";",REPT(" ",99)),793,99)),FIND(":",TRIM(MID(SUBSTITUTE($T44,";",REPT(" ",99)),793,99)))-1),Materiales!$A$2:$E$502,5,FALSE)*VALUE(MID(TRIM(MID(SUBSTITUTE($T44,";",REPT(" ",99)),793,99)),FIND(":",TRIM(MID(SUBSTITUTE($T44,";",REPT(" ",99)),793,99)))+1,99)),0) + IFERROR(VLOOKUP(LEFT(TRIM(MID(SUBSTITUTE($T44,";",REPT(" ",99)),892,99)),FIND(":",TRIM(MID(SUBSTITUTE($T44,";",REPT(" ",99)),892,99)))-1),Materiales!$A$2:$E$502,5,FALSE)*VALUE(MID(TRIM(MID(SUBSTITUTE($T44,";",REPT(" ",99)),892,99)),FIND(":",TRIM(MID(SUBSTITUTE($T44,";",REPT(" ",99)),892,99)))+1,99)),0)))</f>
        <v>0</v>
      </c>
      <c r="V44" s="63"/>
      <c r="W44" s="52">
        <f t="array" ref="W44">IF($A44="","",IF($V44="",0,IFERROR(VLOOKUP(LEFT(TRIM(MID(SUBSTITUTE($V44,";",REPT(" ",99)),1,99)),FIND(":",TRIM(MID(SUBSTITUTE($V44,";",REPT(" ",99)),1,99)))-1),Materiales!$A$2:$E$502,5,FALSE)*VALUE(MID(TRIM(MID(SUBSTITUTE($V44,";",REPT(" ",99)),1,99)),FIND(":",TRIM(MID(SUBSTITUTE($V44,";",REPT(" ",99)),1,99)))+1,99)),0) + IFERROR(VLOOKUP(LEFT(TRIM(MID(SUBSTITUTE($V44,";",REPT(" ",99)),100,99)),FIND(":",TRIM(MID(SUBSTITUTE($V44,";",REPT(" ",99)),100,99)))-1),Materiales!$A$2:$E$502,5,FALSE)*VALUE(MID(TRIM(MID(SUBSTITUTE($V44,";",REPT(" ",99)),100,99)),FIND(":",TRIM(MID(SUBSTITUTE($V44,";",REPT(" ",99)),100,99)))+1,99)),0) + IFERROR(VLOOKUP(LEFT(TRIM(MID(SUBSTITUTE($V44,";",REPT(" ",99)),199,99)),FIND(":",TRIM(MID(SUBSTITUTE($V44,";",REPT(" ",99)),199,99)))-1),Materiales!$A$2:$E$502,5,FALSE)*VALUE(MID(TRIM(MID(SUBSTITUTE($V44,";",REPT(" ",99)),199,99)),FIND(":",TRIM(MID(SUBSTITUTE($V44,";",REPT(" ",99)),199,99)))+1,99)),0) + IFERROR(VLOOKUP(LEFT(TRIM(MID(SUBSTITUTE($V44,";",REPT(" ",99)),298,99)),FIND(":",TRIM(MID(SUBSTITUTE($V44,";",REPT(" ",99)),298,99)))-1),Materiales!$A$2:$E$502,5,FALSE)*VALUE(MID(TRIM(MID(SUBSTITUTE($V44,";",REPT(" ",99)),298,99)),FIND(":",TRIM(MID(SUBSTITUTE($V44,";",REPT(" ",99)),298,99)))+1,99)),0) + IFERROR(VLOOKUP(LEFT(TRIM(MID(SUBSTITUTE($V44,";",REPT(" ",99)),397,99)),FIND(":",TRIM(MID(SUBSTITUTE($V44,";",REPT(" ",99)),397,99)))-1),Materiales!$A$2:$E$502,5,FALSE)*VALUE(MID(TRIM(MID(SUBSTITUTE($V44,";",REPT(" ",99)),397,99)),FIND(":",TRIM(MID(SUBSTITUTE($V44,";",REPT(" ",99)),397,99)))+1,99)),0) + IFERROR(VLOOKUP(LEFT(TRIM(MID(SUBSTITUTE($V44,";",REPT(" ",99)),496,99)),FIND(":",TRIM(MID(SUBSTITUTE($V44,";",REPT(" ",99)),496,99)))-1),Materiales!$A$2:$E$502,5,FALSE)*VALUE(MID(TRIM(MID(SUBSTITUTE($V44,";",REPT(" ",99)),496,99)),FIND(":",TRIM(MID(SUBSTITUTE($V44,";",REPT(" ",99)),496,99)))+1,99)),0) + IFERROR(VLOOKUP(LEFT(TRIM(MID(SUBSTITUTE($V44,";",REPT(" ",99)),595,99)),FIND(":",TRIM(MID(SUBSTITUTE($V44,";",REPT(" ",99)),595,99)))-1),Materiales!$A$2:$E$502,5,FALSE)*VALUE(MID(TRIM(MID(SUBSTITUTE($V44,";",REPT(" ",99)),595,99)),FIND(":",TRIM(MID(SUBSTITUTE($V44,";",REPT(" ",99)),595,99)))+1,99)),0) + IFERROR(VLOOKUP(LEFT(TRIM(MID(SUBSTITUTE($V44,";",REPT(" ",99)),694,99)),FIND(":",TRIM(MID(SUBSTITUTE($V44,";",REPT(" ",99)),694,99)))-1),Materiales!$A$2:$E$502,5,FALSE)*VALUE(MID(TRIM(MID(SUBSTITUTE($V44,";",REPT(" ",99)),694,99)),FIND(":",TRIM(MID(SUBSTITUTE($V44,";",REPT(" ",99)),694,99)))+1,99)),0) + IFERROR(VLOOKUP(LEFT(TRIM(MID(SUBSTITUTE($V44,";",REPT(" ",99)),793,99)),FIND(":",TRIM(MID(SUBSTITUTE($V44,";",REPT(" ",99)),793,99)))-1),Materiales!$A$2:$E$502,5,FALSE)*VALUE(MID(TRIM(MID(SUBSTITUTE($V44,";",REPT(" ",99)),793,99)),FIND(":",TRIM(MID(SUBSTITUTE($V44,";",REPT(" ",99)),793,99)))+1,99)),0) + IFERROR(VLOOKUP(LEFT(TRIM(MID(SUBSTITUTE($V44,";",REPT(" ",99)),892,99)),FIND(":",TRIM(MID(SUBSTITUTE($V44,";",REPT(" ",99)),892,99)))-1),Materiales!$A$2:$E$502,5,FALSE)*VALUE(MID(TRIM(MID(SUBSTITUTE($V44,";",REPT(" ",99)),892,99)),FIND(":",TRIM(MID(SUBSTITUTE($V44,";",REPT(" ",99)),892,99)))+1,99)),0)))</f>
        <v>0</v>
      </c>
      <c r="X44" s="55">
        <f t="shared" si="13"/>
        <v>1065.504875</v>
      </c>
      <c r="Y44" s="56" t="s">
        <v>195</v>
      </c>
      <c r="Z44" s="57">
        <f t="shared" si="14"/>
        <v>3196.514626</v>
      </c>
      <c r="AA44" s="58">
        <v>0.0</v>
      </c>
      <c r="AB44" s="53">
        <f t="shared" si="15"/>
        <v>3196.514626</v>
      </c>
      <c r="AC44" s="59">
        <v>3000.0</v>
      </c>
      <c r="AD44" s="58">
        <f t="shared" si="16"/>
        <v>2131.009751</v>
      </c>
      <c r="AE44" s="60">
        <f t="shared" si="17"/>
        <v>1934.495125</v>
      </c>
      <c r="AF44" s="61">
        <f t="shared" si="18"/>
        <v>0.9077833285</v>
      </c>
    </row>
    <row r="45" ht="15.75" customHeight="1">
      <c r="A45" s="47" t="s">
        <v>252</v>
      </c>
      <c r="B45" s="62" t="s">
        <v>16</v>
      </c>
      <c r="C45" s="49">
        <v>1.0</v>
      </c>
      <c r="D45" s="50"/>
      <c r="E45" s="50"/>
      <c r="F45" s="51">
        <v>22.0</v>
      </c>
      <c r="G45" s="52">
        <f t="array" ref="G45">IF($A45="","",IFERROR($F45*(N($C45)*XLOOKUP($B45,Ceras!$A$2:$A$500,Ceras!$G$2:$G$500,0)+IF($D45="",0,N($E45)*XLOOKUP($D45,Ceras!$A$2:$A$500,Ceras!$G$2:$G$500,0))),"Revisar cera"))</f>
        <v>396</v>
      </c>
      <c r="H45" s="52">
        <f t="shared" si="11"/>
        <v>33</v>
      </c>
      <c r="I45" s="62" t="s">
        <v>34</v>
      </c>
      <c r="J45" s="53">
        <v>5.0</v>
      </c>
      <c r="K45" s="52">
        <f t="array" ref="K45">IF($A45="","",IFERROR($J45*XLOOKUP($I45,Pabilos!$A$2:$A$500,Pabilos!$H$2:$H$500,0),"Revisar pabilo"))</f>
        <v>100</v>
      </c>
      <c r="L45" s="62" t="s">
        <v>55</v>
      </c>
      <c r="M45" s="53">
        <f t="shared" si="19"/>
        <v>2.2</v>
      </c>
      <c r="N45" s="52">
        <f t="array" ref="N45">IF($A45="","",IFERROR($M45*XLOOKUP($L45,Esencias!$A$2:$A$501,Esencias!$G$2:$G$501,0),"Revisar esencia"))</f>
        <v>309.8591549</v>
      </c>
      <c r="O45" s="62" t="s">
        <v>81</v>
      </c>
      <c r="P45" s="53">
        <v>1.0</v>
      </c>
      <c r="Q45" s="52">
        <f t="array" ref="Q45">IF($A45="","",IFERROR(IF($P45="",1,$P45)*XLOOKUP($O45,Colores!$A$2:$A$500,Colores!$H$2:$H$500,0),"Revisar color"))</f>
        <v>92.30769231</v>
      </c>
      <c r="R45" s="54"/>
      <c r="S45" s="52">
        <f t="array" ref="S45">IF($A45="","",IF($R45="",0,IFERROR(VLOOKUP(LEFT(TRIM(MID(SUBSTITUTE($R45,";",REPT(" ",99)),1,99)),FIND(":",TRIM(MID(SUBSTITUTE($R45,";",REPT(" ",99)),1,99)))-1),Materiales!$A$2:$E$502,5,FALSE)*VALUE(MID(TRIM(MID(SUBSTITUTE($R45,";",REPT(" ",99)),1,99)),FIND(":",TRIM(MID(SUBSTITUTE($R45,";",REPT(" ",99)),1,99)))+1,99)),0) + IFERROR(VLOOKUP(LEFT(TRIM(MID(SUBSTITUTE($R45,";",REPT(" ",99)),100,99)),FIND(":",TRIM(MID(SUBSTITUTE($R45,";",REPT(" ",99)),100,99)))-1),Materiales!$A$2:$E$502,5,FALSE)*VALUE(MID(TRIM(MID(SUBSTITUTE($R45,";",REPT(" ",99)),100,99)),FIND(":",TRIM(MID(SUBSTITUTE($R45,";",REPT(" ",99)),100,99)))+1,99)),0) + IFERROR(VLOOKUP(LEFT(TRIM(MID(SUBSTITUTE($R45,";",REPT(" ",99)),199,99)),FIND(":",TRIM(MID(SUBSTITUTE($R45,";",REPT(" ",99)),199,99)))-1),Materiales!$A$2:$E$502,5,FALSE)*VALUE(MID(TRIM(MID(SUBSTITUTE($R45,";",REPT(" ",99)),199,99)),FIND(":",TRIM(MID(SUBSTITUTE($R45,";",REPT(" ",99)),199,99)))+1,99)),0) + IFERROR(VLOOKUP(LEFT(TRIM(MID(SUBSTITUTE($R45,";",REPT(" ",99)),298,99)),FIND(":",TRIM(MID(SUBSTITUTE($R45,";",REPT(" ",99)),298,99)))-1),Materiales!$A$2:$E$502,5,FALSE)*VALUE(MID(TRIM(MID(SUBSTITUTE($R45,";",REPT(" ",99)),298,99)),FIND(":",TRIM(MID(SUBSTITUTE($R45,";",REPT(" ",99)),298,99)))+1,99)),0) + IFERROR(VLOOKUP(LEFT(TRIM(MID(SUBSTITUTE($R45,";",REPT(" ",99)),397,99)),FIND(":",TRIM(MID(SUBSTITUTE($R45,";",REPT(" ",99)),397,99)))-1),Materiales!$A$2:$E$502,5,FALSE)*VALUE(MID(TRIM(MID(SUBSTITUTE($R45,";",REPT(" ",99)),397,99)),FIND(":",TRIM(MID(SUBSTITUTE($R45,";",REPT(" ",99)),397,99)))+1,99)),0) + IFERROR(VLOOKUP(LEFT(TRIM(MID(SUBSTITUTE($R45,";",REPT(" ",99)),496,99)),FIND(":",TRIM(MID(SUBSTITUTE($R45,";",REPT(" ",99)),496,99)))-1),Materiales!$A$2:$E$502,5,FALSE)*VALUE(MID(TRIM(MID(SUBSTITUTE($R45,";",REPT(" ",99)),496,99)),FIND(":",TRIM(MID(SUBSTITUTE($R45,";",REPT(" ",99)),496,99)))+1,99)),0) + IFERROR(VLOOKUP(LEFT(TRIM(MID(SUBSTITUTE($R45,";",REPT(" ",99)),595,99)),FIND(":",TRIM(MID(SUBSTITUTE($R45,";",REPT(" ",99)),595,99)))-1),Materiales!$A$2:$E$502,5,FALSE)*VALUE(MID(TRIM(MID(SUBSTITUTE($R45,";",REPT(" ",99)),595,99)),FIND(":",TRIM(MID(SUBSTITUTE($R45,";",REPT(" ",99)),595,99)))+1,99)),0) + IFERROR(VLOOKUP(LEFT(TRIM(MID(SUBSTITUTE($R45,";",REPT(" ",99)),694,99)),FIND(":",TRIM(MID(SUBSTITUTE($R45,";",REPT(" ",99)),694,99)))-1),Materiales!$A$2:$E$502,5,FALSE)*VALUE(MID(TRIM(MID(SUBSTITUTE($R45,";",REPT(" ",99)),694,99)),FIND(":",TRIM(MID(SUBSTITUTE($R45,";",REPT(" ",99)),694,99)))+1,99)),0) + IFERROR(VLOOKUP(LEFT(TRIM(MID(SUBSTITUTE($R45,";",REPT(" ",99)),793,99)),FIND(":",TRIM(MID(SUBSTITUTE($R45,";",REPT(" ",99)),793,99)))-1),Materiales!$A$2:$E$502,5,FALSE)*VALUE(MID(TRIM(MID(SUBSTITUTE($R45,";",REPT(" ",99)),793,99)),FIND(":",TRIM(MID(SUBSTITUTE($R45,";",REPT(" ",99)),793,99)))+1,99)),0) + IFERROR(VLOOKUP(LEFT(TRIM(MID(SUBSTITUTE($R45,";",REPT(" ",99)),892,99)),FIND(":",TRIM(MID(SUBSTITUTE($R45,";",REPT(" ",99)),892,99)))-1),Materiales!$A$2:$E$502,5,FALSE)*VALUE(MID(TRIM(MID(SUBSTITUTE($R45,";",REPT(" ",99)),892,99)),FIND(":",TRIM(MID(SUBSTITUTE($R45,";",REPT(" ",99)),892,99)))+1,99)),0)))</f>
        <v>0</v>
      </c>
      <c r="T45" s="63"/>
      <c r="U45" s="52">
        <f t="array" ref="U45">IF($A45="","",IF($T45="",0,IFERROR(VLOOKUP(LEFT(TRIM(MID(SUBSTITUTE($T45,";",REPT(" ",99)),1,99)),FIND(":",TRIM(MID(SUBSTITUTE($T45,";",REPT(" ",99)),1,99)))-1),Materiales!$A$2:$E$502,5,FALSE)*VALUE(MID(TRIM(MID(SUBSTITUTE($T45,";",REPT(" ",99)),1,99)),FIND(":",TRIM(MID(SUBSTITUTE($T45,";",REPT(" ",99)),1,99)))+1,99)),0) + IFERROR(VLOOKUP(LEFT(TRIM(MID(SUBSTITUTE($T45,";",REPT(" ",99)),100,99)),FIND(":",TRIM(MID(SUBSTITUTE($T45,";",REPT(" ",99)),100,99)))-1),Materiales!$A$2:$E$502,5,FALSE)*VALUE(MID(TRIM(MID(SUBSTITUTE($T45,";",REPT(" ",99)),100,99)),FIND(":",TRIM(MID(SUBSTITUTE($T45,";",REPT(" ",99)),100,99)))+1,99)),0) + IFERROR(VLOOKUP(LEFT(TRIM(MID(SUBSTITUTE($T45,";",REPT(" ",99)),199,99)),FIND(":",TRIM(MID(SUBSTITUTE($T45,";",REPT(" ",99)),199,99)))-1),Materiales!$A$2:$E$502,5,FALSE)*VALUE(MID(TRIM(MID(SUBSTITUTE($T45,";",REPT(" ",99)),199,99)),FIND(":",TRIM(MID(SUBSTITUTE($T45,";",REPT(" ",99)),199,99)))+1,99)),0) + IFERROR(VLOOKUP(LEFT(TRIM(MID(SUBSTITUTE($T45,";",REPT(" ",99)),298,99)),FIND(":",TRIM(MID(SUBSTITUTE($T45,";",REPT(" ",99)),298,99)))-1),Materiales!$A$2:$E$502,5,FALSE)*VALUE(MID(TRIM(MID(SUBSTITUTE($T45,";",REPT(" ",99)),298,99)),FIND(":",TRIM(MID(SUBSTITUTE($T45,";",REPT(" ",99)),298,99)))+1,99)),0) + IFERROR(VLOOKUP(LEFT(TRIM(MID(SUBSTITUTE($T45,";",REPT(" ",99)),397,99)),FIND(":",TRIM(MID(SUBSTITUTE($T45,";",REPT(" ",99)),397,99)))-1),Materiales!$A$2:$E$502,5,FALSE)*VALUE(MID(TRIM(MID(SUBSTITUTE($T45,";",REPT(" ",99)),397,99)),FIND(":",TRIM(MID(SUBSTITUTE($T45,";",REPT(" ",99)),397,99)))+1,99)),0) + IFERROR(VLOOKUP(LEFT(TRIM(MID(SUBSTITUTE($T45,";",REPT(" ",99)),496,99)),FIND(":",TRIM(MID(SUBSTITUTE($T45,";",REPT(" ",99)),496,99)))-1),Materiales!$A$2:$E$502,5,FALSE)*VALUE(MID(TRIM(MID(SUBSTITUTE($T45,";",REPT(" ",99)),496,99)),FIND(":",TRIM(MID(SUBSTITUTE($T45,";",REPT(" ",99)),496,99)))+1,99)),0) + IFERROR(VLOOKUP(LEFT(TRIM(MID(SUBSTITUTE($T45,";",REPT(" ",99)),595,99)),FIND(":",TRIM(MID(SUBSTITUTE($T45,";",REPT(" ",99)),595,99)))-1),Materiales!$A$2:$E$502,5,FALSE)*VALUE(MID(TRIM(MID(SUBSTITUTE($T45,";",REPT(" ",99)),595,99)),FIND(":",TRIM(MID(SUBSTITUTE($T45,";",REPT(" ",99)),595,99)))+1,99)),0) + IFERROR(VLOOKUP(LEFT(TRIM(MID(SUBSTITUTE($T45,";",REPT(" ",99)),694,99)),FIND(":",TRIM(MID(SUBSTITUTE($T45,";",REPT(" ",99)),694,99)))-1),Materiales!$A$2:$E$502,5,FALSE)*VALUE(MID(TRIM(MID(SUBSTITUTE($T45,";",REPT(" ",99)),694,99)),FIND(":",TRIM(MID(SUBSTITUTE($T45,";",REPT(" ",99)),694,99)))+1,99)),0) + IFERROR(VLOOKUP(LEFT(TRIM(MID(SUBSTITUTE($T45,";",REPT(" ",99)),793,99)),FIND(":",TRIM(MID(SUBSTITUTE($T45,";",REPT(" ",99)),793,99)))-1),Materiales!$A$2:$E$502,5,FALSE)*VALUE(MID(TRIM(MID(SUBSTITUTE($T45,";",REPT(" ",99)),793,99)),FIND(":",TRIM(MID(SUBSTITUTE($T45,";",REPT(" ",99)),793,99)))+1,99)),0) + IFERROR(VLOOKUP(LEFT(TRIM(MID(SUBSTITUTE($T45,";",REPT(" ",99)),892,99)),FIND(":",TRIM(MID(SUBSTITUTE($T45,";",REPT(" ",99)),892,99)))-1),Materiales!$A$2:$E$502,5,FALSE)*VALUE(MID(TRIM(MID(SUBSTITUTE($T45,";",REPT(" ",99)),892,99)),FIND(":",TRIM(MID(SUBSTITUTE($T45,";",REPT(" ",99)),892,99)))+1,99)),0)))</f>
        <v>0</v>
      </c>
      <c r="V45" s="63"/>
      <c r="W45" s="52">
        <f t="array" ref="W45">IF($A45="","",IF($V45="",0,IFERROR(VLOOKUP(LEFT(TRIM(MID(SUBSTITUTE($V45,";",REPT(" ",99)),1,99)),FIND(":",TRIM(MID(SUBSTITUTE($V45,";",REPT(" ",99)),1,99)))-1),Materiales!$A$2:$E$502,5,FALSE)*VALUE(MID(TRIM(MID(SUBSTITUTE($V45,";",REPT(" ",99)),1,99)),FIND(":",TRIM(MID(SUBSTITUTE($V45,";",REPT(" ",99)),1,99)))+1,99)),0) + IFERROR(VLOOKUP(LEFT(TRIM(MID(SUBSTITUTE($V45,";",REPT(" ",99)),100,99)),FIND(":",TRIM(MID(SUBSTITUTE($V45,";",REPT(" ",99)),100,99)))-1),Materiales!$A$2:$E$502,5,FALSE)*VALUE(MID(TRIM(MID(SUBSTITUTE($V45,";",REPT(" ",99)),100,99)),FIND(":",TRIM(MID(SUBSTITUTE($V45,";",REPT(" ",99)),100,99)))+1,99)),0) + IFERROR(VLOOKUP(LEFT(TRIM(MID(SUBSTITUTE($V45,";",REPT(" ",99)),199,99)),FIND(":",TRIM(MID(SUBSTITUTE($V45,";",REPT(" ",99)),199,99)))-1),Materiales!$A$2:$E$502,5,FALSE)*VALUE(MID(TRIM(MID(SUBSTITUTE($V45,";",REPT(" ",99)),199,99)),FIND(":",TRIM(MID(SUBSTITUTE($V45,";",REPT(" ",99)),199,99)))+1,99)),0) + IFERROR(VLOOKUP(LEFT(TRIM(MID(SUBSTITUTE($V45,";",REPT(" ",99)),298,99)),FIND(":",TRIM(MID(SUBSTITUTE($V45,";",REPT(" ",99)),298,99)))-1),Materiales!$A$2:$E$502,5,FALSE)*VALUE(MID(TRIM(MID(SUBSTITUTE($V45,";",REPT(" ",99)),298,99)),FIND(":",TRIM(MID(SUBSTITUTE($V45,";",REPT(" ",99)),298,99)))+1,99)),0) + IFERROR(VLOOKUP(LEFT(TRIM(MID(SUBSTITUTE($V45,";",REPT(" ",99)),397,99)),FIND(":",TRIM(MID(SUBSTITUTE($V45,";",REPT(" ",99)),397,99)))-1),Materiales!$A$2:$E$502,5,FALSE)*VALUE(MID(TRIM(MID(SUBSTITUTE($V45,";",REPT(" ",99)),397,99)),FIND(":",TRIM(MID(SUBSTITUTE($V45,";",REPT(" ",99)),397,99)))+1,99)),0) + IFERROR(VLOOKUP(LEFT(TRIM(MID(SUBSTITUTE($V45,";",REPT(" ",99)),496,99)),FIND(":",TRIM(MID(SUBSTITUTE($V45,";",REPT(" ",99)),496,99)))-1),Materiales!$A$2:$E$502,5,FALSE)*VALUE(MID(TRIM(MID(SUBSTITUTE($V45,";",REPT(" ",99)),496,99)),FIND(":",TRIM(MID(SUBSTITUTE($V45,";",REPT(" ",99)),496,99)))+1,99)),0) + IFERROR(VLOOKUP(LEFT(TRIM(MID(SUBSTITUTE($V45,";",REPT(" ",99)),595,99)),FIND(":",TRIM(MID(SUBSTITUTE($V45,";",REPT(" ",99)),595,99)))-1),Materiales!$A$2:$E$502,5,FALSE)*VALUE(MID(TRIM(MID(SUBSTITUTE($V45,";",REPT(" ",99)),595,99)),FIND(":",TRIM(MID(SUBSTITUTE($V45,";",REPT(" ",99)),595,99)))+1,99)),0) + IFERROR(VLOOKUP(LEFT(TRIM(MID(SUBSTITUTE($V45,";",REPT(" ",99)),694,99)),FIND(":",TRIM(MID(SUBSTITUTE($V45,";",REPT(" ",99)),694,99)))-1),Materiales!$A$2:$E$502,5,FALSE)*VALUE(MID(TRIM(MID(SUBSTITUTE($V45,";",REPT(" ",99)),694,99)),FIND(":",TRIM(MID(SUBSTITUTE($V45,";",REPT(" ",99)),694,99)))+1,99)),0) + IFERROR(VLOOKUP(LEFT(TRIM(MID(SUBSTITUTE($V45,";",REPT(" ",99)),793,99)),FIND(":",TRIM(MID(SUBSTITUTE($V45,";",REPT(" ",99)),793,99)))-1),Materiales!$A$2:$E$502,5,FALSE)*VALUE(MID(TRIM(MID(SUBSTITUTE($V45,";",REPT(" ",99)),793,99)),FIND(":",TRIM(MID(SUBSTITUTE($V45,";",REPT(" ",99)),793,99)))+1,99)),0) + IFERROR(VLOOKUP(LEFT(TRIM(MID(SUBSTITUTE($V45,";",REPT(" ",99)),892,99)),FIND(":",TRIM(MID(SUBSTITUTE($V45,";",REPT(" ",99)),892,99)))-1),Materiales!$A$2:$E$502,5,FALSE)*VALUE(MID(TRIM(MID(SUBSTITUTE($V45,";",REPT(" ",99)),892,99)),FIND(":",TRIM(MID(SUBSTITUTE($V45,";",REPT(" ",99)),892,99)))+1,99)),0)))</f>
        <v>0</v>
      </c>
      <c r="X45" s="55">
        <f t="shared" si="13"/>
        <v>931.1668472</v>
      </c>
      <c r="Y45" s="56" t="s">
        <v>195</v>
      </c>
      <c r="Z45" s="57">
        <f t="shared" si="14"/>
        <v>2793.500542</v>
      </c>
      <c r="AA45" s="58">
        <v>0.0</v>
      </c>
      <c r="AB45" s="53">
        <f t="shared" si="15"/>
        <v>2793.500542</v>
      </c>
      <c r="AC45" s="59">
        <v>3000.0</v>
      </c>
      <c r="AD45" s="58">
        <f t="shared" si="16"/>
        <v>1862.333694</v>
      </c>
      <c r="AE45" s="60">
        <f t="shared" si="17"/>
        <v>2068.833153</v>
      </c>
      <c r="AF45" s="61">
        <f t="shared" si="18"/>
        <v>1.110882093</v>
      </c>
    </row>
    <row r="46" ht="15.75" customHeight="1">
      <c r="A46" s="3"/>
      <c r="B46" s="17" t="s">
        <v>16</v>
      </c>
      <c r="C46" s="46">
        <v>1.0</v>
      </c>
      <c r="D46" s="38"/>
      <c r="E46" s="38"/>
      <c r="F46" s="18">
        <v>30.0</v>
      </c>
      <c r="G46" s="5" t="str">
        <f t="array" ref="G46">IF($A46="","",IFERROR($F46*(N($C46)*XLOOKUP($B46,Ceras!$A$2:$A$500,Ceras!$G$2:$G$500,0)+IF($D46="",0,N($E46)*XLOOKUP($D46,Ceras!$A$2:$A$500,Ceras!$G$2:$G$500,0))),"Revisar cera"))</f>
        <v/>
      </c>
      <c r="H46" s="5">
        <f t="shared" si="11"/>
        <v>45</v>
      </c>
      <c r="I46" s="17" t="s">
        <v>253</v>
      </c>
      <c r="J46" s="18">
        <v>0.0</v>
      </c>
      <c r="K46" s="5" t="str">
        <f t="array" ref="K46">IF($A46="","",IFERROR($J46*XLOOKUP($I46,Pabilos!$A$2:$A$500,Pabilos!$H$2:$H$500,0),"Revisar pabilo"))</f>
        <v/>
      </c>
      <c r="L46" s="17" t="s">
        <v>65</v>
      </c>
      <c r="M46" s="18">
        <v>3.0</v>
      </c>
      <c r="N46" s="5" t="str">
        <f t="array" ref="N46">IF($A46="","",IFERROR($M46*XLOOKUP($L46,Esencias!$A$2:$A$501,Esencias!$G$2:$G$501,0),"Revisar esencia"))</f>
        <v/>
      </c>
      <c r="O46" s="17" t="s">
        <v>81</v>
      </c>
      <c r="P46" s="18">
        <v>1.0</v>
      </c>
      <c r="Q46" s="5" t="str">
        <f t="array" ref="Q46">IF($A46="","",IFERROR(IF($P46="",1,$P46)*XLOOKUP($O46,Colores!$A$2:$A$500,Colores!$H$2:$H$500,0),"Revisar color"))</f>
        <v/>
      </c>
      <c r="R46" s="3"/>
      <c r="S46" s="5" t="str">
        <f t="array" ref="S46">IF($A46="","",IF($R46="",0,IFERROR(VLOOKUP(LEFT(TRIM(MID(SUBSTITUTE($R46,";",REPT(" ",99)),1,99)),FIND(":",TRIM(MID(SUBSTITUTE($R46,";",REPT(" ",99)),1,99)))-1),Materiales!$A$2:$E$502,5,FALSE)*VALUE(MID(TRIM(MID(SUBSTITUTE($R46,";",REPT(" ",99)),1,99)),FIND(":",TRIM(MID(SUBSTITUTE($R46,";",REPT(" ",99)),1,99)))+1,99)),0) + IFERROR(VLOOKUP(LEFT(TRIM(MID(SUBSTITUTE($R46,";",REPT(" ",99)),100,99)),FIND(":",TRIM(MID(SUBSTITUTE($R46,";",REPT(" ",99)),100,99)))-1),Materiales!$A$2:$E$502,5,FALSE)*VALUE(MID(TRIM(MID(SUBSTITUTE($R46,";",REPT(" ",99)),100,99)),FIND(":",TRIM(MID(SUBSTITUTE($R46,";",REPT(" ",99)),100,99)))+1,99)),0) + IFERROR(VLOOKUP(LEFT(TRIM(MID(SUBSTITUTE($R46,";",REPT(" ",99)),199,99)),FIND(":",TRIM(MID(SUBSTITUTE($R46,";",REPT(" ",99)),199,99)))-1),Materiales!$A$2:$E$502,5,FALSE)*VALUE(MID(TRIM(MID(SUBSTITUTE($R46,";",REPT(" ",99)),199,99)),FIND(":",TRIM(MID(SUBSTITUTE($R46,";",REPT(" ",99)),199,99)))+1,99)),0) + IFERROR(VLOOKUP(LEFT(TRIM(MID(SUBSTITUTE($R46,";",REPT(" ",99)),298,99)),FIND(":",TRIM(MID(SUBSTITUTE($R46,";",REPT(" ",99)),298,99)))-1),Materiales!$A$2:$E$502,5,FALSE)*VALUE(MID(TRIM(MID(SUBSTITUTE($R46,";",REPT(" ",99)),298,99)),FIND(":",TRIM(MID(SUBSTITUTE($R46,";",REPT(" ",99)),298,99)))+1,99)),0) + IFERROR(VLOOKUP(LEFT(TRIM(MID(SUBSTITUTE($R46,";",REPT(" ",99)),397,99)),FIND(":",TRIM(MID(SUBSTITUTE($R46,";",REPT(" ",99)),397,99)))-1),Materiales!$A$2:$E$502,5,FALSE)*VALUE(MID(TRIM(MID(SUBSTITUTE($R46,";",REPT(" ",99)),397,99)),FIND(":",TRIM(MID(SUBSTITUTE($R46,";",REPT(" ",99)),397,99)))+1,99)),0) + IFERROR(VLOOKUP(LEFT(TRIM(MID(SUBSTITUTE($R46,";",REPT(" ",99)),496,99)),FIND(":",TRIM(MID(SUBSTITUTE($R46,";",REPT(" ",99)),496,99)))-1),Materiales!$A$2:$E$502,5,FALSE)*VALUE(MID(TRIM(MID(SUBSTITUTE($R46,";",REPT(" ",99)),496,99)),FIND(":",TRIM(MID(SUBSTITUTE($R46,";",REPT(" ",99)),496,99)))+1,99)),0) + IFERROR(VLOOKUP(LEFT(TRIM(MID(SUBSTITUTE($R46,";",REPT(" ",99)),595,99)),FIND(":",TRIM(MID(SUBSTITUTE($R46,";",REPT(" ",99)),595,99)))-1),Materiales!$A$2:$E$502,5,FALSE)*VALUE(MID(TRIM(MID(SUBSTITUTE($R46,";",REPT(" ",99)),595,99)),FIND(":",TRIM(MID(SUBSTITUTE($R46,";",REPT(" ",99)),595,99)))+1,99)),0) + IFERROR(VLOOKUP(LEFT(TRIM(MID(SUBSTITUTE($R46,";",REPT(" ",99)),694,99)),FIND(":",TRIM(MID(SUBSTITUTE($R46,";",REPT(" ",99)),694,99)))-1),Materiales!$A$2:$E$502,5,FALSE)*VALUE(MID(TRIM(MID(SUBSTITUTE($R46,";",REPT(" ",99)),694,99)),FIND(":",TRIM(MID(SUBSTITUTE($R46,";",REPT(" ",99)),694,99)))+1,99)),0) + IFERROR(VLOOKUP(LEFT(TRIM(MID(SUBSTITUTE($R46,";",REPT(" ",99)),793,99)),FIND(":",TRIM(MID(SUBSTITUTE($R46,";",REPT(" ",99)),793,99)))-1),Materiales!$A$2:$E$502,5,FALSE)*VALUE(MID(TRIM(MID(SUBSTITUTE($R46,";",REPT(" ",99)),793,99)),FIND(":",TRIM(MID(SUBSTITUTE($R46,";",REPT(" ",99)),793,99)))+1,99)),0) + IFERROR(VLOOKUP(LEFT(TRIM(MID(SUBSTITUTE($R46,";",REPT(" ",99)),892,99)),FIND(":",TRIM(MID(SUBSTITUTE($R46,";",REPT(" ",99)),892,99)))-1),Materiales!$A$2:$E$502,5,FALSE)*VALUE(MID(TRIM(MID(SUBSTITUTE($R46,";",REPT(" ",99)),892,99)),FIND(":",TRIM(MID(SUBSTITUTE($R46,";",REPT(" ",99)),892,99)))+1,99)),0)))</f>
        <v/>
      </c>
      <c r="T46" s="17"/>
      <c r="U46" s="5" t="str">
        <f t="array" ref="U46">IF($A46="","",IF($T46="",0,IFERROR(VLOOKUP(LEFT(TRIM(MID(SUBSTITUTE($T46,";",REPT(" ",99)),1,99)),FIND(":",TRIM(MID(SUBSTITUTE($T46,";",REPT(" ",99)),1,99)))-1),Materiales!$A$2:$E$502,5,FALSE)*VALUE(MID(TRIM(MID(SUBSTITUTE($T46,";",REPT(" ",99)),1,99)),FIND(":",TRIM(MID(SUBSTITUTE($T46,";",REPT(" ",99)),1,99)))+1,99)),0) + IFERROR(VLOOKUP(LEFT(TRIM(MID(SUBSTITUTE($T46,";",REPT(" ",99)),100,99)),FIND(":",TRIM(MID(SUBSTITUTE($T46,";",REPT(" ",99)),100,99)))-1),Materiales!$A$2:$E$502,5,FALSE)*VALUE(MID(TRIM(MID(SUBSTITUTE($T46,";",REPT(" ",99)),100,99)),FIND(":",TRIM(MID(SUBSTITUTE($T46,";",REPT(" ",99)),100,99)))+1,99)),0) + IFERROR(VLOOKUP(LEFT(TRIM(MID(SUBSTITUTE($T46,";",REPT(" ",99)),199,99)),FIND(":",TRIM(MID(SUBSTITUTE($T46,";",REPT(" ",99)),199,99)))-1),Materiales!$A$2:$E$502,5,FALSE)*VALUE(MID(TRIM(MID(SUBSTITUTE($T46,";",REPT(" ",99)),199,99)),FIND(":",TRIM(MID(SUBSTITUTE($T46,";",REPT(" ",99)),199,99)))+1,99)),0) + IFERROR(VLOOKUP(LEFT(TRIM(MID(SUBSTITUTE($T46,";",REPT(" ",99)),298,99)),FIND(":",TRIM(MID(SUBSTITUTE($T46,";",REPT(" ",99)),298,99)))-1),Materiales!$A$2:$E$502,5,FALSE)*VALUE(MID(TRIM(MID(SUBSTITUTE($T46,";",REPT(" ",99)),298,99)),FIND(":",TRIM(MID(SUBSTITUTE($T46,";",REPT(" ",99)),298,99)))+1,99)),0) + IFERROR(VLOOKUP(LEFT(TRIM(MID(SUBSTITUTE($T46,";",REPT(" ",99)),397,99)),FIND(":",TRIM(MID(SUBSTITUTE($T46,";",REPT(" ",99)),397,99)))-1),Materiales!$A$2:$E$502,5,FALSE)*VALUE(MID(TRIM(MID(SUBSTITUTE($T46,";",REPT(" ",99)),397,99)),FIND(":",TRIM(MID(SUBSTITUTE($T46,";",REPT(" ",99)),397,99)))+1,99)),0) + IFERROR(VLOOKUP(LEFT(TRIM(MID(SUBSTITUTE($T46,";",REPT(" ",99)),496,99)),FIND(":",TRIM(MID(SUBSTITUTE($T46,";",REPT(" ",99)),496,99)))-1),Materiales!$A$2:$E$502,5,FALSE)*VALUE(MID(TRIM(MID(SUBSTITUTE($T46,";",REPT(" ",99)),496,99)),FIND(":",TRIM(MID(SUBSTITUTE($T46,";",REPT(" ",99)),496,99)))+1,99)),0) + IFERROR(VLOOKUP(LEFT(TRIM(MID(SUBSTITUTE($T46,";",REPT(" ",99)),595,99)),FIND(":",TRIM(MID(SUBSTITUTE($T46,";",REPT(" ",99)),595,99)))-1),Materiales!$A$2:$E$502,5,FALSE)*VALUE(MID(TRIM(MID(SUBSTITUTE($T46,";",REPT(" ",99)),595,99)),FIND(":",TRIM(MID(SUBSTITUTE($T46,";",REPT(" ",99)),595,99)))+1,99)),0) + IFERROR(VLOOKUP(LEFT(TRIM(MID(SUBSTITUTE($T46,";",REPT(" ",99)),694,99)),FIND(":",TRIM(MID(SUBSTITUTE($T46,";",REPT(" ",99)),694,99)))-1),Materiales!$A$2:$E$502,5,FALSE)*VALUE(MID(TRIM(MID(SUBSTITUTE($T46,";",REPT(" ",99)),694,99)),FIND(":",TRIM(MID(SUBSTITUTE($T46,";",REPT(" ",99)),694,99)))+1,99)),0) + IFERROR(VLOOKUP(LEFT(TRIM(MID(SUBSTITUTE($T46,";",REPT(" ",99)),793,99)),FIND(":",TRIM(MID(SUBSTITUTE($T46,";",REPT(" ",99)),793,99)))-1),Materiales!$A$2:$E$502,5,FALSE)*VALUE(MID(TRIM(MID(SUBSTITUTE($T46,";",REPT(" ",99)),793,99)),FIND(":",TRIM(MID(SUBSTITUTE($T46,";",REPT(" ",99)),793,99)))+1,99)),0) + IFERROR(VLOOKUP(LEFT(TRIM(MID(SUBSTITUTE($T46,";",REPT(" ",99)),892,99)),FIND(":",TRIM(MID(SUBSTITUTE($T46,";",REPT(" ",99)),892,99)))-1),Materiales!$A$2:$E$502,5,FALSE)*VALUE(MID(TRIM(MID(SUBSTITUTE($T46,";",REPT(" ",99)),892,99)),FIND(":",TRIM(MID(SUBSTITUTE($T46,";",REPT(" ",99)),892,99)))+1,99)),0)))</f>
        <v/>
      </c>
      <c r="V46" s="17"/>
      <c r="W46" s="5" t="str">
        <f t="array" ref="W46">IF($A46="","",IF($V46="",0,IFERROR(VLOOKUP(LEFT(TRIM(MID(SUBSTITUTE($V46,";",REPT(" ",99)),1,99)),FIND(":",TRIM(MID(SUBSTITUTE($V46,";",REPT(" ",99)),1,99)))-1),Materiales!$A$2:$E$502,5,FALSE)*VALUE(MID(TRIM(MID(SUBSTITUTE($V46,";",REPT(" ",99)),1,99)),FIND(":",TRIM(MID(SUBSTITUTE($V46,";",REPT(" ",99)),1,99)))+1,99)),0) + IFERROR(VLOOKUP(LEFT(TRIM(MID(SUBSTITUTE($V46,";",REPT(" ",99)),100,99)),FIND(":",TRIM(MID(SUBSTITUTE($V46,";",REPT(" ",99)),100,99)))-1),Materiales!$A$2:$E$502,5,FALSE)*VALUE(MID(TRIM(MID(SUBSTITUTE($V46,";",REPT(" ",99)),100,99)),FIND(":",TRIM(MID(SUBSTITUTE($V46,";",REPT(" ",99)),100,99)))+1,99)),0) + IFERROR(VLOOKUP(LEFT(TRIM(MID(SUBSTITUTE($V46,";",REPT(" ",99)),199,99)),FIND(":",TRIM(MID(SUBSTITUTE($V46,";",REPT(" ",99)),199,99)))-1),Materiales!$A$2:$E$502,5,FALSE)*VALUE(MID(TRIM(MID(SUBSTITUTE($V46,";",REPT(" ",99)),199,99)),FIND(":",TRIM(MID(SUBSTITUTE($V46,";",REPT(" ",99)),199,99)))+1,99)),0) + IFERROR(VLOOKUP(LEFT(TRIM(MID(SUBSTITUTE($V46,";",REPT(" ",99)),298,99)),FIND(":",TRIM(MID(SUBSTITUTE($V46,";",REPT(" ",99)),298,99)))-1),Materiales!$A$2:$E$502,5,FALSE)*VALUE(MID(TRIM(MID(SUBSTITUTE($V46,";",REPT(" ",99)),298,99)),FIND(":",TRIM(MID(SUBSTITUTE($V46,";",REPT(" ",99)),298,99)))+1,99)),0) + IFERROR(VLOOKUP(LEFT(TRIM(MID(SUBSTITUTE($V46,";",REPT(" ",99)),397,99)),FIND(":",TRIM(MID(SUBSTITUTE($V46,";",REPT(" ",99)),397,99)))-1),Materiales!$A$2:$E$502,5,FALSE)*VALUE(MID(TRIM(MID(SUBSTITUTE($V46,";",REPT(" ",99)),397,99)),FIND(":",TRIM(MID(SUBSTITUTE($V46,";",REPT(" ",99)),397,99)))+1,99)),0) + IFERROR(VLOOKUP(LEFT(TRIM(MID(SUBSTITUTE($V46,";",REPT(" ",99)),496,99)),FIND(":",TRIM(MID(SUBSTITUTE($V46,";",REPT(" ",99)),496,99)))-1),Materiales!$A$2:$E$502,5,FALSE)*VALUE(MID(TRIM(MID(SUBSTITUTE($V46,";",REPT(" ",99)),496,99)),FIND(":",TRIM(MID(SUBSTITUTE($V46,";",REPT(" ",99)),496,99)))+1,99)),0) + IFERROR(VLOOKUP(LEFT(TRIM(MID(SUBSTITUTE($V46,";",REPT(" ",99)),595,99)),FIND(":",TRIM(MID(SUBSTITUTE($V46,";",REPT(" ",99)),595,99)))-1),Materiales!$A$2:$E$502,5,FALSE)*VALUE(MID(TRIM(MID(SUBSTITUTE($V46,";",REPT(" ",99)),595,99)),FIND(":",TRIM(MID(SUBSTITUTE($V46,";",REPT(" ",99)),595,99)))+1,99)),0) + IFERROR(VLOOKUP(LEFT(TRIM(MID(SUBSTITUTE($V46,";",REPT(" ",99)),694,99)),FIND(":",TRIM(MID(SUBSTITUTE($V46,";",REPT(" ",99)),694,99)))-1),Materiales!$A$2:$E$502,5,FALSE)*VALUE(MID(TRIM(MID(SUBSTITUTE($V46,";",REPT(" ",99)),694,99)),FIND(":",TRIM(MID(SUBSTITUTE($V46,";",REPT(" ",99)),694,99)))+1,99)),0) + IFERROR(VLOOKUP(LEFT(TRIM(MID(SUBSTITUTE($V46,";",REPT(" ",99)),793,99)),FIND(":",TRIM(MID(SUBSTITUTE($V46,";",REPT(" ",99)),793,99)))-1),Materiales!$A$2:$E$502,5,FALSE)*VALUE(MID(TRIM(MID(SUBSTITUTE($V46,";",REPT(" ",99)),793,99)),FIND(":",TRIM(MID(SUBSTITUTE($V46,";",REPT(" ",99)),793,99)))+1,99)),0) + IFERROR(VLOOKUP(LEFT(TRIM(MID(SUBSTITUTE($V46,";",REPT(" ",99)),892,99)),FIND(":",TRIM(MID(SUBSTITUTE($V46,";",REPT(" ",99)),892,99)))-1),Materiales!$A$2:$E$502,5,FALSE)*VALUE(MID(TRIM(MID(SUBSTITUTE($V46,";",REPT(" ",99)),892,99)),FIND(":",TRIM(MID(SUBSTITUTE($V46,";",REPT(" ",99)),892,99)))+1,99)),0)))</f>
        <v/>
      </c>
      <c r="X46" s="39" t="str">
        <f t="shared" si="13"/>
        <v/>
      </c>
      <c r="Y46" s="40"/>
      <c r="Z46" s="41">
        <f t="shared" si="14"/>
        <v>0</v>
      </c>
      <c r="AA46" s="42"/>
      <c r="AB46" s="18">
        <f t="shared" si="15"/>
        <v>0</v>
      </c>
      <c r="AC46" s="43">
        <v>30000.0</v>
      </c>
      <c r="AD46" s="42">
        <f t="shared" si="16"/>
        <v>0</v>
      </c>
      <c r="AE46" s="44">
        <f t="shared" si="17"/>
        <v>30000</v>
      </c>
      <c r="AF46" s="45" t="str">
        <f t="shared" si="18"/>
        <v>#DIV/0!</v>
      </c>
    </row>
    <row r="47" ht="15.75" customHeight="1">
      <c r="A47" s="3"/>
      <c r="B47" s="17" t="s">
        <v>16</v>
      </c>
      <c r="C47" s="46">
        <v>1.0</v>
      </c>
      <c r="D47" s="38"/>
      <c r="E47" s="38"/>
      <c r="F47" s="18">
        <v>30.0</v>
      </c>
      <c r="G47" s="5" t="str">
        <f t="array" ref="G47">IF($A47="","",IFERROR($F47*(N($C47)*XLOOKUP($B47,Ceras!$A$2:$A$500,Ceras!$G$2:$G$500,0)+IF($D47="",0,N($E47)*XLOOKUP($D47,Ceras!$A$2:$A$500,Ceras!$G$2:$G$500,0))),"Revisar cera"))</f>
        <v/>
      </c>
      <c r="H47" s="5">
        <f t="shared" si="11"/>
        <v>45</v>
      </c>
      <c r="I47" s="17" t="s">
        <v>254</v>
      </c>
      <c r="J47" s="18">
        <v>0.0</v>
      </c>
      <c r="K47" s="5" t="str">
        <f t="array" ref="K47">IF($A47="","",IFERROR($J47*XLOOKUP($I47,Pabilos!$A$2:$A$500,Pabilos!$H$2:$H$500,0),"Revisar pabilo"))</f>
        <v/>
      </c>
      <c r="L47" s="17" t="s">
        <v>65</v>
      </c>
      <c r="M47" s="18">
        <v>3.0</v>
      </c>
      <c r="N47" s="5" t="str">
        <f t="array" ref="N47">IF($A47="","",IFERROR($M47*XLOOKUP($L47,Esencias!$A$2:$A$501,Esencias!$G$2:$G$501,0),"Revisar esencia"))</f>
        <v/>
      </c>
      <c r="O47" s="17" t="s">
        <v>81</v>
      </c>
      <c r="P47" s="18">
        <v>1.0</v>
      </c>
      <c r="Q47" s="5" t="str">
        <f t="array" ref="Q47">IF($A47="","",IFERROR(IF($P47="",1,$P47)*XLOOKUP($O47,Colores!$A$2:$A$500,Colores!$H$2:$H$500,0),"Revisar color"))</f>
        <v/>
      </c>
      <c r="R47" s="3"/>
      <c r="S47" s="5" t="str">
        <f t="array" ref="S47">IF($A47="","",IF($R47="",0,IFERROR(VLOOKUP(LEFT(TRIM(MID(SUBSTITUTE($R47,";",REPT(" ",99)),1,99)),FIND(":",TRIM(MID(SUBSTITUTE($R47,";",REPT(" ",99)),1,99)))-1),Materiales!$A$2:$E$502,5,FALSE)*VALUE(MID(TRIM(MID(SUBSTITUTE($R47,";",REPT(" ",99)),1,99)),FIND(":",TRIM(MID(SUBSTITUTE($R47,";",REPT(" ",99)),1,99)))+1,99)),0) + IFERROR(VLOOKUP(LEFT(TRIM(MID(SUBSTITUTE($R47,";",REPT(" ",99)),100,99)),FIND(":",TRIM(MID(SUBSTITUTE($R47,";",REPT(" ",99)),100,99)))-1),Materiales!$A$2:$E$502,5,FALSE)*VALUE(MID(TRIM(MID(SUBSTITUTE($R47,";",REPT(" ",99)),100,99)),FIND(":",TRIM(MID(SUBSTITUTE($R47,";",REPT(" ",99)),100,99)))+1,99)),0) + IFERROR(VLOOKUP(LEFT(TRIM(MID(SUBSTITUTE($R47,";",REPT(" ",99)),199,99)),FIND(":",TRIM(MID(SUBSTITUTE($R47,";",REPT(" ",99)),199,99)))-1),Materiales!$A$2:$E$502,5,FALSE)*VALUE(MID(TRIM(MID(SUBSTITUTE($R47,";",REPT(" ",99)),199,99)),FIND(":",TRIM(MID(SUBSTITUTE($R47,";",REPT(" ",99)),199,99)))+1,99)),0) + IFERROR(VLOOKUP(LEFT(TRIM(MID(SUBSTITUTE($R47,";",REPT(" ",99)),298,99)),FIND(":",TRIM(MID(SUBSTITUTE($R47,";",REPT(" ",99)),298,99)))-1),Materiales!$A$2:$E$502,5,FALSE)*VALUE(MID(TRIM(MID(SUBSTITUTE($R47,";",REPT(" ",99)),298,99)),FIND(":",TRIM(MID(SUBSTITUTE($R47,";",REPT(" ",99)),298,99)))+1,99)),0) + IFERROR(VLOOKUP(LEFT(TRIM(MID(SUBSTITUTE($R47,";",REPT(" ",99)),397,99)),FIND(":",TRIM(MID(SUBSTITUTE($R47,";",REPT(" ",99)),397,99)))-1),Materiales!$A$2:$E$502,5,FALSE)*VALUE(MID(TRIM(MID(SUBSTITUTE($R47,";",REPT(" ",99)),397,99)),FIND(":",TRIM(MID(SUBSTITUTE($R47,";",REPT(" ",99)),397,99)))+1,99)),0) + IFERROR(VLOOKUP(LEFT(TRIM(MID(SUBSTITUTE($R47,";",REPT(" ",99)),496,99)),FIND(":",TRIM(MID(SUBSTITUTE($R47,";",REPT(" ",99)),496,99)))-1),Materiales!$A$2:$E$502,5,FALSE)*VALUE(MID(TRIM(MID(SUBSTITUTE($R47,";",REPT(" ",99)),496,99)),FIND(":",TRIM(MID(SUBSTITUTE($R47,";",REPT(" ",99)),496,99)))+1,99)),0) + IFERROR(VLOOKUP(LEFT(TRIM(MID(SUBSTITUTE($R47,";",REPT(" ",99)),595,99)),FIND(":",TRIM(MID(SUBSTITUTE($R47,";",REPT(" ",99)),595,99)))-1),Materiales!$A$2:$E$502,5,FALSE)*VALUE(MID(TRIM(MID(SUBSTITUTE($R47,";",REPT(" ",99)),595,99)),FIND(":",TRIM(MID(SUBSTITUTE($R47,";",REPT(" ",99)),595,99)))+1,99)),0) + IFERROR(VLOOKUP(LEFT(TRIM(MID(SUBSTITUTE($R47,";",REPT(" ",99)),694,99)),FIND(":",TRIM(MID(SUBSTITUTE($R47,";",REPT(" ",99)),694,99)))-1),Materiales!$A$2:$E$502,5,FALSE)*VALUE(MID(TRIM(MID(SUBSTITUTE($R47,";",REPT(" ",99)),694,99)),FIND(":",TRIM(MID(SUBSTITUTE($R47,";",REPT(" ",99)),694,99)))+1,99)),0) + IFERROR(VLOOKUP(LEFT(TRIM(MID(SUBSTITUTE($R47,";",REPT(" ",99)),793,99)),FIND(":",TRIM(MID(SUBSTITUTE($R47,";",REPT(" ",99)),793,99)))-1),Materiales!$A$2:$E$502,5,FALSE)*VALUE(MID(TRIM(MID(SUBSTITUTE($R47,";",REPT(" ",99)),793,99)),FIND(":",TRIM(MID(SUBSTITUTE($R47,";",REPT(" ",99)),793,99)))+1,99)),0) + IFERROR(VLOOKUP(LEFT(TRIM(MID(SUBSTITUTE($R47,";",REPT(" ",99)),892,99)),FIND(":",TRIM(MID(SUBSTITUTE($R47,";",REPT(" ",99)),892,99)))-1),Materiales!$A$2:$E$502,5,FALSE)*VALUE(MID(TRIM(MID(SUBSTITUTE($R47,";",REPT(" ",99)),892,99)),FIND(":",TRIM(MID(SUBSTITUTE($R47,";",REPT(" ",99)),892,99)))+1,99)),0)))</f>
        <v/>
      </c>
      <c r="T47" s="17"/>
      <c r="U47" s="5" t="str">
        <f t="array" ref="U47">IF($A47="","",IF($T47="",0,IFERROR(VLOOKUP(LEFT(TRIM(MID(SUBSTITUTE($T47,";",REPT(" ",99)),1,99)),FIND(":",TRIM(MID(SUBSTITUTE($T47,";",REPT(" ",99)),1,99)))-1),Materiales!$A$2:$E$502,5,FALSE)*VALUE(MID(TRIM(MID(SUBSTITUTE($T47,";",REPT(" ",99)),1,99)),FIND(":",TRIM(MID(SUBSTITUTE($T47,";",REPT(" ",99)),1,99)))+1,99)),0) + IFERROR(VLOOKUP(LEFT(TRIM(MID(SUBSTITUTE($T47,";",REPT(" ",99)),100,99)),FIND(":",TRIM(MID(SUBSTITUTE($T47,";",REPT(" ",99)),100,99)))-1),Materiales!$A$2:$E$502,5,FALSE)*VALUE(MID(TRIM(MID(SUBSTITUTE($T47,";",REPT(" ",99)),100,99)),FIND(":",TRIM(MID(SUBSTITUTE($T47,";",REPT(" ",99)),100,99)))+1,99)),0) + IFERROR(VLOOKUP(LEFT(TRIM(MID(SUBSTITUTE($T47,";",REPT(" ",99)),199,99)),FIND(":",TRIM(MID(SUBSTITUTE($T47,";",REPT(" ",99)),199,99)))-1),Materiales!$A$2:$E$502,5,FALSE)*VALUE(MID(TRIM(MID(SUBSTITUTE($T47,";",REPT(" ",99)),199,99)),FIND(":",TRIM(MID(SUBSTITUTE($T47,";",REPT(" ",99)),199,99)))+1,99)),0) + IFERROR(VLOOKUP(LEFT(TRIM(MID(SUBSTITUTE($T47,";",REPT(" ",99)),298,99)),FIND(":",TRIM(MID(SUBSTITUTE($T47,";",REPT(" ",99)),298,99)))-1),Materiales!$A$2:$E$502,5,FALSE)*VALUE(MID(TRIM(MID(SUBSTITUTE($T47,";",REPT(" ",99)),298,99)),FIND(":",TRIM(MID(SUBSTITUTE($T47,";",REPT(" ",99)),298,99)))+1,99)),0) + IFERROR(VLOOKUP(LEFT(TRIM(MID(SUBSTITUTE($T47,";",REPT(" ",99)),397,99)),FIND(":",TRIM(MID(SUBSTITUTE($T47,";",REPT(" ",99)),397,99)))-1),Materiales!$A$2:$E$502,5,FALSE)*VALUE(MID(TRIM(MID(SUBSTITUTE($T47,";",REPT(" ",99)),397,99)),FIND(":",TRIM(MID(SUBSTITUTE($T47,";",REPT(" ",99)),397,99)))+1,99)),0) + IFERROR(VLOOKUP(LEFT(TRIM(MID(SUBSTITUTE($T47,";",REPT(" ",99)),496,99)),FIND(":",TRIM(MID(SUBSTITUTE($T47,";",REPT(" ",99)),496,99)))-1),Materiales!$A$2:$E$502,5,FALSE)*VALUE(MID(TRIM(MID(SUBSTITUTE($T47,";",REPT(" ",99)),496,99)),FIND(":",TRIM(MID(SUBSTITUTE($T47,";",REPT(" ",99)),496,99)))+1,99)),0) + IFERROR(VLOOKUP(LEFT(TRIM(MID(SUBSTITUTE($T47,";",REPT(" ",99)),595,99)),FIND(":",TRIM(MID(SUBSTITUTE($T47,";",REPT(" ",99)),595,99)))-1),Materiales!$A$2:$E$502,5,FALSE)*VALUE(MID(TRIM(MID(SUBSTITUTE($T47,";",REPT(" ",99)),595,99)),FIND(":",TRIM(MID(SUBSTITUTE($T47,";",REPT(" ",99)),595,99)))+1,99)),0) + IFERROR(VLOOKUP(LEFT(TRIM(MID(SUBSTITUTE($T47,";",REPT(" ",99)),694,99)),FIND(":",TRIM(MID(SUBSTITUTE($T47,";",REPT(" ",99)),694,99)))-1),Materiales!$A$2:$E$502,5,FALSE)*VALUE(MID(TRIM(MID(SUBSTITUTE($T47,";",REPT(" ",99)),694,99)),FIND(":",TRIM(MID(SUBSTITUTE($T47,";",REPT(" ",99)),694,99)))+1,99)),0) + IFERROR(VLOOKUP(LEFT(TRIM(MID(SUBSTITUTE($T47,";",REPT(" ",99)),793,99)),FIND(":",TRIM(MID(SUBSTITUTE($T47,";",REPT(" ",99)),793,99)))-1),Materiales!$A$2:$E$502,5,FALSE)*VALUE(MID(TRIM(MID(SUBSTITUTE($T47,";",REPT(" ",99)),793,99)),FIND(":",TRIM(MID(SUBSTITUTE($T47,";",REPT(" ",99)),793,99)))+1,99)),0) + IFERROR(VLOOKUP(LEFT(TRIM(MID(SUBSTITUTE($T47,";",REPT(" ",99)),892,99)),FIND(":",TRIM(MID(SUBSTITUTE($T47,";",REPT(" ",99)),892,99)))-1),Materiales!$A$2:$E$502,5,FALSE)*VALUE(MID(TRIM(MID(SUBSTITUTE($T47,";",REPT(" ",99)),892,99)),FIND(":",TRIM(MID(SUBSTITUTE($T47,";",REPT(" ",99)),892,99)))+1,99)),0)))</f>
        <v/>
      </c>
      <c r="V47" s="17"/>
      <c r="W47" s="5" t="str">
        <f t="array" ref="W47">IF($A47="","",IF($V47="",0,IFERROR(VLOOKUP(LEFT(TRIM(MID(SUBSTITUTE($V47,";",REPT(" ",99)),1,99)),FIND(":",TRIM(MID(SUBSTITUTE($V47,";",REPT(" ",99)),1,99)))-1),Materiales!$A$2:$E$502,5,FALSE)*VALUE(MID(TRIM(MID(SUBSTITUTE($V47,";",REPT(" ",99)),1,99)),FIND(":",TRIM(MID(SUBSTITUTE($V47,";",REPT(" ",99)),1,99)))+1,99)),0) + IFERROR(VLOOKUP(LEFT(TRIM(MID(SUBSTITUTE($V47,";",REPT(" ",99)),100,99)),FIND(":",TRIM(MID(SUBSTITUTE($V47,";",REPT(" ",99)),100,99)))-1),Materiales!$A$2:$E$502,5,FALSE)*VALUE(MID(TRIM(MID(SUBSTITUTE($V47,";",REPT(" ",99)),100,99)),FIND(":",TRIM(MID(SUBSTITUTE($V47,";",REPT(" ",99)),100,99)))+1,99)),0) + IFERROR(VLOOKUP(LEFT(TRIM(MID(SUBSTITUTE($V47,";",REPT(" ",99)),199,99)),FIND(":",TRIM(MID(SUBSTITUTE($V47,";",REPT(" ",99)),199,99)))-1),Materiales!$A$2:$E$502,5,FALSE)*VALUE(MID(TRIM(MID(SUBSTITUTE($V47,";",REPT(" ",99)),199,99)),FIND(":",TRIM(MID(SUBSTITUTE($V47,";",REPT(" ",99)),199,99)))+1,99)),0) + IFERROR(VLOOKUP(LEFT(TRIM(MID(SUBSTITUTE($V47,";",REPT(" ",99)),298,99)),FIND(":",TRIM(MID(SUBSTITUTE($V47,";",REPT(" ",99)),298,99)))-1),Materiales!$A$2:$E$502,5,FALSE)*VALUE(MID(TRIM(MID(SUBSTITUTE($V47,";",REPT(" ",99)),298,99)),FIND(":",TRIM(MID(SUBSTITUTE($V47,";",REPT(" ",99)),298,99)))+1,99)),0) + IFERROR(VLOOKUP(LEFT(TRIM(MID(SUBSTITUTE($V47,";",REPT(" ",99)),397,99)),FIND(":",TRIM(MID(SUBSTITUTE($V47,";",REPT(" ",99)),397,99)))-1),Materiales!$A$2:$E$502,5,FALSE)*VALUE(MID(TRIM(MID(SUBSTITUTE($V47,";",REPT(" ",99)),397,99)),FIND(":",TRIM(MID(SUBSTITUTE($V47,";",REPT(" ",99)),397,99)))+1,99)),0) + IFERROR(VLOOKUP(LEFT(TRIM(MID(SUBSTITUTE($V47,";",REPT(" ",99)),496,99)),FIND(":",TRIM(MID(SUBSTITUTE($V47,";",REPT(" ",99)),496,99)))-1),Materiales!$A$2:$E$502,5,FALSE)*VALUE(MID(TRIM(MID(SUBSTITUTE($V47,";",REPT(" ",99)),496,99)),FIND(":",TRIM(MID(SUBSTITUTE($V47,";",REPT(" ",99)),496,99)))+1,99)),0) + IFERROR(VLOOKUP(LEFT(TRIM(MID(SUBSTITUTE($V47,";",REPT(" ",99)),595,99)),FIND(":",TRIM(MID(SUBSTITUTE($V47,";",REPT(" ",99)),595,99)))-1),Materiales!$A$2:$E$502,5,FALSE)*VALUE(MID(TRIM(MID(SUBSTITUTE($V47,";",REPT(" ",99)),595,99)),FIND(":",TRIM(MID(SUBSTITUTE($V47,";",REPT(" ",99)),595,99)))+1,99)),0) + IFERROR(VLOOKUP(LEFT(TRIM(MID(SUBSTITUTE($V47,";",REPT(" ",99)),694,99)),FIND(":",TRIM(MID(SUBSTITUTE($V47,";",REPT(" ",99)),694,99)))-1),Materiales!$A$2:$E$502,5,FALSE)*VALUE(MID(TRIM(MID(SUBSTITUTE($V47,";",REPT(" ",99)),694,99)),FIND(":",TRIM(MID(SUBSTITUTE($V47,";",REPT(" ",99)),694,99)))+1,99)),0) + IFERROR(VLOOKUP(LEFT(TRIM(MID(SUBSTITUTE($V47,";",REPT(" ",99)),793,99)),FIND(":",TRIM(MID(SUBSTITUTE($V47,";",REPT(" ",99)),793,99)))-1),Materiales!$A$2:$E$502,5,FALSE)*VALUE(MID(TRIM(MID(SUBSTITUTE($V47,";",REPT(" ",99)),793,99)),FIND(":",TRIM(MID(SUBSTITUTE($V47,";",REPT(" ",99)),793,99)))+1,99)),0) + IFERROR(VLOOKUP(LEFT(TRIM(MID(SUBSTITUTE($V47,";",REPT(" ",99)),892,99)),FIND(":",TRIM(MID(SUBSTITUTE($V47,";",REPT(" ",99)),892,99)))-1),Materiales!$A$2:$E$502,5,FALSE)*VALUE(MID(TRIM(MID(SUBSTITUTE($V47,";",REPT(" ",99)),892,99)),FIND(":",TRIM(MID(SUBSTITUTE($V47,";",REPT(" ",99)),892,99)))+1,99)),0)))</f>
        <v/>
      </c>
      <c r="X47" s="39" t="str">
        <f t="shared" si="13"/>
        <v/>
      </c>
      <c r="Y47" s="40"/>
      <c r="Z47" s="41">
        <f t="shared" si="14"/>
        <v>0</v>
      </c>
      <c r="AA47" s="42"/>
      <c r="AB47" s="18">
        <f t="shared" si="15"/>
        <v>0</v>
      </c>
      <c r="AC47" s="43">
        <v>30000.0</v>
      </c>
      <c r="AD47" s="42">
        <f t="shared" si="16"/>
        <v>0</v>
      </c>
      <c r="AE47" s="44">
        <f t="shared" si="17"/>
        <v>30000</v>
      </c>
      <c r="AF47" s="45" t="str">
        <f t="shared" si="18"/>
        <v>#DIV/0!</v>
      </c>
    </row>
    <row r="48" ht="15.75" customHeight="1">
      <c r="A48" s="3"/>
      <c r="B48" s="17" t="s">
        <v>16</v>
      </c>
      <c r="C48" s="46">
        <v>1.0</v>
      </c>
      <c r="D48" s="38"/>
      <c r="E48" s="38"/>
      <c r="F48" s="18">
        <v>30.0</v>
      </c>
      <c r="G48" s="5" t="str">
        <f t="array" ref="G48">IF($A48="","",IFERROR($F48*(N($C48)*XLOOKUP($B48,Ceras!$A$2:$A$500,Ceras!$G$2:$G$500,0)+IF($D48="",0,N($E48)*XLOOKUP($D48,Ceras!$A$2:$A$500,Ceras!$G$2:$G$500,0))),"Revisar cera"))</f>
        <v/>
      </c>
      <c r="H48" s="5">
        <f t="shared" si="11"/>
        <v>45</v>
      </c>
      <c r="I48" s="17" t="s">
        <v>255</v>
      </c>
      <c r="J48" s="18">
        <v>0.0</v>
      </c>
      <c r="K48" s="5" t="str">
        <f t="array" ref="K48">IF($A48="","",IFERROR($J48*XLOOKUP($I48,Pabilos!$A$2:$A$500,Pabilos!$H$2:$H$500,0),"Revisar pabilo"))</f>
        <v/>
      </c>
      <c r="L48" s="17" t="s">
        <v>65</v>
      </c>
      <c r="M48" s="18">
        <v>3.0</v>
      </c>
      <c r="N48" s="5" t="str">
        <f t="array" ref="N48">IF($A48="","",IFERROR($M48*XLOOKUP($L48,Esencias!$A$2:$A$501,Esencias!$G$2:$G$501,0),"Revisar esencia"))</f>
        <v/>
      </c>
      <c r="O48" s="17" t="s">
        <v>81</v>
      </c>
      <c r="P48" s="18">
        <v>1.0</v>
      </c>
      <c r="Q48" s="5" t="str">
        <f t="array" ref="Q48">IF($A48="","",IFERROR(IF($P48="",1,$P48)*XLOOKUP($O48,Colores!$A$2:$A$500,Colores!$H$2:$H$500,0),"Revisar color"))</f>
        <v/>
      </c>
      <c r="R48" s="3"/>
      <c r="S48" s="5" t="str">
        <f t="array" ref="S48">IF($A48="","",IF($R48="",0,IFERROR(VLOOKUP(LEFT(TRIM(MID(SUBSTITUTE($R48,";",REPT(" ",99)),1,99)),FIND(":",TRIM(MID(SUBSTITUTE($R48,";",REPT(" ",99)),1,99)))-1),Materiales!$A$2:$E$502,5,FALSE)*VALUE(MID(TRIM(MID(SUBSTITUTE($R48,";",REPT(" ",99)),1,99)),FIND(":",TRIM(MID(SUBSTITUTE($R48,";",REPT(" ",99)),1,99)))+1,99)),0) + IFERROR(VLOOKUP(LEFT(TRIM(MID(SUBSTITUTE($R48,";",REPT(" ",99)),100,99)),FIND(":",TRIM(MID(SUBSTITUTE($R48,";",REPT(" ",99)),100,99)))-1),Materiales!$A$2:$E$502,5,FALSE)*VALUE(MID(TRIM(MID(SUBSTITUTE($R48,";",REPT(" ",99)),100,99)),FIND(":",TRIM(MID(SUBSTITUTE($R48,";",REPT(" ",99)),100,99)))+1,99)),0) + IFERROR(VLOOKUP(LEFT(TRIM(MID(SUBSTITUTE($R48,";",REPT(" ",99)),199,99)),FIND(":",TRIM(MID(SUBSTITUTE($R48,";",REPT(" ",99)),199,99)))-1),Materiales!$A$2:$E$502,5,FALSE)*VALUE(MID(TRIM(MID(SUBSTITUTE($R48,";",REPT(" ",99)),199,99)),FIND(":",TRIM(MID(SUBSTITUTE($R48,";",REPT(" ",99)),199,99)))+1,99)),0) + IFERROR(VLOOKUP(LEFT(TRIM(MID(SUBSTITUTE($R48,";",REPT(" ",99)),298,99)),FIND(":",TRIM(MID(SUBSTITUTE($R48,";",REPT(" ",99)),298,99)))-1),Materiales!$A$2:$E$502,5,FALSE)*VALUE(MID(TRIM(MID(SUBSTITUTE($R48,";",REPT(" ",99)),298,99)),FIND(":",TRIM(MID(SUBSTITUTE($R48,";",REPT(" ",99)),298,99)))+1,99)),0) + IFERROR(VLOOKUP(LEFT(TRIM(MID(SUBSTITUTE($R48,";",REPT(" ",99)),397,99)),FIND(":",TRIM(MID(SUBSTITUTE($R48,";",REPT(" ",99)),397,99)))-1),Materiales!$A$2:$E$502,5,FALSE)*VALUE(MID(TRIM(MID(SUBSTITUTE($R48,";",REPT(" ",99)),397,99)),FIND(":",TRIM(MID(SUBSTITUTE($R48,";",REPT(" ",99)),397,99)))+1,99)),0) + IFERROR(VLOOKUP(LEFT(TRIM(MID(SUBSTITUTE($R48,";",REPT(" ",99)),496,99)),FIND(":",TRIM(MID(SUBSTITUTE($R48,";",REPT(" ",99)),496,99)))-1),Materiales!$A$2:$E$502,5,FALSE)*VALUE(MID(TRIM(MID(SUBSTITUTE($R48,";",REPT(" ",99)),496,99)),FIND(":",TRIM(MID(SUBSTITUTE($R48,";",REPT(" ",99)),496,99)))+1,99)),0) + IFERROR(VLOOKUP(LEFT(TRIM(MID(SUBSTITUTE($R48,";",REPT(" ",99)),595,99)),FIND(":",TRIM(MID(SUBSTITUTE($R48,";",REPT(" ",99)),595,99)))-1),Materiales!$A$2:$E$502,5,FALSE)*VALUE(MID(TRIM(MID(SUBSTITUTE($R48,";",REPT(" ",99)),595,99)),FIND(":",TRIM(MID(SUBSTITUTE($R48,";",REPT(" ",99)),595,99)))+1,99)),0) + IFERROR(VLOOKUP(LEFT(TRIM(MID(SUBSTITUTE($R48,";",REPT(" ",99)),694,99)),FIND(":",TRIM(MID(SUBSTITUTE($R48,";",REPT(" ",99)),694,99)))-1),Materiales!$A$2:$E$502,5,FALSE)*VALUE(MID(TRIM(MID(SUBSTITUTE($R48,";",REPT(" ",99)),694,99)),FIND(":",TRIM(MID(SUBSTITUTE($R48,";",REPT(" ",99)),694,99)))+1,99)),0) + IFERROR(VLOOKUP(LEFT(TRIM(MID(SUBSTITUTE($R48,";",REPT(" ",99)),793,99)),FIND(":",TRIM(MID(SUBSTITUTE($R48,";",REPT(" ",99)),793,99)))-1),Materiales!$A$2:$E$502,5,FALSE)*VALUE(MID(TRIM(MID(SUBSTITUTE($R48,";",REPT(" ",99)),793,99)),FIND(":",TRIM(MID(SUBSTITUTE($R48,";",REPT(" ",99)),793,99)))+1,99)),0) + IFERROR(VLOOKUP(LEFT(TRIM(MID(SUBSTITUTE($R48,";",REPT(" ",99)),892,99)),FIND(":",TRIM(MID(SUBSTITUTE($R48,";",REPT(" ",99)),892,99)))-1),Materiales!$A$2:$E$502,5,FALSE)*VALUE(MID(TRIM(MID(SUBSTITUTE($R48,";",REPT(" ",99)),892,99)),FIND(":",TRIM(MID(SUBSTITUTE($R48,";",REPT(" ",99)),892,99)))+1,99)),0)))</f>
        <v/>
      </c>
      <c r="T48" s="17"/>
      <c r="U48" s="5" t="str">
        <f t="array" ref="U48">IF($A48="","",IF($T48="",0,IFERROR(VLOOKUP(LEFT(TRIM(MID(SUBSTITUTE($T48,";",REPT(" ",99)),1,99)),FIND(":",TRIM(MID(SUBSTITUTE($T48,";",REPT(" ",99)),1,99)))-1),Materiales!$A$2:$E$502,5,FALSE)*VALUE(MID(TRIM(MID(SUBSTITUTE($T48,";",REPT(" ",99)),1,99)),FIND(":",TRIM(MID(SUBSTITUTE($T48,";",REPT(" ",99)),1,99)))+1,99)),0) + IFERROR(VLOOKUP(LEFT(TRIM(MID(SUBSTITUTE($T48,";",REPT(" ",99)),100,99)),FIND(":",TRIM(MID(SUBSTITUTE($T48,";",REPT(" ",99)),100,99)))-1),Materiales!$A$2:$E$502,5,FALSE)*VALUE(MID(TRIM(MID(SUBSTITUTE($T48,";",REPT(" ",99)),100,99)),FIND(":",TRIM(MID(SUBSTITUTE($T48,";",REPT(" ",99)),100,99)))+1,99)),0) + IFERROR(VLOOKUP(LEFT(TRIM(MID(SUBSTITUTE($T48,";",REPT(" ",99)),199,99)),FIND(":",TRIM(MID(SUBSTITUTE($T48,";",REPT(" ",99)),199,99)))-1),Materiales!$A$2:$E$502,5,FALSE)*VALUE(MID(TRIM(MID(SUBSTITUTE($T48,";",REPT(" ",99)),199,99)),FIND(":",TRIM(MID(SUBSTITUTE($T48,";",REPT(" ",99)),199,99)))+1,99)),0) + IFERROR(VLOOKUP(LEFT(TRIM(MID(SUBSTITUTE($T48,";",REPT(" ",99)),298,99)),FIND(":",TRIM(MID(SUBSTITUTE($T48,";",REPT(" ",99)),298,99)))-1),Materiales!$A$2:$E$502,5,FALSE)*VALUE(MID(TRIM(MID(SUBSTITUTE($T48,";",REPT(" ",99)),298,99)),FIND(":",TRIM(MID(SUBSTITUTE($T48,";",REPT(" ",99)),298,99)))+1,99)),0) + IFERROR(VLOOKUP(LEFT(TRIM(MID(SUBSTITUTE($T48,";",REPT(" ",99)),397,99)),FIND(":",TRIM(MID(SUBSTITUTE($T48,";",REPT(" ",99)),397,99)))-1),Materiales!$A$2:$E$502,5,FALSE)*VALUE(MID(TRIM(MID(SUBSTITUTE($T48,";",REPT(" ",99)),397,99)),FIND(":",TRIM(MID(SUBSTITUTE($T48,";",REPT(" ",99)),397,99)))+1,99)),0) + IFERROR(VLOOKUP(LEFT(TRIM(MID(SUBSTITUTE($T48,";",REPT(" ",99)),496,99)),FIND(":",TRIM(MID(SUBSTITUTE($T48,";",REPT(" ",99)),496,99)))-1),Materiales!$A$2:$E$502,5,FALSE)*VALUE(MID(TRIM(MID(SUBSTITUTE($T48,";",REPT(" ",99)),496,99)),FIND(":",TRIM(MID(SUBSTITUTE($T48,";",REPT(" ",99)),496,99)))+1,99)),0) + IFERROR(VLOOKUP(LEFT(TRIM(MID(SUBSTITUTE($T48,";",REPT(" ",99)),595,99)),FIND(":",TRIM(MID(SUBSTITUTE($T48,";",REPT(" ",99)),595,99)))-1),Materiales!$A$2:$E$502,5,FALSE)*VALUE(MID(TRIM(MID(SUBSTITUTE($T48,";",REPT(" ",99)),595,99)),FIND(":",TRIM(MID(SUBSTITUTE($T48,";",REPT(" ",99)),595,99)))+1,99)),0) + IFERROR(VLOOKUP(LEFT(TRIM(MID(SUBSTITUTE($T48,";",REPT(" ",99)),694,99)),FIND(":",TRIM(MID(SUBSTITUTE($T48,";",REPT(" ",99)),694,99)))-1),Materiales!$A$2:$E$502,5,FALSE)*VALUE(MID(TRIM(MID(SUBSTITUTE($T48,";",REPT(" ",99)),694,99)),FIND(":",TRIM(MID(SUBSTITUTE($T48,";",REPT(" ",99)),694,99)))+1,99)),0) + IFERROR(VLOOKUP(LEFT(TRIM(MID(SUBSTITUTE($T48,";",REPT(" ",99)),793,99)),FIND(":",TRIM(MID(SUBSTITUTE($T48,";",REPT(" ",99)),793,99)))-1),Materiales!$A$2:$E$502,5,FALSE)*VALUE(MID(TRIM(MID(SUBSTITUTE($T48,";",REPT(" ",99)),793,99)),FIND(":",TRIM(MID(SUBSTITUTE($T48,";",REPT(" ",99)),793,99)))+1,99)),0) + IFERROR(VLOOKUP(LEFT(TRIM(MID(SUBSTITUTE($T48,";",REPT(" ",99)),892,99)),FIND(":",TRIM(MID(SUBSTITUTE($T48,";",REPT(" ",99)),892,99)))-1),Materiales!$A$2:$E$502,5,FALSE)*VALUE(MID(TRIM(MID(SUBSTITUTE($T48,";",REPT(" ",99)),892,99)),FIND(":",TRIM(MID(SUBSTITUTE($T48,";",REPT(" ",99)),892,99)))+1,99)),0)))</f>
        <v/>
      </c>
      <c r="V48" s="17"/>
      <c r="W48" s="5" t="str">
        <f t="array" ref="W48">IF($A48="","",IF($V48="",0,IFERROR(VLOOKUP(LEFT(TRIM(MID(SUBSTITUTE($V48,";",REPT(" ",99)),1,99)),FIND(":",TRIM(MID(SUBSTITUTE($V48,";",REPT(" ",99)),1,99)))-1),Materiales!$A$2:$E$502,5,FALSE)*VALUE(MID(TRIM(MID(SUBSTITUTE($V48,";",REPT(" ",99)),1,99)),FIND(":",TRIM(MID(SUBSTITUTE($V48,";",REPT(" ",99)),1,99)))+1,99)),0) + IFERROR(VLOOKUP(LEFT(TRIM(MID(SUBSTITUTE($V48,";",REPT(" ",99)),100,99)),FIND(":",TRIM(MID(SUBSTITUTE($V48,";",REPT(" ",99)),100,99)))-1),Materiales!$A$2:$E$502,5,FALSE)*VALUE(MID(TRIM(MID(SUBSTITUTE($V48,";",REPT(" ",99)),100,99)),FIND(":",TRIM(MID(SUBSTITUTE($V48,";",REPT(" ",99)),100,99)))+1,99)),0) + IFERROR(VLOOKUP(LEFT(TRIM(MID(SUBSTITUTE($V48,";",REPT(" ",99)),199,99)),FIND(":",TRIM(MID(SUBSTITUTE($V48,";",REPT(" ",99)),199,99)))-1),Materiales!$A$2:$E$502,5,FALSE)*VALUE(MID(TRIM(MID(SUBSTITUTE($V48,";",REPT(" ",99)),199,99)),FIND(":",TRIM(MID(SUBSTITUTE($V48,";",REPT(" ",99)),199,99)))+1,99)),0) + IFERROR(VLOOKUP(LEFT(TRIM(MID(SUBSTITUTE($V48,";",REPT(" ",99)),298,99)),FIND(":",TRIM(MID(SUBSTITUTE($V48,";",REPT(" ",99)),298,99)))-1),Materiales!$A$2:$E$502,5,FALSE)*VALUE(MID(TRIM(MID(SUBSTITUTE($V48,";",REPT(" ",99)),298,99)),FIND(":",TRIM(MID(SUBSTITUTE($V48,";",REPT(" ",99)),298,99)))+1,99)),0) + IFERROR(VLOOKUP(LEFT(TRIM(MID(SUBSTITUTE($V48,";",REPT(" ",99)),397,99)),FIND(":",TRIM(MID(SUBSTITUTE($V48,";",REPT(" ",99)),397,99)))-1),Materiales!$A$2:$E$502,5,FALSE)*VALUE(MID(TRIM(MID(SUBSTITUTE($V48,";",REPT(" ",99)),397,99)),FIND(":",TRIM(MID(SUBSTITUTE($V48,";",REPT(" ",99)),397,99)))+1,99)),0) + IFERROR(VLOOKUP(LEFT(TRIM(MID(SUBSTITUTE($V48,";",REPT(" ",99)),496,99)),FIND(":",TRIM(MID(SUBSTITUTE($V48,";",REPT(" ",99)),496,99)))-1),Materiales!$A$2:$E$502,5,FALSE)*VALUE(MID(TRIM(MID(SUBSTITUTE($V48,";",REPT(" ",99)),496,99)),FIND(":",TRIM(MID(SUBSTITUTE($V48,";",REPT(" ",99)),496,99)))+1,99)),0) + IFERROR(VLOOKUP(LEFT(TRIM(MID(SUBSTITUTE($V48,";",REPT(" ",99)),595,99)),FIND(":",TRIM(MID(SUBSTITUTE($V48,";",REPT(" ",99)),595,99)))-1),Materiales!$A$2:$E$502,5,FALSE)*VALUE(MID(TRIM(MID(SUBSTITUTE($V48,";",REPT(" ",99)),595,99)),FIND(":",TRIM(MID(SUBSTITUTE($V48,";",REPT(" ",99)),595,99)))+1,99)),0) + IFERROR(VLOOKUP(LEFT(TRIM(MID(SUBSTITUTE($V48,";",REPT(" ",99)),694,99)),FIND(":",TRIM(MID(SUBSTITUTE($V48,";",REPT(" ",99)),694,99)))-1),Materiales!$A$2:$E$502,5,FALSE)*VALUE(MID(TRIM(MID(SUBSTITUTE($V48,";",REPT(" ",99)),694,99)),FIND(":",TRIM(MID(SUBSTITUTE($V48,";",REPT(" ",99)),694,99)))+1,99)),0) + IFERROR(VLOOKUP(LEFT(TRIM(MID(SUBSTITUTE($V48,";",REPT(" ",99)),793,99)),FIND(":",TRIM(MID(SUBSTITUTE($V48,";",REPT(" ",99)),793,99)))-1),Materiales!$A$2:$E$502,5,FALSE)*VALUE(MID(TRIM(MID(SUBSTITUTE($V48,";",REPT(" ",99)),793,99)),FIND(":",TRIM(MID(SUBSTITUTE($V48,";",REPT(" ",99)),793,99)))+1,99)),0) + IFERROR(VLOOKUP(LEFT(TRIM(MID(SUBSTITUTE($V48,";",REPT(" ",99)),892,99)),FIND(":",TRIM(MID(SUBSTITUTE($V48,";",REPT(" ",99)),892,99)))-1),Materiales!$A$2:$E$502,5,FALSE)*VALUE(MID(TRIM(MID(SUBSTITUTE($V48,";",REPT(" ",99)),892,99)),FIND(":",TRIM(MID(SUBSTITUTE($V48,";",REPT(" ",99)),892,99)))+1,99)),0)))</f>
        <v/>
      </c>
      <c r="X48" s="39" t="str">
        <f t="shared" si="13"/>
        <v/>
      </c>
      <c r="Y48" s="40"/>
      <c r="Z48" s="41">
        <f t="shared" si="14"/>
        <v>0</v>
      </c>
      <c r="AA48" s="42"/>
      <c r="AB48" s="18">
        <f t="shared" si="15"/>
        <v>0</v>
      </c>
      <c r="AC48" s="43">
        <v>30000.0</v>
      </c>
      <c r="AD48" s="42">
        <f t="shared" si="16"/>
        <v>0</v>
      </c>
      <c r="AE48" s="44">
        <f t="shared" si="17"/>
        <v>30000</v>
      </c>
      <c r="AF48" s="45" t="str">
        <f t="shared" si="18"/>
        <v>#DIV/0!</v>
      </c>
    </row>
    <row r="49" ht="15.75" customHeight="1">
      <c r="A49" s="3"/>
      <c r="B49" s="3"/>
      <c r="C49" s="38"/>
      <c r="D49" s="38"/>
      <c r="E49" s="38"/>
      <c r="F49" s="14"/>
      <c r="G49" s="5" t="str">
        <f t="array" ref="G49">IF($A49="","",IFERROR($F49*(N($C49)*XLOOKUP($B49,Ceras!$A$2:$A$500,Ceras!$G$2:$G$500,0)+IF($D49="",0,N($E49)*XLOOKUP($D49,Ceras!$A$2:$A$500,Ceras!$G$2:$G$500,0))),"Revisar cera"))</f>
        <v/>
      </c>
      <c r="H49" s="5"/>
      <c r="I49" s="3"/>
      <c r="J49" s="14"/>
      <c r="K49" s="5" t="str">
        <f t="array" ref="K49">IF($A49="","",IFERROR($J49*XLOOKUP($I49,Pabilos!$A$2:$A$500,Pabilos!$H$2:$H$500,0),"Revisar pabilo"))</f>
        <v/>
      </c>
      <c r="L49" s="3"/>
      <c r="M49" s="14"/>
      <c r="N49" s="5" t="str">
        <f t="array" ref="N49">IF($A49="","",IFERROR($M49*XLOOKUP($L49,Esencias!$A$2:$A$501,Esencias!$G$2:$G$501,0),"Revisar esencia"))</f>
        <v/>
      </c>
      <c r="O49" s="3"/>
      <c r="P49" s="14"/>
      <c r="Q49" s="5" t="str">
        <f t="array" ref="Q49">IF($A49="","",IFERROR(IF($P49="",1,$P49)*XLOOKUP($O49,Colores!$A$2:$A$500,Colores!$H$2:$H$500,0),"Revisar color"))</f>
        <v/>
      </c>
      <c r="R49" s="3"/>
      <c r="S49" s="5" t="str">
        <f t="array" ref="S49">IF($A49="","",IF($R49="",0,IFERROR(VLOOKUP(LEFT(TRIM(MID(SUBSTITUTE($R49,";",REPT(" ",99)),1,99)),FIND(":",TRIM(MID(SUBSTITUTE($R49,";",REPT(" ",99)),1,99)))-1),Materiales!$A$2:$E$502,5,FALSE)*VALUE(MID(TRIM(MID(SUBSTITUTE($R49,";",REPT(" ",99)),1,99)),FIND(":",TRIM(MID(SUBSTITUTE($R49,";",REPT(" ",99)),1,99)))+1,99)),0) + IFERROR(VLOOKUP(LEFT(TRIM(MID(SUBSTITUTE($R49,";",REPT(" ",99)),100,99)),FIND(":",TRIM(MID(SUBSTITUTE($R49,";",REPT(" ",99)),100,99)))-1),Materiales!$A$2:$E$502,5,FALSE)*VALUE(MID(TRIM(MID(SUBSTITUTE($R49,";",REPT(" ",99)),100,99)),FIND(":",TRIM(MID(SUBSTITUTE($R49,";",REPT(" ",99)),100,99)))+1,99)),0) + IFERROR(VLOOKUP(LEFT(TRIM(MID(SUBSTITUTE($R49,";",REPT(" ",99)),199,99)),FIND(":",TRIM(MID(SUBSTITUTE($R49,";",REPT(" ",99)),199,99)))-1),Materiales!$A$2:$E$502,5,FALSE)*VALUE(MID(TRIM(MID(SUBSTITUTE($R49,";",REPT(" ",99)),199,99)),FIND(":",TRIM(MID(SUBSTITUTE($R49,";",REPT(" ",99)),199,99)))+1,99)),0) + IFERROR(VLOOKUP(LEFT(TRIM(MID(SUBSTITUTE($R49,";",REPT(" ",99)),298,99)),FIND(":",TRIM(MID(SUBSTITUTE($R49,";",REPT(" ",99)),298,99)))-1),Materiales!$A$2:$E$502,5,FALSE)*VALUE(MID(TRIM(MID(SUBSTITUTE($R49,";",REPT(" ",99)),298,99)),FIND(":",TRIM(MID(SUBSTITUTE($R49,";",REPT(" ",99)),298,99)))+1,99)),0) + IFERROR(VLOOKUP(LEFT(TRIM(MID(SUBSTITUTE($R49,";",REPT(" ",99)),397,99)),FIND(":",TRIM(MID(SUBSTITUTE($R49,";",REPT(" ",99)),397,99)))-1),Materiales!$A$2:$E$502,5,FALSE)*VALUE(MID(TRIM(MID(SUBSTITUTE($R49,";",REPT(" ",99)),397,99)),FIND(":",TRIM(MID(SUBSTITUTE($R49,";",REPT(" ",99)),397,99)))+1,99)),0) + IFERROR(VLOOKUP(LEFT(TRIM(MID(SUBSTITUTE($R49,";",REPT(" ",99)),496,99)),FIND(":",TRIM(MID(SUBSTITUTE($R49,";",REPT(" ",99)),496,99)))-1),Materiales!$A$2:$E$502,5,FALSE)*VALUE(MID(TRIM(MID(SUBSTITUTE($R49,";",REPT(" ",99)),496,99)),FIND(":",TRIM(MID(SUBSTITUTE($R49,";",REPT(" ",99)),496,99)))+1,99)),0) + IFERROR(VLOOKUP(LEFT(TRIM(MID(SUBSTITUTE($R49,";",REPT(" ",99)),595,99)),FIND(":",TRIM(MID(SUBSTITUTE($R49,";",REPT(" ",99)),595,99)))-1),Materiales!$A$2:$E$502,5,FALSE)*VALUE(MID(TRIM(MID(SUBSTITUTE($R49,";",REPT(" ",99)),595,99)),FIND(":",TRIM(MID(SUBSTITUTE($R49,";",REPT(" ",99)),595,99)))+1,99)),0) + IFERROR(VLOOKUP(LEFT(TRIM(MID(SUBSTITUTE($R49,";",REPT(" ",99)),694,99)),FIND(":",TRIM(MID(SUBSTITUTE($R49,";",REPT(" ",99)),694,99)))-1),Materiales!$A$2:$E$502,5,FALSE)*VALUE(MID(TRIM(MID(SUBSTITUTE($R49,";",REPT(" ",99)),694,99)),FIND(":",TRIM(MID(SUBSTITUTE($R49,";",REPT(" ",99)),694,99)))+1,99)),0) + IFERROR(VLOOKUP(LEFT(TRIM(MID(SUBSTITUTE($R49,";",REPT(" ",99)),793,99)),FIND(":",TRIM(MID(SUBSTITUTE($R49,";",REPT(" ",99)),793,99)))-1),Materiales!$A$2:$E$502,5,FALSE)*VALUE(MID(TRIM(MID(SUBSTITUTE($R49,";",REPT(" ",99)),793,99)),FIND(":",TRIM(MID(SUBSTITUTE($R49,";",REPT(" ",99)),793,99)))+1,99)),0) + IFERROR(VLOOKUP(LEFT(TRIM(MID(SUBSTITUTE($R49,";",REPT(" ",99)),892,99)),FIND(":",TRIM(MID(SUBSTITUTE($R49,";",REPT(" ",99)),892,99)))-1),Materiales!$A$2:$E$502,5,FALSE)*VALUE(MID(TRIM(MID(SUBSTITUTE($R49,";",REPT(" ",99)),892,99)),FIND(":",TRIM(MID(SUBSTITUTE($R49,";",REPT(" ",99)),892,99)))+1,99)),0)))</f>
        <v/>
      </c>
      <c r="T49" s="3"/>
      <c r="U49" s="5" t="str">
        <f t="array" ref="U49">IF($A49="","",IF($T49="",0,IFERROR(VLOOKUP(LEFT(TRIM(MID(SUBSTITUTE($T49,";",REPT(" ",99)),1,99)),FIND(":",TRIM(MID(SUBSTITUTE($T49,";",REPT(" ",99)),1,99)))-1),Materiales!$A$2:$E$502,5,FALSE)*VALUE(MID(TRIM(MID(SUBSTITUTE($T49,";",REPT(" ",99)),1,99)),FIND(":",TRIM(MID(SUBSTITUTE($T49,";",REPT(" ",99)),1,99)))+1,99)),0) + IFERROR(VLOOKUP(LEFT(TRIM(MID(SUBSTITUTE($T49,";",REPT(" ",99)),100,99)),FIND(":",TRIM(MID(SUBSTITUTE($T49,";",REPT(" ",99)),100,99)))-1),Materiales!$A$2:$E$502,5,FALSE)*VALUE(MID(TRIM(MID(SUBSTITUTE($T49,";",REPT(" ",99)),100,99)),FIND(":",TRIM(MID(SUBSTITUTE($T49,";",REPT(" ",99)),100,99)))+1,99)),0) + IFERROR(VLOOKUP(LEFT(TRIM(MID(SUBSTITUTE($T49,";",REPT(" ",99)),199,99)),FIND(":",TRIM(MID(SUBSTITUTE($T49,";",REPT(" ",99)),199,99)))-1),Materiales!$A$2:$E$502,5,FALSE)*VALUE(MID(TRIM(MID(SUBSTITUTE($T49,";",REPT(" ",99)),199,99)),FIND(":",TRIM(MID(SUBSTITUTE($T49,";",REPT(" ",99)),199,99)))+1,99)),0) + IFERROR(VLOOKUP(LEFT(TRIM(MID(SUBSTITUTE($T49,";",REPT(" ",99)),298,99)),FIND(":",TRIM(MID(SUBSTITUTE($T49,";",REPT(" ",99)),298,99)))-1),Materiales!$A$2:$E$502,5,FALSE)*VALUE(MID(TRIM(MID(SUBSTITUTE($T49,";",REPT(" ",99)),298,99)),FIND(":",TRIM(MID(SUBSTITUTE($T49,";",REPT(" ",99)),298,99)))+1,99)),0) + IFERROR(VLOOKUP(LEFT(TRIM(MID(SUBSTITUTE($T49,";",REPT(" ",99)),397,99)),FIND(":",TRIM(MID(SUBSTITUTE($T49,";",REPT(" ",99)),397,99)))-1),Materiales!$A$2:$E$502,5,FALSE)*VALUE(MID(TRIM(MID(SUBSTITUTE($T49,";",REPT(" ",99)),397,99)),FIND(":",TRIM(MID(SUBSTITUTE($T49,";",REPT(" ",99)),397,99)))+1,99)),0) + IFERROR(VLOOKUP(LEFT(TRIM(MID(SUBSTITUTE($T49,";",REPT(" ",99)),496,99)),FIND(":",TRIM(MID(SUBSTITUTE($T49,";",REPT(" ",99)),496,99)))-1),Materiales!$A$2:$E$502,5,FALSE)*VALUE(MID(TRIM(MID(SUBSTITUTE($T49,";",REPT(" ",99)),496,99)),FIND(":",TRIM(MID(SUBSTITUTE($T49,";",REPT(" ",99)),496,99)))+1,99)),0) + IFERROR(VLOOKUP(LEFT(TRIM(MID(SUBSTITUTE($T49,";",REPT(" ",99)),595,99)),FIND(":",TRIM(MID(SUBSTITUTE($T49,";",REPT(" ",99)),595,99)))-1),Materiales!$A$2:$E$502,5,FALSE)*VALUE(MID(TRIM(MID(SUBSTITUTE($T49,";",REPT(" ",99)),595,99)),FIND(":",TRIM(MID(SUBSTITUTE($T49,";",REPT(" ",99)),595,99)))+1,99)),0) + IFERROR(VLOOKUP(LEFT(TRIM(MID(SUBSTITUTE($T49,";",REPT(" ",99)),694,99)),FIND(":",TRIM(MID(SUBSTITUTE($T49,";",REPT(" ",99)),694,99)))-1),Materiales!$A$2:$E$502,5,FALSE)*VALUE(MID(TRIM(MID(SUBSTITUTE($T49,";",REPT(" ",99)),694,99)),FIND(":",TRIM(MID(SUBSTITUTE($T49,";",REPT(" ",99)),694,99)))+1,99)),0) + IFERROR(VLOOKUP(LEFT(TRIM(MID(SUBSTITUTE($T49,";",REPT(" ",99)),793,99)),FIND(":",TRIM(MID(SUBSTITUTE($T49,";",REPT(" ",99)),793,99)))-1),Materiales!$A$2:$E$502,5,FALSE)*VALUE(MID(TRIM(MID(SUBSTITUTE($T49,";",REPT(" ",99)),793,99)),FIND(":",TRIM(MID(SUBSTITUTE($T49,";",REPT(" ",99)),793,99)))+1,99)),0) + IFERROR(VLOOKUP(LEFT(TRIM(MID(SUBSTITUTE($T49,";",REPT(" ",99)),892,99)),FIND(":",TRIM(MID(SUBSTITUTE($T49,";",REPT(" ",99)),892,99)))-1),Materiales!$A$2:$E$502,5,FALSE)*VALUE(MID(TRIM(MID(SUBSTITUTE($T49,";",REPT(" ",99)),892,99)),FIND(":",TRIM(MID(SUBSTITUTE($T49,";",REPT(" ",99)),892,99)))+1,99)),0)))</f>
        <v/>
      </c>
      <c r="V49" s="3"/>
      <c r="W49" s="5" t="str">
        <f t="array" ref="W49">IF($A49="","",IF($V49="",0,IFERROR(VLOOKUP(LEFT(TRIM(MID(SUBSTITUTE($V49,";",REPT(" ",99)),1,99)),FIND(":",TRIM(MID(SUBSTITUTE($V49,";",REPT(" ",99)),1,99)))-1),Materiales!$A$2:$E$502,5,FALSE)*VALUE(MID(TRIM(MID(SUBSTITUTE($V49,";",REPT(" ",99)),1,99)),FIND(":",TRIM(MID(SUBSTITUTE($V49,";",REPT(" ",99)),1,99)))+1,99)),0) + IFERROR(VLOOKUP(LEFT(TRIM(MID(SUBSTITUTE($V49,";",REPT(" ",99)),100,99)),FIND(":",TRIM(MID(SUBSTITUTE($V49,";",REPT(" ",99)),100,99)))-1),Materiales!$A$2:$E$502,5,FALSE)*VALUE(MID(TRIM(MID(SUBSTITUTE($V49,";",REPT(" ",99)),100,99)),FIND(":",TRIM(MID(SUBSTITUTE($V49,";",REPT(" ",99)),100,99)))+1,99)),0) + IFERROR(VLOOKUP(LEFT(TRIM(MID(SUBSTITUTE($V49,";",REPT(" ",99)),199,99)),FIND(":",TRIM(MID(SUBSTITUTE($V49,";",REPT(" ",99)),199,99)))-1),Materiales!$A$2:$E$502,5,FALSE)*VALUE(MID(TRIM(MID(SUBSTITUTE($V49,";",REPT(" ",99)),199,99)),FIND(":",TRIM(MID(SUBSTITUTE($V49,";",REPT(" ",99)),199,99)))+1,99)),0) + IFERROR(VLOOKUP(LEFT(TRIM(MID(SUBSTITUTE($V49,";",REPT(" ",99)),298,99)),FIND(":",TRIM(MID(SUBSTITUTE($V49,";",REPT(" ",99)),298,99)))-1),Materiales!$A$2:$E$502,5,FALSE)*VALUE(MID(TRIM(MID(SUBSTITUTE($V49,";",REPT(" ",99)),298,99)),FIND(":",TRIM(MID(SUBSTITUTE($V49,";",REPT(" ",99)),298,99)))+1,99)),0) + IFERROR(VLOOKUP(LEFT(TRIM(MID(SUBSTITUTE($V49,";",REPT(" ",99)),397,99)),FIND(":",TRIM(MID(SUBSTITUTE($V49,";",REPT(" ",99)),397,99)))-1),Materiales!$A$2:$E$502,5,FALSE)*VALUE(MID(TRIM(MID(SUBSTITUTE($V49,";",REPT(" ",99)),397,99)),FIND(":",TRIM(MID(SUBSTITUTE($V49,";",REPT(" ",99)),397,99)))+1,99)),0) + IFERROR(VLOOKUP(LEFT(TRIM(MID(SUBSTITUTE($V49,";",REPT(" ",99)),496,99)),FIND(":",TRIM(MID(SUBSTITUTE($V49,";",REPT(" ",99)),496,99)))-1),Materiales!$A$2:$E$502,5,FALSE)*VALUE(MID(TRIM(MID(SUBSTITUTE($V49,";",REPT(" ",99)),496,99)),FIND(":",TRIM(MID(SUBSTITUTE($V49,";",REPT(" ",99)),496,99)))+1,99)),0) + IFERROR(VLOOKUP(LEFT(TRIM(MID(SUBSTITUTE($V49,";",REPT(" ",99)),595,99)),FIND(":",TRIM(MID(SUBSTITUTE($V49,";",REPT(" ",99)),595,99)))-1),Materiales!$A$2:$E$502,5,FALSE)*VALUE(MID(TRIM(MID(SUBSTITUTE($V49,";",REPT(" ",99)),595,99)),FIND(":",TRIM(MID(SUBSTITUTE($V49,";",REPT(" ",99)),595,99)))+1,99)),0) + IFERROR(VLOOKUP(LEFT(TRIM(MID(SUBSTITUTE($V49,";",REPT(" ",99)),694,99)),FIND(":",TRIM(MID(SUBSTITUTE($V49,";",REPT(" ",99)),694,99)))-1),Materiales!$A$2:$E$502,5,FALSE)*VALUE(MID(TRIM(MID(SUBSTITUTE($V49,";",REPT(" ",99)),694,99)),FIND(":",TRIM(MID(SUBSTITUTE($V49,";",REPT(" ",99)),694,99)))+1,99)),0) + IFERROR(VLOOKUP(LEFT(TRIM(MID(SUBSTITUTE($V49,";",REPT(" ",99)),793,99)),FIND(":",TRIM(MID(SUBSTITUTE($V49,";",REPT(" ",99)),793,99)))-1),Materiales!$A$2:$E$502,5,FALSE)*VALUE(MID(TRIM(MID(SUBSTITUTE($V49,";",REPT(" ",99)),793,99)),FIND(":",TRIM(MID(SUBSTITUTE($V49,";",REPT(" ",99)),793,99)))+1,99)),0) + IFERROR(VLOOKUP(LEFT(TRIM(MID(SUBSTITUTE($V49,";",REPT(" ",99)),892,99)),FIND(":",TRIM(MID(SUBSTITUTE($V49,";",REPT(" ",99)),892,99)))-1),Materiales!$A$2:$E$502,5,FALSE)*VALUE(MID(TRIM(MID(SUBSTITUTE($V49,";",REPT(" ",99)),892,99)),FIND(":",TRIM(MID(SUBSTITUTE($V49,";",REPT(" ",99)),892,99)))+1,99)),0)))</f>
        <v/>
      </c>
      <c r="X49" s="39" t="str">
        <f t="shared" si="13"/>
        <v/>
      </c>
      <c r="Y49" s="64"/>
      <c r="Z49" s="41"/>
      <c r="AA49" s="65"/>
      <c r="AB49" s="14"/>
      <c r="AC49" s="66"/>
      <c r="AD49" s="65"/>
      <c r="AE49" s="44">
        <f t="shared" si="17"/>
        <v>0</v>
      </c>
      <c r="AF49" s="45" t="str">
        <f t="shared" si="18"/>
        <v>#DIV/0!</v>
      </c>
    </row>
    <row r="50" ht="15.75" customHeight="1">
      <c r="A50" s="3"/>
      <c r="B50" s="3"/>
      <c r="C50" s="38"/>
      <c r="D50" s="38"/>
      <c r="E50" s="38"/>
      <c r="F50" s="14"/>
      <c r="G50" s="5" t="str">
        <f t="array" ref="G50">IF($A50="","",IFERROR($F50*(N($C50)*XLOOKUP($B50,Ceras!$A$2:$A$500,Ceras!$G$2:$G$500,0)+IF($D50="",0,N($E50)*XLOOKUP($D50,Ceras!$A$2:$A$500,Ceras!$G$2:$G$500,0))),"Revisar cera"))</f>
        <v/>
      </c>
      <c r="H50" s="5"/>
      <c r="I50" s="3"/>
      <c r="J50" s="14"/>
      <c r="K50" s="5" t="str">
        <f t="array" ref="K50">IF($A50="","",IFERROR($J50*XLOOKUP($I50,Pabilos!$A$2:$A$500,Pabilos!$H$2:$H$500,0),"Revisar pabilo"))</f>
        <v/>
      </c>
      <c r="L50" s="3"/>
      <c r="M50" s="14"/>
      <c r="N50" s="5" t="str">
        <f t="array" ref="N50">IF($A50="","",IFERROR($M50*XLOOKUP($L50,Esencias!$A$2:$A$501,Esencias!$G$2:$G$501,0),"Revisar esencia"))</f>
        <v/>
      </c>
      <c r="O50" s="3"/>
      <c r="P50" s="14"/>
      <c r="Q50" s="5" t="str">
        <f t="array" ref="Q50">IF($A50="","",IFERROR(IF($P50="",1,$P50)*XLOOKUP($O50,Colores!$A$2:$A$500,Colores!$H$2:$H$500,0),"Revisar color"))</f>
        <v/>
      </c>
      <c r="R50" s="3"/>
      <c r="S50" s="5" t="str">
        <f t="array" ref="S50">IF($A50="","",IF($R50="",0,IFERROR(VLOOKUP(LEFT(TRIM(MID(SUBSTITUTE($R50,";",REPT(" ",99)),1,99)),FIND(":",TRIM(MID(SUBSTITUTE($R50,";",REPT(" ",99)),1,99)))-1),Materiales!$A$2:$E$502,5,FALSE)*VALUE(MID(TRIM(MID(SUBSTITUTE($R50,";",REPT(" ",99)),1,99)),FIND(":",TRIM(MID(SUBSTITUTE($R50,";",REPT(" ",99)),1,99)))+1,99)),0) + IFERROR(VLOOKUP(LEFT(TRIM(MID(SUBSTITUTE($R50,";",REPT(" ",99)),100,99)),FIND(":",TRIM(MID(SUBSTITUTE($R50,";",REPT(" ",99)),100,99)))-1),Materiales!$A$2:$E$502,5,FALSE)*VALUE(MID(TRIM(MID(SUBSTITUTE($R50,";",REPT(" ",99)),100,99)),FIND(":",TRIM(MID(SUBSTITUTE($R50,";",REPT(" ",99)),100,99)))+1,99)),0) + IFERROR(VLOOKUP(LEFT(TRIM(MID(SUBSTITUTE($R50,";",REPT(" ",99)),199,99)),FIND(":",TRIM(MID(SUBSTITUTE($R50,";",REPT(" ",99)),199,99)))-1),Materiales!$A$2:$E$502,5,FALSE)*VALUE(MID(TRIM(MID(SUBSTITUTE($R50,";",REPT(" ",99)),199,99)),FIND(":",TRIM(MID(SUBSTITUTE($R50,";",REPT(" ",99)),199,99)))+1,99)),0) + IFERROR(VLOOKUP(LEFT(TRIM(MID(SUBSTITUTE($R50,";",REPT(" ",99)),298,99)),FIND(":",TRIM(MID(SUBSTITUTE($R50,";",REPT(" ",99)),298,99)))-1),Materiales!$A$2:$E$502,5,FALSE)*VALUE(MID(TRIM(MID(SUBSTITUTE($R50,";",REPT(" ",99)),298,99)),FIND(":",TRIM(MID(SUBSTITUTE($R50,";",REPT(" ",99)),298,99)))+1,99)),0) + IFERROR(VLOOKUP(LEFT(TRIM(MID(SUBSTITUTE($R50,";",REPT(" ",99)),397,99)),FIND(":",TRIM(MID(SUBSTITUTE($R50,";",REPT(" ",99)),397,99)))-1),Materiales!$A$2:$E$502,5,FALSE)*VALUE(MID(TRIM(MID(SUBSTITUTE($R50,";",REPT(" ",99)),397,99)),FIND(":",TRIM(MID(SUBSTITUTE($R50,";",REPT(" ",99)),397,99)))+1,99)),0) + IFERROR(VLOOKUP(LEFT(TRIM(MID(SUBSTITUTE($R50,";",REPT(" ",99)),496,99)),FIND(":",TRIM(MID(SUBSTITUTE($R50,";",REPT(" ",99)),496,99)))-1),Materiales!$A$2:$E$502,5,FALSE)*VALUE(MID(TRIM(MID(SUBSTITUTE($R50,";",REPT(" ",99)),496,99)),FIND(":",TRIM(MID(SUBSTITUTE($R50,";",REPT(" ",99)),496,99)))+1,99)),0) + IFERROR(VLOOKUP(LEFT(TRIM(MID(SUBSTITUTE($R50,";",REPT(" ",99)),595,99)),FIND(":",TRIM(MID(SUBSTITUTE($R50,";",REPT(" ",99)),595,99)))-1),Materiales!$A$2:$E$502,5,FALSE)*VALUE(MID(TRIM(MID(SUBSTITUTE($R50,";",REPT(" ",99)),595,99)),FIND(":",TRIM(MID(SUBSTITUTE($R50,";",REPT(" ",99)),595,99)))+1,99)),0) + IFERROR(VLOOKUP(LEFT(TRIM(MID(SUBSTITUTE($R50,";",REPT(" ",99)),694,99)),FIND(":",TRIM(MID(SUBSTITUTE($R50,";",REPT(" ",99)),694,99)))-1),Materiales!$A$2:$E$502,5,FALSE)*VALUE(MID(TRIM(MID(SUBSTITUTE($R50,";",REPT(" ",99)),694,99)),FIND(":",TRIM(MID(SUBSTITUTE($R50,";",REPT(" ",99)),694,99)))+1,99)),0) + IFERROR(VLOOKUP(LEFT(TRIM(MID(SUBSTITUTE($R50,";",REPT(" ",99)),793,99)),FIND(":",TRIM(MID(SUBSTITUTE($R50,";",REPT(" ",99)),793,99)))-1),Materiales!$A$2:$E$502,5,FALSE)*VALUE(MID(TRIM(MID(SUBSTITUTE($R50,";",REPT(" ",99)),793,99)),FIND(":",TRIM(MID(SUBSTITUTE($R50,";",REPT(" ",99)),793,99)))+1,99)),0) + IFERROR(VLOOKUP(LEFT(TRIM(MID(SUBSTITUTE($R50,";",REPT(" ",99)),892,99)),FIND(":",TRIM(MID(SUBSTITUTE($R50,";",REPT(" ",99)),892,99)))-1),Materiales!$A$2:$E$502,5,FALSE)*VALUE(MID(TRIM(MID(SUBSTITUTE($R50,";",REPT(" ",99)),892,99)),FIND(":",TRIM(MID(SUBSTITUTE($R50,";",REPT(" ",99)),892,99)))+1,99)),0)))</f>
        <v/>
      </c>
      <c r="T50" s="3"/>
      <c r="U50" s="5" t="str">
        <f t="array" ref="U50">IF($A50="","",IF($T50="",0,IFERROR(VLOOKUP(LEFT(TRIM(MID(SUBSTITUTE($T50,";",REPT(" ",99)),1,99)),FIND(":",TRIM(MID(SUBSTITUTE($T50,";",REPT(" ",99)),1,99)))-1),Materiales!$A$2:$E$502,5,FALSE)*VALUE(MID(TRIM(MID(SUBSTITUTE($T50,";",REPT(" ",99)),1,99)),FIND(":",TRIM(MID(SUBSTITUTE($T50,";",REPT(" ",99)),1,99)))+1,99)),0) + IFERROR(VLOOKUP(LEFT(TRIM(MID(SUBSTITUTE($T50,";",REPT(" ",99)),100,99)),FIND(":",TRIM(MID(SUBSTITUTE($T50,";",REPT(" ",99)),100,99)))-1),Materiales!$A$2:$E$502,5,FALSE)*VALUE(MID(TRIM(MID(SUBSTITUTE($T50,";",REPT(" ",99)),100,99)),FIND(":",TRIM(MID(SUBSTITUTE($T50,";",REPT(" ",99)),100,99)))+1,99)),0) + IFERROR(VLOOKUP(LEFT(TRIM(MID(SUBSTITUTE($T50,";",REPT(" ",99)),199,99)),FIND(":",TRIM(MID(SUBSTITUTE($T50,";",REPT(" ",99)),199,99)))-1),Materiales!$A$2:$E$502,5,FALSE)*VALUE(MID(TRIM(MID(SUBSTITUTE($T50,";",REPT(" ",99)),199,99)),FIND(":",TRIM(MID(SUBSTITUTE($T50,";",REPT(" ",99)),199,99)))+1,99)),0) + IFERROR(VLOOKUP(LEFT(TRIM(MID(SUBSTITUTE($T50,";",REPT(" ",99)),298,99)),FIND(":",TRIM(MID(SUBSTITUTE($T50,";",REPT(" ",99)),298,99)))-1),Materiales!$A$2:$E$502,5,FALSE)*VALUE(MID(TRIM(MID(SUBSTITUTE($T50,";",REPT(" ",99)),298,99)),FIND(":",TRIM(MID(SUBSTITUTE($T50,";",REPT(" ",99)),298,99)))+1,99)),0) + IFERROR(VLOOKUP(LEFT(TRIM(MID(SUBSTITUTE($T50,";",REPT(" ",99)),397,99)),FIND(":",TRIM(MID(SUBSTITUTE($T50,";",REPT(" ",99)),397,99)))-1),Materiales!$A$2:$E$502,5,FALSE)*VALUE(MID(TRIM(MID(SUBSTITUTE($T50,";",REPT(" ",99)),397,99)),FIND(":",TRIM(MID(SUBSTITUTE($T50,";",REPT(" ",99)),397,99)))+1,99)),0) + IFERROR(VLOOKUP(LEFT(TRIM(MID(SUBSTITUTE($T50,";",REPT(" ",99)),496,99)),FIND(":",TRIM(MID(SUBSTITUTE($T50,";",REPT(" ",99)),496,99)))-1),Materiales!$A$2:$E$502,5,FALSE)*VALUE(MID(TRIM(MID(SUBSTITUTE($T50,";",REPT(" ",99)),496,99)),FIND(":",TRIM(MID(SUBSTITUTE($T50,";",REPT(" ",99)),496,99)))+1,99)),0) + IFERROR(VLOOKUP(LEFT(TRIM(MID(SUBSTITUTE($T50,";",REPT(" ",99)),595,99)),FIND(":",TRIM(MID(SUBSTITUTE($T50,";",REPT(" ",99)),595,99)))-1),Materiales!$A$2:$E$502,5,FALSE)*VALUE(MID(TRIM(MID(SUBSTITUTE($T50,";",REPT(" ",99)),595,99)),FIND(":",TRIM(MID(SUBSTITUTE($T50,";",REPT(" ",99)),595,99)))+1,99)),0) + IFERROR(VLOOKUP(LEFT(TRIM(MID(SUBSTITUTE($T50,";",REPT(" ",99)),694,99)),FIND(":",TRIM(MID(SUBSTITUTE($T50,";",REPT(" ",99)),694,99)))-1),Materiales!$A$2:$E$502,5,FALSE)*VALUE(MID(TRIM(MID(SUBSTITUTE($T50,";",REPT(" ",99)),694,99)),FIND(":",TRIM(MID(SUBSTITUTE($T50,";",REPT(" ",99)),694,99)))+1,99)),0) + IFERROR(VLOOKUP(LEFT(TRIM(MID(SUBSTITUTE($T50,";",REPT(" ",99)),793,99)),FIND(":",TRIM(MID(SUBSTITUTE($T50,";",REPT(" ",99)),793,99)))-1),Materiales!$A$2:$E$502,5,FALSE)*VALUE(MID(TRIM(MID(SUBSTITUTE($T50,";",REPT(" ",99)),793,99)),FIND(":",TRIM(MID(SUBSTITUTE($T50,";",REPT(" ",99)),793,99)))+1,99)),0) + IFERROR(VLOOKUP(LEFT(TRIM(MID(SUBSTITUTE($T50,";",REPT(" ",99)),892,99)),FIND(":",TRIM(MID(SUBSTITUTE($T50,";",REPT(" ",99)),892,99)))-1),Materiales!$A$2:$E$502,5,FALSE)*VALUE(MID(TRIM(MID(SUBSTITUTE($T50,";",REPT(" ",99)),892,99)),FIND(":",TRIM(MID(SUBSTITUTE($T50,";",REPT(" ",99)),892,99)))+1,99)),0)))</f>
        <v/>
      </c>
      <c r="V50" s="3"/>
      <c r="W50" s="5" t="str">
        <f t="array" ref="W50">IF($A50="","",IF($V50="",0,IFERROR(VLOOKUP(LEFT(TRIM(MID(SUBSTITUTE($V50,";",REPT(" ",99)),1,99)),FIND(":",TRIM(MID(SUBSTITUTE($V50,";",REPT(" ",99)),1,99)))-1),Materiales!$A$2:$E$502,5,FALSE)*VALUE(MID(TRIM(MID(SUBSTITUTE($V50,";",REPT(" ",99)),1,99)),FIND(":",TRIM(MID(SUBSTITUTE($V50,";",REPT(" ",99)),1,99)))+1,99)),0) + IFERROR(VLOOKUP(LEFT(TRIM(MID(SUBSTITUTE($V50,";",REPT(" ",99)),100,99)),FIND(":",TRIM(MID(SUBSTITUTE($V50,";",REPT(" ",99)),100,99)))-1),Materiales!$A$2:$E$502,5,FALSE)*VALUE(MID(TRIM(MID(SUBSTITUTE($V50,";",REPT(" ",99)),100,99)),FIND(":",TRIM(MID(SUBSTITUTE($V50,";",REPT(" ",99)),100,99)))+1,99)),0) + IFERROR(VLOOKUP(LEFT(TRIM(MID(SUBSTITUTE($V50,";",REPT(" ",99)),199,99)),FIND(":",TRIM(MID(SUBSTITUTE($V50,";",REPT(" ",99)),199,99)))-1),Materiales!$A$2:$E$502,5,FALSE)*VALUE(MID(TRIM(MID(SUBSTITUTE($V50,";",REPT(" ",99)),199,99)),FIND(":",TRIM(MID(SUBSTITUTE($V50,";",REPT(" ",99)),199,99)))+1,99)),0) + IFERROR(VLOOKUP(LEFT(TRIM(MID(SUBSTITUTE($V50,";",REPT(" ",99)),298,99)),FIND(":",TRIM(MID(SUBSTITUTE($V50,";",REPT(" ",99)),298,99)))-1),Materiales!$A$2:$E$502,5,FALSE)*VALUE(MID(TRIM(MID(SUBSTITUTE($V50,";",REPT(" ",99)),298,99)),FIND(":",TRIM(MID(SUBSTITUTE($V50,";",REPT(" ",99)),298,99)))+1,99)),0) + IFERROR(VLOOKUP(LEFT(TRIM(MID(SUBSTITUTE($V50,";",REPT(" ",99)),397,99)),FIND(":",TRIM(MID(SUBSTITUTE($V50,";",REPT(" ",99)),397,99)))-1),Materiales!$A$2:$E$502,5,FALSE)*VALUE(MID(TRIM(MID(SUBSTITUTE($V50,";",REPT(" ",99)),397,99)),FIND(":",TRIM(MID(SUBSTITUTE($V50,";",REPT(" ",99)),397,99)))+1,99)),0) + IFERROR(VLOOKUP(LEFT(TRIM(MID(SUBSTITUTE($V50,";",REPT(" ",99)),496,99)),FIND(":",TRIM(MID(SUBSTITUTE($V50,";",REPT(" ",99)),496,99)))-1),Materiales!$A$2:$E$502,5,FALSE)*VALUE(MID(TRIM(MID(SUBSTITUTE($V50,";",REPT(" ",99)),496,99)),FIND(":",TRIM(MID(SUBSTITUTE($V50,";",REPT(" ",99)),496,99)))+1,99)),0) + IFERROR(VLOOKUP(LEFT(TRIM(MID(SUBSTITUTE($V50,";",REPT(" ",99)),595,99)),FIND(":",TRIM(MID(SUBSTITUTE($V50,";",REPT(" ",99)),595,99)))-1),Materiales!$A$2:$E$502,5,FALSE)*VALUE(MID(TRIM(MID(SUBSTITUTE($V50,";",REPT(" ",99)),595,99)),FIND(":",TRIM(MID(SUBSTITUTE($V50,";",REPT(" ",99)),595,99)))+1,99)),0) + IFERROR(VLOOKUP(LEFT(TRIM(MID(SUBSTITUTE($V50,";",REPT(" ",99)),694,99)),FIND(":",TRIM(MID(SUBSTITUTE($V50,";",REPT(" ",99)),694,99)))-1),Materiales!$A$2:$E$502,5,FALSE)*VALUE(MID(TRIM(MID(SUBSTITUTE($V50,";",REPT(" ",99)),694,99)),FIND(":",TRIM(MID(SUBSTITUTE($V50,";",REPT(" ",99)),694,99)))+1,99)),0) + IFERROR(VLOOKUP(LEFT(TRIM(MID(SUBSTITUTE($V50,";",REPT(" ",99)),793,99)),FIND(":",TRIM(MID(SUBSTITUTE($V50,";",REPT(" ",99)),793,99)))-1),Materiales!$A$2:$E$502,5,FALSE)*VALUE(MID(TRIM(MID(SUBSTITUTE($V50,";",REPT(" ",99)),793,99)),FIND(":",TRIM(MID(SUBSTITUTE($V50,";",REPT(" ",99)),793,99)))+1,99)),0) + IFERROR(VLOOKUP(LEFT(TRIM(MID(SUBSTITUTE($V50,";",REPT(" ",99)),892,99)),FIND(":",TRIM(MID(SUBSTITUTE($V50,";",REPT(" ",99)),892,99)))-1),Materiales!$A$2:$E$502,5,FALSE)*VALUE(MID(TRIM(MID(SUBSTITUTE($V50,";",REPT(" ",99)),892,99)),FIND(":",TRIM(MID(SUBSTITUTE($V50,";",REPT(" ",99)),892,99)))+1,99)),0)))</f>
        <v/>
      </c>
      <c r="X50" s="39" t="str">
        <f t="shared" si="13"/>
        <v/>
      </c>
      <c r="Y50" s="64"/>
      <c r="Z50" s="41"/>
      <c r="AA50" s="65"/>
      <c r="AB50" s="14"/>
      <c r="AC50" s="66"/>
      <c r="AD50" s="65"/>
      <c r="AE50" s="44">
        <f t="shared" si="17"/>
        <v>0</v>
      </c>
      <c r="AF50" s="45" t="str">
        <f t="shared" si="18"/>
        <v>#DIV/0!</v>
      </c>
    </row>
    <row r="51" ht="15.75" customHeight="1">
      <c r="A51" s="3"/>
      <c r="B51" s="3"/>
      <c r="C51" s="38"/>
      <c r="D51" s="38"/>
      <c r="E51" s="38"/>
      <c r="F51" s="14"/>
      <c r="G51" s="5" t="str">
        <f t="array" ref="G51">IF($A51="","",IFERROR($F51*(N($C51)*XLOOKUP($B51,Ceras!$A$2:$A$500,Ceras!$G$2:$G$500,0)+IF($D51="",0,N($E51)*XLOOKUP($D51,Ceras!$A$2:$A$500,Ceras!$G$2:$G$500,0))),"Revisar cera"))</f>
        <v/>
      </c>
      <c r="H51" s="5"/>
      <c r="I51" s="3"/>
      <c r="J51" s="14"/>
      <c r="K51" s="5" t="str">
        <f t="array" ref="K51">IF($A51="","",IFERROR($J51*XLOOKUP($I51,Pabilos!$A$2:$A$500,Pabilos!$H$2:$H$500,0),"Revisar pabilo"))</f>
        <v/>
      </c>
      <c r="L51" s="3"/>
      <c r="M51" s="14"/>
      <c r="N51" s="5" t="str">
        <f t="array" ref="N51">IF($A51="","",IFERROR($M51*XLOOKUP($L51,Esencias!$A$2:$A$501,Esencias!$G$2:$G$501,0),"Revisar esencia"))</f>
        <v/>
      </c>
      <c r="O51" s="3"/>
      <c r="P51" s="14"/>
      <c r="Q51" s="5" t="str">
        <f t="array" ref="Q51">IF($A51="","",IFERROR(IF($P51="",1,$P51)*XLOOKUP($O51,Colores!$A$2:$A$500,Colores!$H$2:$H$500,0),"Revisar color"))</f>
        <v/>
      </c>
      <c r="R51" s="3"/>
      <c r="S51" s="5" t="str">
        <f t="array" ref="S51">IF($A51="","",IF($R51="",0,IFERROR(VLOOKUP(LEFT(TRIM(MID(SUBSTITUTE($R51,";",REPT(" ",99)),1,99)),FIND(":",TRIM(MID(SUBSTITUTE($R51,";",REPT(" ",99)),1,99)))-1),Materiales!$A$2:$E$502,5,FALSE)*VALUE(MID(TRIM(MID(SUBSTITUTE($R51,";",REPT(" ",99)),1,99)),FIND(":",TRIM(MID(SUBSTITUTE($R51,";",REPT(" ",99)),1,99)))+1,99)),0) + IFERROR(VLOOKUP(LEFT(TRIM(MID(SUBSTITUTE($R51,";",REPT(" ",99)),100,99)),FIND(":",TRIM(MID(SUBSTITUTE($R51,";",REPT(" ",99)),100,99)))-1),Materiales!$A$2:$E$502,5,FALSE)*VALUE(MID(TRIM(MID(SUBSTITUTE($R51,";",REPT(" ",99)),100,99)),FIND(":",TRIM(MID(SUBSTITUTE($R51,";",REPT(" ",99)),100,99)))+1,99)),0) + IFERROR(VLOOKUP(LEFT(TRIM(MID(SUBSTITUTE($R51,";",REPT(" ",99)),199,99)),FIND(":",TRIM(MID(SUBSTITUTE($R51,";",REPT(" ",99)),199,99)))-1),Materiales!$A$2:$E$502,5,FALSE)*VALUE(MID(TRIM(MID(SUBSTITUTE($R51,";",REPT(" ",99)),199,99)),FIND(":",TRIM(MID(SUBSTITUTE($R51,";",REPT(" ",99)),199,99)))+1,99)),0) + IFERROR(VLOOKUP(LEFT(TRIM(MID(SUBSTITUTE($R51,";",REPT(" ",99)),298,99)),FIND(":",TRIM(MID(SUBSTITUTE($R51,";",REPT(" ",99)),298,99)))-1),Materiales!$A$2:$E$502,5,FALSE)*VALUE(MID(TRIM(MID(SUBSTITUTE($R51,";",REPT(" ",99)),298,99)),FIND(":",TRIM(MID(SUBSTITUTE($R51,";",REPT(" ",99)),298,99)))+1,99)),0) + IFERROR(VLOOKUP(LEFT(TRIM(MID(SUBSTITUTE($R51,";",REPT(" ",99)),397,99)),FIND(":",TRIM(MID(SUBSTITUTE($R51,";",REPT(" ",99)),397,99)))-1),Materiales!$A$2:$E$502,5,FALSE)*VALUE(MID(TRIM(MID(SUBSTITUTE($R51,";",REPT(" ",99)),397,99)),FIND(":",TRIM(MID(SUBSTITUTE($R51,";",REPT(" ",99)),397,99)))+1,99)),0) + IFERROR(VLOOKUP(LEFT(TRIM(MID(SUBSTITUTE($R51,";",REPT(" ",99)),496,99)),FIND(":",TRIM(MID(SUBSTITUTE($R51,";",REPT(" ",99)),496,99)))-1),Materiales!$A$2:$E$502,5,FALSE)*VALUE(MID(TRIM(MID(SUBSTITUTE($R51,";",REPT(" ",99)),496,99)),FIND(":",TRIM(MID(SUBSTITUTE($R51,";",REPT(" ",99)),496,99)))+1,99)),0) + IFERROR(VLOOKUP(LEFT(TRIM(MID(SUBSTITUTE($R51,";",REPT(" ",99)),595,99)),FIND(":",TRIM(MID(SUBSTITUTE($R51,";",REPT(" ",99)),595,99)))-1),Materiales!$A$2:$E$502,5,FALSE)*VALUE(MID(TRIM(MID(SUBSTITUTE($R51,";",REPT(" ",99)),595,99)),FIND(":",TRIM(MID(SUBSTITUTE($R51,";",REPT(" ",99)),595,99)))+1,99)),0) + IFERROR(VLOOKUP(LEFT(TRIM(MID(SUBSTITUTE($R51,";",REPT(" ",99)),694,99)),FIND(":",TRIM(MID(SUBSTITUTE($R51,";",REPT(" ",99)),694,99)))-1),Materiales!$A$2:$E$502,5,FALSE)*VALUE(MID(TRIM(MID(SUBSTITUTE($R51,";",REPT(" ",99)),694,99)),FIND(":",TRIM(MID(SUBSTITUTE($R51,";",REPT(" ",99)),694,99)))+1,99)),0) + IFERROR(VLOOKUP(LEFT(TRIM(MID(SUBSTITUTE($R51,";",REPT(" ",99)),793,99)),FIND(":",TRIM(MID(SUBSTITUTE($R51,";",REPT(" ",99)),793,99)))-1),Materiales!$A$2:$E$502,5,FALSE)*VALUE(MID(TRIM(MID(SUBSTITUTE($R51,";",REPT(" ",99)),793,99)),FIND(":",TRIM(MID(SUBSTITUTE($R51,";",REPT(" ",99)),793,99)))+1,99)),0) + IFERROR(VLOOKUP(LEFT(TRIM(MID(SUBSTITUTE($R51,";",REPT(" ",99)),892,99)),FIND(":",TRIM(MID(SUBSTITUTE($R51,";",REPT(" ",99)),892,99)))-1),Materiales!$A$2:$E$502,5,FALSE)*VALUE(MID(TRIM(MID(SUBSTITUTE($R51,";",REPT(" ",99)),892,99)),FIND(":",TRIM(MID(SUBSTITUTE($R51,";",REPT(" ",99)),892,99)))+1,99)),0)))</f>
        <v/>
      </c>
      <c r="T51" s="3"/>
      <c r="U51" s="5" t="str">
        <f t="array" ref="U51">IF($A51="","",IF($T51="",0,IFERROR(VLOOKUP(LEFT(TRIM(MID(SUBSTITUTE($T51,";",REPT(" ",99)),1,99)),FIND(":",TRIM(MID(SUBSTITUTE($T51,";",REPT(" ",99)),1,99)))-1),Materiales!$A$2:$E$502,5,FALSE)*VALUE(MID(TRIM(MID(SUBSTITUTE($T51,";",REPT(" ",99)),1,99)),FIND(":",TRIM(MID(SUBSTITUTE($T51,";",REPT(" ",99)),1,99)))+1,99)),0) + IFERROR(VLOOKUP(LEFT(TRIM(MID(SUBSTITUTE($T51,";",REPT(" ",99)),100,99)),FIND(":",TRIM(MID(SUBSTITUTE($T51,";",REPT(" ",99)),100,99)))-1),Materiales!$A$2:$E$502,5,FALSE)*VALUE(MID(TRIM(MID(SUBSTITUTE($T51,";",REPT(" ",99)),100,99)),FIND(":",TRIM(MID(SUBSTITUTE($T51,";",REPT(" ",99)),100,99)))+1,99)),0) + IFERROR(VLOOKUP(LEFT(TRIM(MID(SUBSTITUTE($T51,";",REPT(" ",99)),199,99)),FIND(":",TRIM(MID(SUBSTITUTE($T51,";",REPT(" ",99)),199,99)))-1),Materiales!$A$2:$E$502,5,FALSE)*VALUE(MID(TRIM(MID(SUBSTITUTE($T51,";",REPT(" ",99)),199,99)),FIND(":",TRIM(MID(SUBSTITUTE($T51,";",REPT(" ",99)),199,99)))+1,99)),0) + IFERROR(VLOOKUP(LEFT(TRIM(MID(SUBSTITUTE($T51,";",REPT(" ",99)),298,99)),FIND(":",TRIM(MID(SUBSTITUTE($T51,";",REPT(" ",99)),298,99)))-1),Materiales!$A$2:$E$502,5,FALSE)*VALUE(MID(TRIM(MID(SUBSTITUTE($T51,";",REPT(" ",99)),298,99)),FIND(":",TRIM(MID(SUBSTITUTE($T51,";",REPT(" ",99)),298,99)))+1,99)),0) + IFERROR(VLOOKUP(LEFT(TRIM(MID(SUBSTITUTE($T51,";",REPT(" ",99)),397,99)),FIND(":",TRIM(MID(SUBSTITUTE($T51,";",REPT(" ",99)),397,99)))-1),Materiales!$A$2:$E$502,5,FALSE)*VALUE(MID(TRIM(MID(SUBSTITUTE($T51,";",REPT(" ",99)),397,99)),FIND(":",TRIM(MID(SUBSTITUTE($T51,";",REPT(" ",99)),397,99)))+1,99)),0) + IFERROR(VLOOKUP(LEFT(TRIM(MID(SUBSTITUTE($T51,";",REPT(" ",99)),496,99)),FIND(":",TRIM(MID(SUBSTITUTE($T51,";",REPT(" ",99)),496,99)))-1),Materiales!$A$2:$E$502,5,FALSE)*VALUE(MID(TRIM(MID(SUBSTITUTE($T51,";",REPT(" ",99)),496,99)),FIND(":",TRIM(MID(SUBSTITUTE($T51,";",REPT(" ",99)),496,99)))+1,99)),0) + IFERROR(VLOOKUP(LEFT(TRIM(MID(SUBSTITUTE($T51,";",REPT(" ",99)),595,99)),FIND(":",TRIM(MID(SUBSTITUTE($T51,";",REPT(" ",99)),595,99)))-1),Materiales!$A$2:$E$502,5,FALSE)*VALUE(MID(TRIM(MID(SUBSTITUTE($T51,";",REPT(" ",99)),595,99)),FIND(":",TRIM(MID(SUBSTITUTE($T51,";",REPT(" ",99)),595,99)))+1,99)),0) + IFERROR(VLOOKUP(LEFT(TRIM(MID(SUBSTITUTE($T51,";",REPT(" ",99)),694,99)),FIND(":",TRIM(MID(SUBSTITUTE($T51,";",REPT(" ",99)),694,99)))-1),Materiales!$A$2:$E$502,5,FALSE)*VALUE(MID(TRIM(MID(SUBSTITUTE($T51,";",REPT(" ",99)),694,99)),FIND(":",TRIM(MID(SUBSTITUTE($T51,";",REPT(" ",99)),694,99)))+1,99)),0) + IFERROR(VLOOKUP(LEFT(TRIM(MID(SUBSTITUTE($T51,";",REPT(" ",99)),793,99)),FIND(":",TRIM(MID(SUBSTITUTE($T51,";",REPT(" ",99)),793,99)))-1),Materiales!$A$2:$E$502,5,FALSE)*VALUE(MID(TRIM(MID(SUBSTITUTE($T51,";",REPT(" ",99)),793,99)),FIND(":",TRIM(MID(SUBSTITUTE($T51,";",REPT(" ",99)),793,99)))+1,99)),0) + IFERROR(VLOOKUP(LEFT(TRIM(MID(SUBSTITUTE($T51,";",REPT(" ",99)),892,99)),FIND(":",TRIM(MID(SUBSTITUTE($T51,";",REPT(" ",99)),892,99)))-1),Materiales!$A$2:$E$502,5,FALSE)*VALUE(MID(TRIM(MID(SUBSTITUTE($T51,";",REPT(" ",99)),892,99)),FIND(":",TRIM(MID(SUBSTITUTE($T51,";",REPT(" ",99)),892,99)))+1,99)),0)))</f>
        <v/>
      </c>
      <c r="V51" s="3"/>
      <c r="W51" s="5" t="str">
        <f t="array" ref="W51">IF($A51="","",IF($V51="",0,IFERROR(VLOOKUP(LEFT(TRIM(MID(SUBSTITUTE($V51,";",REPT(" ",99)),1,99)),FIND(":",TRIM(MID(SUBSTITUTE($V51,";",REPT(" ",99)),1,99)))-1),Materiales!$A$2:$E$502,5,FALSE)*VALUE(MID(TRIM(MID(SUBSTITUTE($V51,";",REPT(" ",99)),1,99)),FIND(":",TRIM(MID(SUBSTITUTE($V51,";",REPT(" ",99)),1,99)))+1,99)),0) + IFERROR(VLOOKUP(LEFT(TRIM(MID(SUBSTITUTE($V51,";",REPT(" ",99)),100,99)),FIND(":",TRIM(MID(SUBSTITUTE($V51,";",REPT(" ",99)),100,99)))-1),Materiales!$A$2:$E$502,5,FALSE)*VALUE(MID(TRIM(MID(SUBSTITUTE($V51,";",REPT(" ",99)),100,99)),FIND(":",TRIM(MID(SUBSTITUTE($V51,";",REPT(" ",99)),100,99)))+1,99)),0) + IFERROR(VLOOKUP(LEFT(TRIM(MID(SUBSTITUTE($V51,";",REPT(" ",99)),199,99)),FIND(":",TRIM(MID(SUBSTITUTE($V51,";",REPT(" ",99)),199,99)))-1),Materiales!$A$2:$E$502,5,FALSE)*VALUE(MID(TRIM(MID(SUBSTITUTE($V51,";",REPT(" ",99)),199,99)),FIND(":",TRIM(MID(SUBSTITUTE($V51,";",REPT(" ",99)),199,99)))+1,99)),0) + IFERROR(VLOOKUP(LEFT(TRIM(MID(SUBSTITUTE($V51,";",REPT(" ",99)),298,99)),FIND(":",TRIM(MID(SUBSTITUTE($V51,";",REPT(" ",99)),298,99)))-1),Materiales!$A$2:$E$502,5,FALSE)*VALUE(MID(TRIM(MID(SUBSTITUTE($V51,";",REPT(" ",99)),298,99)),FIND(":",TRIM(MID(SUBSTITUTE($V51,";",REPT(" ",99)),298,99)))+1,99)),0) + IFERROR(VLOOKUP(LEFT(TRIM(MID(SUBSTITUTE($V51,";",REPT(" ",99)),397,99)),FIND(":",TRIM(MID(SUBSTITUTE($V51,";",REPT(" ",99)),397,99)))-1),Materiales!$A$2:$E$502,5,FALSE)*VALUE(MID(TRIM(MID(SUBSTITUTE($V51,";",REPT(" ",99)),397,99)),FIND(":",TRIM(MID(SUBSTITUTE($V51,";",REPT(" ",99)),397,99)))+1,99)),0) + IFERROR(VLOOKUP(LEFT(TRIM(MID(SUBSTITUTE($V51,";",REPT(" ",99)),496,99)),FIND(":",TRIM(MID(SUBSTITUTE($V51,";",REPT(" ",99)),496,99)))-1),Materiales!$A$2:$E$502,5,FALSE)*VALUE(MID(TRIM(MID(SUBSTITUTE($V51,";",REPT(" ",99)),496,99)),FIND(":",TRIM(MID(SUBSTITUTE($V51,";",REPT(" ",99)),496,99)))+1,99)),0) + IFERROR(VLOOKUP(LEFT(TRIM(MID(SUBSTITUTE($V51,";",REPT(" ",99)),595,99)),FIND(":",TRIM(MID(SUBSTITUTE($V51,";",REPT(" ",99)),595,99)))-1),Materiales!$A$2:$E$502,5,FALSE)*VALUE(MID(TRIM(MID(SUBSTITUTE($V51,";",REPT(" ",99)),595,99)),FIND(":",TRIM(MID(SUBSTITUTE($V51,";",REPT(" ",99)),595,99)))+1,99)),0) + IFERROR(VLOOKUP(LEFT(TRIM(MID(SUBSTITUTE($V51,";",REPT(" ",99)),694,99)),FIND(":",TRIM(MID(SUBSTITUTE($V51,";",REPT(" ",99)),694,99)))-1),Materiales!$A$2:$E$502,5,FALSE)*VALUE(MID(TRIM(MID(SUBSTITUTE($V51,";",REPT(" ",99)),694,99)),FIND(":",TRIM(MID(SUBSTITUTE($V51,";",REPT(" ",99)),694,99)))+1,99)),0) + IFERROR(VLOOKUP(LEFT(TRIM(MID(SUBSTITUTE($V51,";",REPT(" ",99)),793,99)),FIND(":",TRIM(MID(SUBSTITUTE($V51,";",REPT(" ",99)),793,99)))-1),Materiales!$A$2:$E$502,5,FALSE)*VALUE(MID(TRIM(MID(SUBSTITUTE($V51,";",REPT(" ",99)),793,99)),FIND(":",TRIM(MID(SUBSTITUTE($V51,";",REPT(" ",99)),793,99)))+1,99)),0) + IFERROR(VLOOKUP(LEFT(TRIM(MID(SUBSTITUTE($V51,";",REPT(" ",99)),892,99)),FIND(":",TRIM(MID(SUBSTITUTE($V51,";",REPT(" ",99)),892,99)))-1),Materiales!$A$2:$E$502,5,FALSE)*VALUE(MID(TRIM(MID(SUBSTITUTE($V51,";",REPT(" ",99)),892,99)),FIND(":",TRIM(MID(SUBSTITUTE($V51,";",REPT(" ",99)),892,99)))+1,99)),0)))</f>
        <v/>
      </c>
      <c r="X51" s="39" t="str">
        <f t="shared" si="13"/>
        <v/>
      </c>
      <c r="Y51" s="64"/>
      <c r="Z51" s="41"/>
      <c r="AA51" s="65"/>
      <c r="AB51" s="14"/>
      <c r="AC51" s="66"/>
      <c r="AD51" s="65"/>
      <c r="AE51" s="44">
        <f t="shared" si="17"/>
        <v>0</v>
      </c>
      <c r="AF51" s="45" t="str">
        <f t="shared" si="18"/>
        <v>#DIV/0!</v>
      </c>
    </row>
    <row r="52" ht="15.75" customHeight="1">
      <c r="A52" s="3"/>
      <c r="B52" s="3"/>
      <c r="C52" s="38"/>
      <c r="D52" s="38"/>
      <c r="E52" s="38"/>
      <c r="F52" s="14"/>
      <c r="G52" s="5" t="str">
        <f t="array" ref="G52">IF($A52="","",IFERROR($F52*(N($C52)*XLOOKUP($B52,Ceras!$A$2:$A$500,Ceras!$G$2:$G$500,0)+IF($D52="",0,N($E52)*XLOOKUP($D52,Ceras!$A$2:$A$500,Ceras!$G$2:$G$500,0))),"Revisar cera"))</f>
        <v/>
      </c>
      <c r="H52" s="5"/>
      <c r="I52" s="3"/>
      <c r="J52" s="14"/>
      <c r="K52" s="5" t="str">
        <f t="array" ref="K52">IF($A52="","",IFERROR($J52*XLOOKUP($I52,Pabilos!$A$2:$A$500,Pabilos!$H$2:$H$500,0),"Revisar pabilo"))</f>
        <v/>
      </c>
      <c r="L52" s="3"/>
      <c r="M52" s="14"/>
      <c r="N52" s="5" t="str">
        <f t="array" ref="N52">IF($A52="","",IFERROR($M52*XLOOKUP($L52,Esencias!$A$2:$A$501,Esencias!$G$2:$G$501,0),"Revisar esencia"))</f>
        <v/>
      </c>
      <c r="O52" s="3"/>
      <c r="P52" s="14"/>
      <c r="Q52" s="5" t="str">
        <f t="array" ref="Q52">IF($A52="","",IFERROR(IF($P52="",1,$P52)*XLOOKUP($O52,Colores!$A$2:$A$500,Colores!$H$2:$H$500,0),"Revisar color"))</f>
        <v/>
      </c>
      <c r="R52" s="3"/>
      <c r="S52" s="5" t="str">
        <f t="array" ref="S52">IF($A52="","",IF($R52="",0,IFERROR(VLOOKUP(LEFT(TRIM(MID(SUBSTITUTE($R52,";",REPT(" ",99)),1,99)),FIND(":",TRIM(MID(SUBSTITUTE($R52,";",REPT(" ",99)),1,99)))-1),Materiales!$A$2:$E$502,5,FALSE)*VALUE(MID(TRIM(MID(SUBSTITUTE($R52,";",REPT(" ",99)),1,99)),FIND(":",TRIM(MID(SUBSTITUTE($R52,";",REPT(" ",99)),1,99)))+1,99)),0) + IFERROR(VLOOKUP(LEFT(TRIM(MID(SUBSTITUTE($R52,";",REPT(" ",99)),100,99)),FIND(":",TRIM(MID(SUBSTITUTE($R52,";",REPT(" ",99)),100,99)))-1),Materiales!$A$2:$E$502,5,FALSE)*VALUE(MID(TRIM(MID(SUBSTITUTE($R52,";",REPT(" ",99)),100,99)),FIND(":",TRIM(MID(SUBSTITUTE($R52,";",REPT(" ",99)),100,99)))+1,99)),0) + IFERROR(VLOOKUP(LEFT(TRIM(MID(SUBSTITUTE($R52,";",REPT(" ",99)),199,99)),FIND(":",TRIM(MID(SUBSTITUTE($R52,";",REPT(" ",99)),199,99)))-1),Materiales!$A$2:$E$502,5,FALSE)*VALUE(MID(TRIM(MID(SUBSTITUTE($R52,";",REPT(" ",99)),199,99)),FIND(":",TRIM(MID(SUBSTITUTE($R52,";",REPT(" ",99)),199,99)))+1,99)),0) + IFERROR(VLOOKUP(LEFT(TRIM(MID(SUBSTITUTE($R52,";",REPT(" ",99)),298,99)),FIND(":",TRIM(MID(SUBSTITUTE($R52,";",REPT(" ",99)),298,99)))-1),Materiales!$A$2:$E$502,5,FALSE)*VALUE(MID(TRIM(MID(SUBSTITUTE($R52,";",REPT(" ",99)),298,99)),FIND(":",TRIM(MID(SUBSTITUTE($R52,";",REPT(" ",99)),298,99)))+1,99)),0) + IFERROR(VLOOKUP(LEFT(TRIM(MID(SUBSTITUTE($R52,";",REPT(" ",99)),397,99)),FIND(":",TRIM(MID(SUBSTITUTE($R52,";",REPT(" ",99)),397,99)))-1),Materiales!$A$2:$E$502,5,FALSE)*VALUE(MID(TRIM(MID(SUBSTITUTE($R52,";",REPT(" ",99)),397,99)),FIND(":",TRIM(MID(SUBSTITUTE($R52,";",REPT(" ",99)),397,99)))+1,99)),0) + IFERROR(VLOOKUP(LEFT(TRIM(MID(SUBSTITUTE($R52,";",REPT(" ",99)),496,99)),FIND(":",TRIM(MID(SUBSTITUTE($R52,";",REPT(" ",99)),496,99)))-1),Materiales!$A$2:$E$502,5,FALSE)*VALUE(MID(TRIM(MID(SUBSTITUTE($R52,";",REPT(" ",99)),496,99)),FIND(":",TRIM(MID(SUBSTITUTE($R52,";",REPT(" ",99)),496,99)))+1,99)),0) + IFERROR(VLOOKUP(LEFT(TRIM(MID(SUBSTITUTE($R52,";",REPT(" ",99)),595,99)),FIND(":",TRIM(MID(SUBSTITUTE($R52,";",REPT(" ",99)),595,99)))-1),Materiales!$A$2:$E$502,5,FALSE)*VALUE(MID(TRIM(MID(SUBSTITUTE($R52,";",REPT(" ",99)),595,99)),FIND(":",TRIM(MID(SUBSTITUTE($R52,";",REPT(" ",99)),595,99)))+1,99)),0) + IFERROR(VLOOKUP(LEFT(TRIM(MID(SUBSTITUTE($R52,";",REPT(" ",99)),694,99)),FIND(":",TRIM(MID(SUBSTITUTE($R52,";",REPT(" ",99)),694,99)))-1),Materiales!$A$2:$E$502,5,FALSE)*VALUE(MID(TRIM(MID(SUBSTITUTE($R52,";",REPT(" ",99)),694,99)),FIND(":",TRIM(MID(SUBSTITUTE($R52,";",REPT(" ",99)),694,99)))+1,99)),0) + IFERROR(VLOOKUP(LEFT(TRIM(MID(SUBSTITUTE($R52,";",REPT(" ",99)),793,99)),FIND(":",TRIM(MID(SUBSTITUTE($R52,";",REPT(" ",99)),793,99)))-1),Materiales!$A$2:$E$502,5,FALSE)*VALUE(MID(TRIM(MID(SUBSTITUTE($R52,";",REPT(" ",99)),793,99)),FIND(":",TRIM(MID(SUBSTITUTE($R52,";",REPT(" ",99)),793,99)))+1,99)),0) + IFERROR(VLOOKUP(LEFT(TRIM(MID(SUBSTITUTE($R52,";",REPT(" ",99)),892,99)),FIND(":",TRIM(MID(SUBSTITUTE($R52,";",REPT(" ",99)),892,99)))-1),Materiales!$A$2:$E$502,5,FALSE)*VALUE(MID(TRIM(MID(SUBSTITUTE($R52,";",REPT(" ",99)),892,99)),FIND(":",TRIM(MID(SUBSTITUTE($R52,";",REPT(" ",99)),892,99)))+1,99)),0)))</f>
        <v/>
      </c>
      <c r="T52" s="3"/>
      <c r="U52" s="5" t="str">
        <f t="array" ref="U52">IF($A52="","",IF($T52="",0,IFERROR(VLOOKUP(LEFT(TRIM(MID(SUBSTITUTE($T52,";",REPT(" ",99)),1,99)),FIND(":",TRIM(MID(SUBSTITUTE($T52,";",REPT(" ",99)),1,99)))-1),Materiales!$A$2:$E$502,5,FALSE)*VALUE(MID(TRIM(MID(SUBSTITUTE($T52,";",REPT(" ",99)),1,99)),FIND(":",TRIM(MID(SUBSTITUTE($T52,";",REPT(" ",99)),1,99)))+1,99)),0) + IFERROR(VLOOKUP(LEFT(TRIM(MID(SUBSTITUTE($T52,";",REPT(" ",99)),100,99)),FIND(":",TRIM(MID(SUBSTITUTE($T52,";",REPT(" ",99)),100,99)))-1),Materiales!$A$2:$E$502,5,FALSE)*VALUE(MID(TRIM(MID(SUBSTITUTE($T52,";",REPT(" ",99)),100,99)),FIND(":",TRIM(MID(SUBSTITUTE($T52,";",REPT(" ",99)),100,99)))+1,99)),0) + IFERROR(VLOOKUP(LEFT(TRIM(MID(SUBSTITUTE($T52,";",REPT(" ",99)),199,99)),FIND(":",TRIM(MID(SUBSTITUTE($T52,";",REPT(" ",99)),199,99)))-1),Materiales!$A$2:$E$502,5,FALSE)*VALUE(MID(TRIM(MID(SUBSTITUTE($T52,";",REPT(" ",99)),199,99)),FIND(":",TRIM(MID(SUBSTITUTE($T52,";",REPT(" ",99)),199,99)))+1,99)),0) + IFERROR(VLOOKUP(LEFT(TRIM(MID(SUBSTITUTE($T52,";",REPT(" ",99)),298,99)),FIND(":",TRIM(MID(SUBSTITUTE($T52,";",REPT(" ",99)),298,99)))-1),Materiales!$A$2:$E$502,5,FALSE)*VALUE(MID(TRIM(MID(SUBSTITUTE($T52,";",REPT(" ",99)),298,99)),FIND(":",TRIM(MID(SUBSTITUTE($T52,";",REPT(" ",99)),298,99)))+1,99)),0) + IFERROR(VLOOKUP(LEFT(TRIM(MID(SUBSTITUTE($T52,";",REPT(" ",99)),397,99)),FIND(":",TRIM(MID(SUBSTITUTE($T52,";",REPT(" ",99)),397,99)))-1),Materiales!$A$2:$E$502,5,FALSE)*VALUE(MID(TRIM(MID(SUBSTITUTE($T52,";",REPT(" ",99)),397,99)),FIND(":",TRIM(MID(SUBSTITUTE($T52,";",REPT(" ",99)),397,99)))+1,99)),0) + IFERROR(VLOOKUP(LEFT(TRIM(MID(SUBSTITUTE($T52,";",REPT(" ",99)),496,99)),FIND(":",TRIM(MID(SUBSTITUTE($T52,";",REPT(" ",99)),496,99)))-1),Materiales!$A$2:$E$502,5,FALSE)*VALUE(MID(TRIM(MID(SUBSTITUTE($T52,";",REPT(" ",99)),496,99)),FIND(":",TRIM(MID(SUBSTITUTE($T52,";",REPT(" ",99)),496,99)))+1,99)),0) + IFERROR(VLOOKUP(LEFT(TRIM(MID(SUBSTITUTE($T52,";",REPT(" ",99)),595,99)),FIND(":",TRIM(MID(SUBSTITUTE($T52,";",REPT(" ",99)),595,99)))-1),Materiales!$A$2:$E$502,5,FALSE)*VALUE(MID(TRIM(MID(SUBSTITUTE($T52,";",REPT(" ",99)),595,99)),FIND(":",TRIM(MID(SUBSTITUTE($T52,";",REPT(" ",99)),595,99)))+1,99)),0) + IFERROR(VLOOKUP(LEFT(TRIM(MID(SUBSTITUTE($T52,";",REPT(" ",99)),694,99)),FIND(":",TRIM(MID(SUBSTITUTE($T52,";",REPT(" ",99)),694,99)))-1),Materiales!$A$2:$E$502,5,FALSE)*VALUE(MID(TRIM(MID(SUBSTITUTE($T52,";",REPT(" ",99)),694,99)),FIND(":",TRIM(MID(SUBSTITUTE($T52,";",REPT(" ",99)),694,99)))+1,99)),0) + IFERROR(VLOOKUP(LEFT(TRIM(MID(SUBSTITUTE($T52,";",REPT(" ",99)),793,99)),FIND(":",TRIM(MID(SUBSTITUTE($T52,";",REPT(" ",99)),793,99)))-1),Materiales!$A$2:$E$502,5,FALSE)*VALUE(MID(TRIM(MID(SUBSTITUTE($T52,";",REPT(" ",99)),793,99)),FIND(":",TRIM(MID(SUBSTITUTE($T52,";",REPT(" ",99)),793,99)))+1,99)),0) + IFERROR(VLOOKUP(LEFT(TRIM(MID(SUBSTITUTE($T52,";",REPT(" ",99)),892,99)),FIND(":",TRIM(MID(SUBSTITUTE($T52,";",REPT(" ",99)),892,99)))-1),Materiales!$A$2:$E$502,5,FALSE)*VALUE(MID(TRIM(MID(SUBSTITUTE($T52,";",REPT(" ",99)),892,99)),FIND(":",TRIM(MID(SUBSTITUTE($T52,";",REPT(" ",99)),892,99)))+1,99)),0)))</f>
        <v/>
      </c>
      <c r="V52" s="3"/>
      <c r="W52" s="5" t="str">
        <f t="array" ref="W52">IF($A52="","",IF($V52="",0,IFERROR(VLOOKUP(LEFT(TRIM(MID(SUBSTITUTE($V52,";",REPT(" ",99)),1,99)),FIND(":",TRIM(MID(SUBSTITUTE($V52,";",REPT(" ",99)),1,99)))-1),Materiales!$A$2:$E$502,5,FALSE)*VALUE(MID(TRIM(MID(SUBSTITUTE($V52,";",REPT(" ",99)),1,99)),FIND(":",TRIM(MID(SUBSTITUTE($V52,";",REPT(" ",99)),1,99)))+1,99)),0) + IFERROR(VLOOKUP(LEFT(TRIM(MID(SUBSTITUTE($V52,";",REPT(" ",99)),100,99)),FIND(":",TRIM(MID(SUBSTITUTE($V52,";",REPT(" ",99)),100,99)))-1),Materiales!$A$2:$E$502,5,FALSE)*VALUE(MID(TRIM(MID(SUBSTITUTE($V52,";",REPT(" ",99)),100,99)),FIND(":",TRIM(MID(SUBSTITUTE($V52,";",REPT(" ",99)),100,99)))+1,99)),0) + IFERROR(VLOOKUP(LEFT(TRIM(MID(SUBSTITUTE($V52,";",REPT(" ",99)),199,99)),FIND(":",TRIM(MID(SUBSTITUTE($V52,";",REPT(" ",99)),199,99)))-1),Materiales!$A$2:$E$502,5,FALSE)*VALUE(MID(TRIM(MID(SUBSTITUTE($V52,";",REPT(" ",99)),199,99)),FIND(":",TRIM(MID(SUBSTITUTE($V52,";",REPT(" ",99)),199,99)))+1,99)),0) + IFERROR(VLOOKUP(LEFT(TRIM(MID(SUBSTITUTE($V52,";",REPT(" ",99)),298,99)),FIND(":",TRIM(MID(SUBSTITUTE($V52,";",REPT(" ",99)),298,99)))-1),Materiales!$A$2:$E$502,5,FALSE)*VALUE(MID(TRIM(MID(SUBSTITUTE($V52,";",REPT(" ",99)),298,99)),FIND(":",TRIM(MID(SUBSTITUTE($V52,";",REPT(" ",99)),298,99)))+1,99)),0) + IFERROR(VLOOKUP(LEFT(TRIM(MID(SUBSTITUTE($V52,";",REPT(" ",99)),397,99)),FIND(":",TRIM(MID(SUBSTITUTE($V52,";",REPT(" ",99)),397,99)))-1),Materiales!$A$2:$E$502,5,FALSE)*VALUE(MID(TRIM(MID(SUBSTITUTE($V52,";",REPT(" ",99)),397,99)),FIND(":",TRIM(MID(SUBSTITUTE($V52,";",REPT(" ",99)),397,99)))+1,99)),0) + IFERROR(VLOOKUP(LEFT(TRIM(MID(SUBSTITUTE($V52,";",REPT(" ",99)),496,99)),FIND(":",TRIM(MID(SUBSTITUTE($V52,";",REPT(" ",99)),496,99)))-1),Materiales!$A$2:$E$502,5,FALSE)*VALUE(MID(TRIM(MID(SUBSTITUTE($V52,";",REPT(" ",99)),496,99)),FIND(":",TRIM(MID(SUBSTITUTE($V52,";",REPT(" ",99)),496,99)))+1,99)),0) + IFERROR(VLOOKUP(LEFT(TRIM(MID(SUBSTITUTE($V52,";",REPT(" ",99)),595,99)),FIND(":",TRIM(MID(SUBSTITUTE($V52,";",REPT(" ",99)),595,99)))-1),Materiales!$A$2:$E$502,5,FALSE)*VALUE(MID(TRIM(MID(SUBSTITUTE($V52,";",REPT(" ",99)),595,99)),FIND(":",TRIM(MID(SUBSTITUTE($V52,";",REPT(" ",99)),595,99)))+1,99)),0) + IFERROR(VLOOKUP(LEFT(TRIM(MID(SUBSTITUTE($V52,";",REPT(" ",99)),694,99)),FIND(":",TRIM(MID(SUBSTITUTE($V52,";",REPT(" ",99)),694,99)))-1),Materiales!$A$2:$E$502,5,FALSE)*VALUE(MID(TRIM(MID(SUBSTITUTE($V52,";",REPT(" ",99)),694,99)),FIND(":",TRIM(MID(SUBSTITUTE($V52,";",REPT(" ",99)),694,99)))+1,99)),0) + IFERROR(VLOOKUP(LEFT(TRIM(MID(SUBSTITUTE($V52,";",REPT(" ",99)),793,99)),FIND(":",TRIM(MID(SUBSTITUTE($V52,";",REPT(" ",99)),793,99)))-1),Materiales!$A$2:$E$502,5,FALSE)*VALUE(MID(TRIM(MID(SUBSTITUTE($V52,";",REPT(" ",99)),793,99)),FIND(":",TRIM(MID(SUBSTITUTE($V52,";",REPT(" ",99)),793,99)))+1,99)),0) + IFERROR(VLOOKUP(LEFT(TRIM(MID(SUBSTITUTE($V52,";",REPT(" ",99)),892,99)),FIND(":",TRIM(MID(SUBSTITUTE($V52,";",REPT(" ",99)),892,99)))-1),Materiales!$A$2:$E$502,5,FALSE)*VALUE(MID(TRIM(MID(SUBSTITUTE($V52,";",REPT(" ",99)),892,99)),FIND(":",TRIM(MID(SUBSTITUTE($V52,";",REPT(" ",99)),892,99)))+1,99)),0)))</f>
        <v/>
      </c>
      <c r="X52" s="39" t="str">
        <f t="shared" si="13"/>
        <v/>
      </c>
      <c r="Y52" s="64"/>
      <c r="Z52" s="41"/>
      <c r="AA52" s="65"/>
      <c r="AB52" s="14"/>
      <c r="AC52" s="66"/>
      <c r="AD52" s="65"/>
      <c r="AE52" s="44">
        <f t="shared" si="17"/>
        <v>0</v>
      </c>
      <c r="AF52" s="45" t="str">
        <f t="shared" si="18"/>
        <v>#DIV/0!</v>
      </c>
    </row>
    <row r="53" ht="15.75" customHeight="1">
      <c r="A53" s="3"/>
      <c r="B53" s="3"/>
      <c r="C53" s="38"/>
      <c r="D53" s="38"/>
      <c r="E53" s="38"/>
      <c r="F53" s="14"/>
      <c r="G53" s="5" t="str">
        <f t="array" ref="G53">IF($A53="","",IFERROR($F53*(N($C53)*XLOOKUP($B53,Ceras!$A$2:$A$500,Ceras!$G$2:$G$500,0)+IF($D53="",0,N($E53)*XLOOKUP($D53,Ceras!$A$2:$A$500,Ceras!$G$2:$G$500,0))),"Revisar cera"))</f>
        <v/>
      </c>
      <c r="H53" s="5"/>
      <c r="I53" s="3"/>
      <c r="J53" s="14"/>
      <c r="K53" s="5" t="str">
        <f t="array" ref="K53">IF($A53="","",IFERROR($J53*XLOOKUP($I53,Pabilos!$A$2:$A$500,Pabilos!$H$2:$H$500,0),"Revisar pabilo"))</f>
        <v/>
      </c>
      <c r="L53" s="3"/>
      <c r="M53" s="14"/>
      <c r="N53" s="5" t="str">
        <f t="array" ref="N53">IF($A53="","",IFERROR($M53*XLOOKUP($L53,Esencias!$A$2:$A$501,Esencias!$G$2:$G$501,0),"Revisar esencia"))</f>
        <v/>
      </c>
      <c r="O53" s="3"/>
      <c r="P53" s="14"/>
      <c r="Q53" s="5" t="str">
        <f t="array" ref="Q53">IF($A53="","",IFERROR(IF($P53="",1,$P53)*XLOOKUP($O53,Colores!$A$2:$A$500,Colores!$H$2:$H$500,0),"Revisar color"))</f>
        <v/>
      </c>
      <c r="R53" s="3"/>
      <c r="S53" s="5" t="str">
        <f t="array" ref="S53">IF($A53="","",IF($R53="",0,IFERROR(VLOOKUP(LEFT(TRIM(MID(SUBSTITUTE($R53,";",REPT(" ",99)),1,99)),FIND(":",TRIM(MID(SUBSTITUTE($R53,";",REPT(" ",99)),1,99)))-1),Materiales!$A$2:$E$502,5,FALSE)*VALUE(MID(TRIM(MID(SUBSTITUTE($R53,";",REPT(" ",99)),1,99)),FIND(":",TRIM(MID(SUBSTITUTE($R53,";",REPT(" ",99)),1,99)))+1,99)),0) + IFERROR(VLOOKUP(LEFT(TRIM(MID(SUBSTITUTE($R53,";",REPT(" ",99)),100,99)),FIND(":",TRIM(MID(SUBSTITUTE($R53,";",REPT(" ",99)),100,99)))-1),Materiales!$A$2:$E$502,5,FALSE)*VALUE(MID(TRIM(MID(SUBSTITUTE($R53,";",REPT(" ",99)),100,99)),FIND(":",TRIM(MID(SUBSTITUTE($R53,";",REPT(" ",99)),100,99)))+1,99)),0) + IFERROR(VLOOKUP(LEFT(TRIM(MID(SUBSTITUTE($R53,";",REPT(" ",99)),199,99)),FIND(":",TRIM(MID(SUBSTITUTE($R53,";",REPT(" ",99)),199,99)))-1),Materiales!$A$2:$E$502,5,FALSE)*VALUE(MID(TRIM(MID(SUBSTITUTE($R53,";",REPT(" ",99)),199,99)),FIND(":",TRIM(MID(SUBSTITUTE($R53,";",REPT(" ",99)),199,99)))+1,99)),0) + IFERROR(VLOOKUP(LEFT(TRIM(MID(SUBSTITUTE($R53,";",REPT(" ",99)),298,99)),FIND(":",TRIM(MID(SUBSTITUTE($R53,";",REPT(" ",99)),298,99)))-1),Materiales!$A$2:$E$502,5,FALSE)*VALUE(MID(TRIM(MID(SUBSTITUTE($R53,";",REPT(" ",99)),298,99)),FIND(":",TRIM(MID(SUBSTITUTE($R53,";",REPT(" ",99)),298,99)))+1,99)),0) + IFERROR(VLOOKUP(LEFT(TRIM(MID(SUBSTITUTE($R53,";",REPT(" ",99)),397,99)),FIND(":",TRIM(MID(SUBSTITUTE($R53,";",REPT(" ",99)),397,99)))-1),Materiales!$A$2:$E$502,5,FALSE)*VALUE(MID(TRIM(MID(SUBSTITUTE($R53,";",REPT(" ",99)),397,99)),FIND(":",TRIM(MID(SUBSTITUTE($R53,";",REPT(" ",99)),397,99)))+1,99)),0) + IFERROR(VLOOKUP(LEFT(TRIM(MID(SUBSTITUTE($R53,";",REPT(" ",99)),496,99)),FIND(":",TRIM(MID(SUBSTITUTE($R53,";",REPT(" ",99)),496,99)))-1),Materiales!$A$2:$E$502,5,FALSE)*VALUE(MID(TRIM(MID(SUBSTITUTE($R53,";",REPT(" ",99)),496,99)),FIND(":",TRIM(MID(SUBSTITUTE($R53,";",REPT(" ",99)),496,99)))+1,99)),0) + IFERROR(VLOOKUP(LEFT(TRIM(MID(SUBSTITUTE($R53,";",REPT(" ",99)),595,99)),FIND(":",TRIM(MID(SUBSTITUTE($R53,";",REPT(" ",99)),595,99)))-1),Materiales!$A$2:$E$502,5,FALSE)*VALUE(MID(TRIM(MID(SUBSTITUTE($R53,";",REPT(" ",99)),595,99)),FIND(":",TRIM(MID(SUBSTITUTE($R53,";",REPT(" ",99)),595,99)))+1,99)),0) + IFERROR(VLOOKUP(LEFT(TRIM(MID(SUBSTITUTE($R53,";",REPT(" ",99)),694,99)),FIND(":",TRIM(MID(SUBSTITUTE($R53,";",REPT(" ",99)),694,99)))-1),Materiales!$A$2:$E$502,5,FALSE)*VALUE(MID(TRIM(MID(SUBSTITUTE($R53,";",REPT(" ",99)),694,99)),FIND(":",TRIM(MID(SUBSTITUTE($R53,";",REPT(" ",99)),694,99)))+1,99)),0) + IFERROR(VLOOKUP(LEFT(TRIM(MID(SUBSTITUTE($R53,";",REPT(" ",99)),793,99)),FIND(":",TRIM(MID(SUBSTITUTE($R53,";",REPT(" ",99)),793,99)))-1),Materiales!$A$2:$E$502,5,FALSE)*VALUE(MID(TRIM(MID(SUBSTITUTE($R53,";",REPT(" ",99)),793,99)),FIND(":",TRIM(MID(SUBSTITUTE($R53,";",REPT(" ",99)),793,99)))+1,99)),0) + IFERROR(VLOOKUP(LEFT(TRIM(MID(SUBSTITUTE($R53,";",REPT(" ",99)),892,99)),FIND(":",TRIM(MID(SUBSTITUTE($R53,";",REPT(" ",99)),892,99)))-1),Materiales!$A$2:$E$502,5,FALSE)*VALUE(MID(TRIM(MID(SUBSTITUTE($R53,";",REPT(" ",99)),892,99)),FIND(":",TRIM(MID(SUBSTITUTE($R53,";",REPT(" ",99)),892,99)))+1,99)),0)))</f>
        <v/>
      </c>
      <c r="T53" s="3"/>
      <c r="U53" s="5" t="str">
        <f t="array" ref="U53">IF($A53="","",IF($T53="",0,IFERROR(VLOOKUP(LEFT(TRIM(MID(SUBSTITUTE($T53,";",REPT(" ",99)),1,99)),FIND(":",TRIM(MID(SUBSTITUTE($T53,";",REPT(" ",99)),1,99)))-1),Materiales!$A$2:$E$502,5,FALSE)*VALUE(MID(TRIM(MID(SUBSTITUTE($T53,";",REPT(" ",99)),1,99)),FIND(":",TRIM(MID(SUBSTITUTE($T53,";",REPT(" ",99)),1,99)))+1,99)),0) + IFERROR(VLOOKUP(LEFT(TRIM(MID(SUBSTITUTE($T53,";",REPT(" ",99)),100,99)),FIND(":",TRIM(MID(SUBSTITUTE($T53,";",REPT(" ",99)),100,99)))-1),Materiales!$A$2:$E$502,5,FALSE)*VALUE(MID(TRIM(MID(SUBSTITUTE($T53,";",REPT(" ",99)),100,99)),FIND(":",TRIM(MID(SUBSTITUTE($T53,";",REPT(" ",99)),100,99)))+1,99)),0) + IFERROR(VLOOKUP(LEFT(TRIM(MID(SUBSTITUTE($T53,";",REPT(" ",99)),199,99)),FIND(":",TRIM(MID(SUBSTITUTE($T53,";",REPT(" ",99)),199,99)))-1),Materiales!$A$2:$E$502,5,FALSE)*VALUE(MID(TRIM(MID(SUBSTITUTE($T53,";",REPT(" ",99)),199,99)),FIND(":",TRIM(MID(SUBSTITUTE($T53,";",REPT(" ",99)),199,99)))+1,99)),0) + IFERROR(VLOOKUP(LEFT(TRIM(MID(SUBSTITUTE($T53,";",REPT(" ",99)),298,99)),FIND(":",TRIM(MID(SUBSTITUTE($T53,";",REPT(" ",99)),298,99)))-1),Materiales!$A$2:$E$502,5,FALSE)*VALUE(MID(TRIM(MID(SUBSTITUTE($T53,";",REPT(" ",99)),298,99)),FIND(":",TRIM(MID(SUBSTITUTE($T53,";",REPT(" ",99)),298,99)))+1,99)),0) + IFERROR(VLOOKUP(LEFT(TRIM(MID(SUBSTITUTE($T53,";",REPT(" ",99)),397,99)),FIND(":",TRIM(MID(SUBSTITUTE($T53,";",REPT(" ",99)),397,99)))-1),Materiales!$A$2:$E$502,5,FALSE)*VALUE(MID(TRIM(MID(SUBSTITUTE($T53,";",REPT(" ",99)),397,99)),FIND(":",TRIM(MID(SUBSTITUTE($T53,";",REPT(" ",99)),397,99)))+1,99)),0) + IFERROR(VLOOKUP(LEFT(TRIM(MID(SUBSTITUTE($T53,";",REPT(" ",99)),496,99)),FIND(":",TRIM(MID(SUBSTITUTE($T53,";",REPT(" ",99)),496,99)))-1),Materiales!$A$2:$E$502,5,FALSE)*VALUE(MID(TRIM(MID(SUBSTITUTE($T53,";",REPT(" ",99)),496,99)),FIND(":",TRIM(MID(SUBSTITUTE($T53,";",REPT(" ",99)),496,99)))+1,99)),0) + IFERROR(VLOOKUP(LEFT(TRIM(MID(SUBSTITUTE($T53,";",REPT(" ",99)),595,99)),FIND(":",TRIM(MID(SUBSTITUTE($T53,";",REPT(" ",99)),595,99)))-1),Materiales!$A$2:$E$502,5,FALSE)*VALUE(MID(TRIM(MID(SUBSTITUTE($T53,";",REPT(" ",99)),595,99)),FIND(":",TRIM(MID(SUBSTITUTE($T53,";",REPT(" ",99)),595,99)))+1,99)),0) + IFERROR(VLOOKUP(LEFT(TRIM(MID(SUBSTITUTE($T53,";",REPT(" ",99)),694,99)),FIND(":",TRIM(MID(SUBSTITUTE($T53,";",REPT(" ",99)),694,99)))-1),Materiales!$A$2:$E$502,5,FALSE)*VALUE(MID(TRIM(MID(SUBSTITUTE($T53,";",REPT(" ",99)),694,99)),FIND(":",TRIM(MID(SUBSTITUTE($T53,";",REPT(" ",99)),694,99)))+1,99)),0) + IFERROR(VLOOKUP(LEFT(TRIM(MID(SUBSTITUTE($T53,";",REPT(" ",99)),793,99)),FIND(":",TRIM(MID(SUBSTITUTE($T53,";",REPT(" ",99)),793,99)))-1),Materiales!$A$2:$E$502,5,FALSE)*VALUE(MID(TRIM(MID(SUBSTITUTE($T53,";",REPT(" ",99)),793,99)),FIND(":",TRIM(MID(SUBSTITUTE($T53,";",REPT(" ",99)),793,99)))+1,99)),0) + IFERROR(VLOOKUP(LEFT(TRIM(MID(SUBSTITUTE($T53,";",REPT(" ",99)),892,99)),FIND(":",TRIM(MID(SUBSTITUTE($T53,";",REPT(" ",99)),892,99)))-1),Materiales!$A$2:$E$502,5,FALSE)*VALUE(MID(TRIM(MID(SUBSTITUTE($T53,";",REPT(" ",99)),892,99)),FIND(":",TRIM(MID(SUBSTITUTE($T53,";",REPT(" ",99)),892,99)))+1,99)),0)))</f>
        <v/>
      </c>
      <c r="V53" s="3"/>
      <c r="W53" s="5" t="str">
        <f t="array" ref="W53">IF($A53="","",IF($V53="",0,IFERROR(VLOOKUP(LEFT(TRIM(MID(SUBSTITUTE($V53,";",REPT(" ",99)),1,99)),FIND(":",TRIM(MID(SUBSTITUTE($V53,";",REPT(" ",99)),1,99)))-1),Materiales!$A$2:$E$502,5,FALSE)*VALUE(MID(TRIM(MID(SUBSTITUTE($V53,";",REPT(" ",99)),1,99)),FIND(":",TRIM(MID(SUBSTITUTE($V53,";",REPT(" ",99)),1,99)))+1,99)),0) + IFERROR(VLOOKUP(LEFT(TRIM(MID(SUBSTITUTE($V53,";",REPT(" ",99)),100,99)),FIND(":",TRIM(MID(SUBSTITUTE($V53,";",REPT(" ",99)),100,99)))-1),Materiales!$A$2:$E$502,5,FALSE)*VALUE(MID(TRIM(MID(SUBSTITUTE($V53,";",REPT(" ",99)),100,99)),FIND(":",TRIM(MID(SUBSTITUTE($V53,";",REPT(" ",99)),100,99)))+1,99)),0) + IFERROR(VLOOKUP(LEFT(TRIM(MID(SUBSTITUTE($V53,";",REPT(" ",99)),199,99)),FIND(":",TRIM(MID(SUBSTITUTE($V53,";",REPT(" ",99)),199,99)))-1),Materiales!$A$2:$E$502,5,FALSE)*VALUE(MID(TRIM(MID(SUBSTITUTE($V53,";",REPT(" ",99)),199,99)),FIND(":",TRIM(MID(SUBSTITUTE($V53,";",REPT(" ",99)),199,99)))+1,99)),0) + IFERROR(VLOOKUP(LEFT(TRIM(MID(SUBSTITUTE($V53,";",REPT(" ",99)),298,99)),FIND(":",TRIM(MID(SUBSTITUTE($V53,";",REPT(" ",99)),298,99)))-1),Materiales!$A$2:$E$502,5,FALSE)*VALUE(MID(TRIM(MID(SUBSTITUTE($V53,";",REPT(" ",99)),298,99)),FIND(":",TRIM(MID(SUBSTITUTE($V53,";",REPT(" ",99)),298,99)))+1,99)),0) + IFERROR(VLOOKUP(LEFT(TRIM(MID(SUBSTITUTE($V53,";",REPT(" ",99)),397,99)),FIND(":",TRIM(MID(SUBSTITUTE($V53,";",REPT(" ",99)),397,99)))-1),Materiales!$A$2:$E$502,5,FALSE)*VALUE(MID(TRIM(MID(SUBSTITUTE($V53,";",REPT(" ",99)),397,99)),FIND(":",TRIM(MID(SUBSTITUTE($V53,";",REPT(" ",99)),397,99)))+1,99)),0) + IFERROR(VLOOKUP(LEFT(TRIM(MID(SUBSTITUTE($V53,";",REPT(" ",99)),496,99)),FIND(":",TRIM(MID(SUBSTITUTE($V53,";",REPT(" ",99)),496,99)))-1),Materiales!$A$2:$E$502,5,FALSE)*VALUE(MID(TRIM(MID(SUBSTITUTE($V53,";",REPT(" ",99)),496,99)),FIND(":",TRIM(MID(SUBSTITUTE($V53,";",REPT(" ",99)),496,99)))+1,99)),0) + IFERROR(VLOOKUP(LEFT(TRIM(MID(SUBSTITUTE($V53,";",REPT(" ",99)),595,99)),FIND(":",TRIM(MID(SUBSTITUTE($V53,";",REPT(" ",99)),595,99)))-1),Materiales!$A$2:$E$502,5,FALSE)*VALUE(MID(TRIM(MID(SUBSTITUTE($V53,";",REPT(" ",99)),595,99)),FIND(":",TRIM(MID(SUBSTITUTE($V53,";",REPT(" ",99)),595,99)))+1,99)),0) + IFERROR(VLOOKUP(LEFT(TRIM(MID(SUBSTITUTE($V53,";",REPT(" ",99)),694,99)),FIND(":",TRIM(MID(SUBSTITUTE($V53,";",REPT(" ",99)),694,99)))-1),Materiales!$A$2:$E$502,5,FALSE)*VALUE(MID(TRIM(MID(SUBSTITUTE($V53,";",REPT(" ",99)),694,99)),FIND(":",TRIM(MID(SUBSTITUTE($V53,";",REPT(" ",99)),694,99)))+1,99)),0) + IFERROR(VLOOKUP(LEFT(TRIM(MID(SUBSTITUTE($V53,";",REPT(" ",99)),793,99)),FIND(":",TRIM(MID(SUBSTITUTE($V53,";",REPT(" ",99)),793,99)))-1),Materiales!$A$2:$E$502,5,FALSE)*VALUE(MID(TRIM(MID(SUBSTITUTE($V53,";",REPT(" ",99)),793,99)),FIND(":",TRIM(MID(SUBSTITUTE($V53,";",REPT(" ",99)),793,99)))+1,99)),0) + IFERROR(VLOOKUP(LEFT(TRIM(MID(SUBSTITUTE($V53,";",REPT(" ",99)),892,99)),FIND(":",TRIM(MID(SUBSTITUTE($V53,";",REPT(" ",99)),892,99)))-1),Materiales!$A$2:$E$502,5,FALSE)*VALUE(MID(TRIM(MID(SUBSTITUTE($V53,";",REPT(" ",99)),892,99)),FIND(":",TRIM(MID(SUBSTITUTE($V53,";",REPT(" ",99)),892,99)))+1,99)),0)))</f>
        <v/>
      </c>
      <c r="X53" s="39" t="str">
        <f t="shared" si="13"/>
        <v/>
      </c>
      <c r="Y53" s="64"/>
      <c r="Z53" s="41"/>
      <c r="AA53" s="65"/>
      <c r="AB53" s="14"/>
      <c r="AC53" s="66"/>
      <c r="AD53" s="65"/>
      <c r="AE53" s="44">
        <f t="shared" si="17"/>
        <v>0</v>
      </c>
      <c r="AF53" s="45" t="str">
        <f t="shared" si="18"/>
        <v>#DIV/0!</v>
      </c>
    </row>
    <row r="54" ht="15.75" customHeight="1">
      <c r="A54" s="3"/>
      <c r="B54" s="3"/>
      <c r="C54" s="38"/>
      <c r="D54" s="38"/>
      <c r="E54" s="38"/>
      <c r="F54" s="14"/>
      <c r="G54" s="5" t="str">
        <f t="array" ref="G54">IF($A54="","",IFERROR($F54*(N($C54)*XLOOKUP($B54,Ceras!$A$2:$A$500,Ceras!$G$2:$G$500,0)+IF($D54="",0,N($E54)*XLOOKUP($D54,Ceras!$A$2:$A$500,Ceras!$G$2:$G$500,0))),"Revisar cera"))</f>
        <v/>
      </c>
      <c r="H54" s="5"/>
      <c r="I54" s="3"/>
      <c r="J54" s="14"/>
      <c r="K54" s="5" t="str">
        <f t="array" ref="K54">IF($A54="","",IFERROR($J54*XLOOKUP($I54,Pabilos!$A$2:$A$500,Pabilos!$H$2:$H$500,0),"Revisar pabilo"))</f>
        <v/>
      </c>
      <c r="L54" s="3"/>
      <c r="M54" s="14"/>
      <c r="N54" s="5" t="str">
        <f t="array" ref="N54">IF($A54="","",IFERROR($M54*XLOOKUP($L54,Esencias!$A$2:$A$501,Esencias!$G$2:$G$501,0),"Revisar esencia"))</f>
        <v/>
      </c>
      <c r="O54" s="3"/>
      <c r="P54" s="14"/>
      <c r="Q54" s="5" t="str">
        <f t="array" ref="Q54">IF($A54="","",IFERROR(IF($P54="",1,$P54)*XLOOKUP($O54,Colores!$A$2:$A$500,Colores!$H$2:$H$500,0),"Revisar color"))</f>
        <v/>
      </c>
      <c r="R54" s="3"/>
      <c r="S54" s="5" t="str">
        <f t="array" ref="S54">IF($A54="","",IF($R54="",0,IFERROR(VLOOKUP(LEFT(TRIM(MID(SUBSTITUTE($R54,";",REPT(" ",99)),1,99)),FIND(":",TRIM(MID(SUBSTITUTE($R54,";",REPT(" ",99)),1,99)))-1),Materiales!$A$2:$E$502,5,FALSE)*VALUE(MID(TRIM(MID(SUBSTITUTE($R54,";",REPT(" ",99)),1,99)),FIND(":",TRIM(MID(SUBSTITUTE($R54,";",REPT(" ",99)),1,99)))+1,99)),0) + IFERROR(VLOOKUP(LEFT(TRIM(MID(SUBSTITUTE($R54,";",REPT(" ",99)),100,99)),FIND(":",TRIM(MID(SUBSTITUTE($R54,";",REPT(" ",99)),100,99)))-1),Materiales!$A$2:$E$502,5,FALSE)*VALUE(MID(TRIM(MID(SUBSTITUTE($R54,";",REPT(" ",99)),100,99)),FIND(":",TRIM(MID(SUBSTITUTE($R54,";",REPT(" ",99)),100,99)))+1,99)),0) + IFERROR(VLOOKUP(LEFT(TRIM(MID(SUBSTITUTE($R54,";",REPT(" ",99)),199,99)),FIND(":",TRIM(MID(SUBSTITUTE($R54,";",REPT(" ",99)),199,99)))-1),Materiales!$A$2:$E$502,5,FALSE)*VALUE(MID(TRIM(MID(SUBSTITUTE($R54,";",REPT(" ",99)),199,99)),FIND(":",TRIM(MID(SUBSTITUTE($R54,";",REPT(" ",99)),199,99)))+1,99)),0) + IFERROR(VLOOKUP(LEFT(TRIM(MID(SUBSTITUTE($R54,";",REPT(" ",99)),298,99)),FIND(":",TRIM(MID(SUBSTITUTE($R54,";",REPT(" ",99)),298,99)))-1),Materiales!$A$2:$E$502,5,FALSE)*VALUE(MID(TRIM(MID(SUBSTITUTE($R54,";",REPT(" ",99)),298,99)),FIND(":",TRIM(MID(SUBSTITUTE($R54,";",REPT(" ",99)),298,99)))+1,99)),0) + IFERROR(VLOOKUP(LEFT(TRIM(MID(SUBSTITUTE($R54,";",REPT(" ",99)),397,99)),FIND(":",TRIM(MID(SUBSTITUTE($R54,";",REPT(" ",99)),397,99)))-1),Materiales!$A$2:$E$502,5,FALSE)*VALUE(MID(TRIM(MID(SUBSTITUTE($R54,";",REPT(" ",99)),397,99)),FIND(":",TRIM(MID(SUBSTITUTE($R54,";",REPT(" ",99)),397,99)))+1,99)),0) + IFERROR(VLOOKUP(LEFT(TRIM(MID(SUBSTITUTE($R54,";",REPT(" ",99)),496,99)),FIND(":",TRIM(MID(SUBSTITUTE($R54,";",REPT(" ",99)),496,99)))-1),Materiales!$A$2:$E$502,5,FALSE)*VALUE(MID(TRIM(MID(SUBSTITUTE($R54,";",REPT(" ",99)),496,99)),FIND(":",TRIM(MID(SUBSTITUTE($R54,";",REPT(" ",99)),496,99)))+1,99)),0) + IFERROR(VLOOKUP(LEFT(TRIM(MID(SUBSTITUTE($R54,";",REPT(" ",99)),595,99)),FIND(":",TRIM(MID(SUBSTITUTE($R54,";",REPT(" ",99)),595,99)))-1),Materiales!$A$2:$E$502,5,FALSE)*VALUE(MID(TRIM(MID(SUBSTITUTE($R54,";",REPT(" ",99)),595,99)),FIND(":",TRIM(MID(SUBSTITUTE($R54,";",REPT(" ",99)),595,99)))+1,99)),0) + IFERROR(VLOOKUP(LEFT(TRIM(MID(SUBSTITUTE($R54,";",REPT(" ",99)),694,99)),FIND(":",TRIM(MID(SUBSTITUTE($R54,";",REPT(" ",99)),694,99)))-1),Materiales!$A$2:$E$502,5,FALSE)*VALUE(MID(TRIM(MID(SUBSTITUTE($R54,";",REPT(" ",99)),694,99)),FIND(":",TRIM(MID(SUBSTITUTE($R54,";",REPT(" ",99)),694,99)))+1,99)),0) + IFERROR(VLOOKUP(LEFT(TRIM(MID(SUBSTITUTE($R54,";",REPT(" ",99)),793,99)),FIND(":",TRIM(MID(SUBSTITUTE($R54,";",REPT(" ",99)),793,99)))-1),Materiales!$A$2:$E$502,5,FALSE)*VALUE(MID(TRIM(MID(SUBSTITUTE($R54,";",REPT(" ",99)),793,99)),FIND(":",TRIM(MID(SUBSTITUTE($R54,";",REPT(" ",99)),793,99)))+1,99)),0) + IFERROR(VLOOKUP(LEFT(TRIM(MID(SUBSTITUTE($R54,";",REPT(" ",99)),892,99)),FIND(":",TRIM(MID(SUBSTITUTE($R54,";",REPT(" ",99)),892,99)))-1),Materiales!$A$2:$E$502,5,FALSE)*VALUE(MID(TRIM(MID(SUBSTITUTE($R54,";",REPT(" ",99)),892,99)),FIND(":",TRIM(MID(SUBSTITUTE($R54,";",REPT(" ",99)),892,99)))+1,99)),0)))</f>
        <v/>
      </c>
      <c r="T54" s="3"/>
      <c r="U54" s="5" t="str">
        <f t="array" ref="U54">IF($A54="","",IF($T54="",0,IFERROR(VLOOKUP(LEFT(TRIM(MID(SUBSTITUTE($T54,";",REPT(" ",99)),1,99)),FIND(":",TRIM(MID(SUBSTITUTE($T54,";",REPT(" ",99)),1,99)))-1),Materiales!$A$2:$E$502,5,FALSE)*VALUE(MID(TRIM(MID(SUBSTITUTE($T54,";",REPT(" ",99)),1,99)),FIND(":",TRIM(MID(SUBSTITUTE($T54,";",REPT(" ",99)),1,99)))+1,99)),0) + IFERROR(VLOOKUP(LEFT(TRIM(MID(SUBSTITUTE($T54,";",REPT(" ",99)),100,99)),FIND(":",TRIM(MID(SUBSTITUTE($T54,";",REPT(" ",99)),100,99)))-1),Materiales!$A$2:$E$502,5,FALSE)*VALUE(MID(TRIM(MID(SUBSTITUTE($T54,";",REPT(" ",99)),100,99)),FIND(":",TRIM(MID(SUBSTITUTE($T54,";",REPT(" ",99)),100,99)))+1,99)),0) + IFERROR(VLOOKUP(LEFT(TRIM(MID(SUBSTITUTE($T54,";",REPT(" ",99)),199,99)),FIND(":",TRIM(MID(SUBSTITUTE($T54,";",REPT(" ",99)),199,99)))-1),Materiales!$A$2:$E$502,5,FALSE)*VALUE(MID(TRIM(MID(SUBSTITUTE($T54,";",REPT(" ",99)),199,99)),FIND(":",TRIM(MID(SUBSTITUTE($T54,";",REPT(" ",99)),199,99)))+1,99)),0) + IFERROR(VLOOKUP(LEFT(TRIM(MID(SUBSTITUTE($T54,";",REPT(" ",99)),298,99)),FIND(":",TRIM(MID(SUBSTITUTE($T54,";",REPT(" ",99)),298,99)))-1),Materiales!$A$2:$E$502,5,FALSE)*VALUE(MID(TRIM(MID(SUBSTITUTE($T54,";",REPT(" ",99)),298,99)),FIND(":",TRIM(MID(SUBSTITUTE($T54,";",REPT(" ",99)),298,99)))+1,99)),0) + IFERROR(VLOOKUP(LEFT(TRIM(MID(SUBSTITUTE($T54,";",REPT(" ",99)),397,99)),FIND(":",TRIM(MID(SUBSTITUTE($T54,";",REPT(" ",99)),397,99)))-1),Materiales!$A$2:$E$502,5,FALSE)*VALUE(MID(TRIM(MID(SUBSTITUTE($T54,";",REPT(" ",99)),397,99)),FIND(":",TRIM(MID(SUBSTITUTE($T54,";",REPT(" ",99)),397,99)))+1,99)),0) + IFERROR(VLOOKUP(LEFT(TRIM(MID(SUBSTITUTE($T54,";",REPT(" ",99)),496,99)),FIND(":",TRIM(MID(SUBSTITUTE($T54,";",REPT(" ",99)),496,99)))-1),Materiales!$A$2:$E$502,5,FALSE)*VALUE(MID(TRIM(MID(SUBSTITUTE($T54,";",REPT(" ",99)),496,99)),FIND(":",TRIM(MID(SUBSTITUTE($T54,";",REPT(" ",99)),496,99)))+1,99)),0) + IFERROR(VLOOKUP(LEFT(TRIM(MID(SUBSTITUTE($T54,";",REPT(" ",99)),595,99)),FIND(":",TRIM(MID(SUBSTITUTE($T54,";",REPT(" ",99)),595,99)))-1),Materiales!$A$2:$E$502,5,FALSE)*VALUE(MID(TRIM(MID(SUBSTITUTE($T54,";",REPT(" ",99)),595,99)),FIND(":",TRIM(MID(SUBSTITUTE($T54,";",REPT(" ",99)),595,99)))+1,99)),0) + IFERROR(VLOOKUP(LEFT(TRIM(MID(SUBSTITUTE($T54,";",REPT(" ",99)),694,99)),FIND(":",TRIM(MID(SUBSTITUTE($T54,";",REPT(" ",99)),694,99)))-1),Materiales!$A$2:$E$502,5,FALSE)*VALUE(MID(TRIM(MID(SUBSTITUTE($T54,";",REPT(" ",99)),694,99)),FIND(":",TRIM(MID(SUBSTITUTE($T54,";",REPT(" ",99)),694,99)))+1,99)),0) + IFERROR(VLOOKUP(LEFT(TRIM(MID(SUBSTITUTE($T54,";",REPT(" ",99)),793,99)),FIND(":",TRIM(MID(SUBSTITUTE($T54,";",REPT(" ",99)),793,99)))-1),Materiales!$A$2:$E$502,5,FALSE)*VALUE(MID(TRIM(MID(SUBSTITUTE($T54,";",REPT(" ",99)),793,99)),FIND(":",TRIM(MID(SUBSTITUTE($T54,";",REPT(" ",99)),793,99)))+1,99)),0) + IFERROR(VLOOKUP(LEFT(TRIM(MID(SUBSTITUTE($T54,";",REPT(" ",99)),892,99)),FIND(":",TRIM(MID(SUBSTITUTE($T54,";",REPT(" ",99)),892,99)))-1),Materiales!$A$2:$E$502,5,FALSE)*VALUE(MID(TRIM(MID(SUBSTITUTE($T54,";",REPT(" ",99)),892,99)),FIND(":",TRIM(MID(SUBSTITUTE($T54,";",REPT(" ",99)),892,99)))+1,99)),0)))</f>
        <v/>
      </c>
      <c r="V54" s="3"/>
      <c r="W54" s="5" t="str">
        <f t="array" ref="W54">IF($A54="","",IF($V54="",0,IFERROR(VLOOKUP(LEFT(TRIM(MID(SUBSTITUTE($V54,";",REPT(" ",99)),1,99)),FIND(":",TRIM(MID(SUBSTITUTE($V54,";",REPT(" ",99)),1,99)))-1),Materiales!$A$2:$E$502,5,FALSE)*VALUE(MID(TRIM(MID(SUBSTITUTE($V54,";",REPT(" ",99)),1,99)),FIND(":",TRIM(MID(SUBSTITUTE($V54,";",REPT(" ",99)),1,99)))+1,99)),0) + IFERROR(VLOOKUP(LEFT(TRIM(MID(SUBSTITUTE($V54,";",REPT(" ",99)),100,99)),FIND(":",TRIM(MID(SUBSTITUTE($V54,";",REPT(" ",99)),100,99)))-1),Materiales!$A$2:$E$502,5,FALSE)*VALUE(MID(TRIM(MID(SUBSTITUTE($V54,";",REPT(" ",99)),100,99)),FIND(":",TRIM(MID(SUBSTITUTE($V54,";",REPT(" ",99)),100,99)))+1,99)),0) + IFERROR(VLOOKUP(LEFT(TRIM(MID(SUBSTITUTE($V54,";",REPT(" ",99)),199,99)),FIND(":",TRIM(MID(SUBSTITUTE($V54,";",REPT(" ",99)),199,99)))-1),Materiales!$A$2:$E$502,5,FALSE)*VALUE(MID(TRIM(MID(SUBSTITUTE($V54,";",REPT(" ",99)),199,99)),FIND(":",TRIM(MID(SUBSTITUTE($V54,";",REPT(" ",99)),199,99)))+1,99)),0) + IFERROR(VLOOKUP(LEFT(TRIM(MID(SUBSTITUTE($V54,";",REPT(" ",99)),298,99)),FIND(":",TRIM(MID(SUBSTITUTE($V54,";",REPT(" ",99)),298,99)))-1),Materiales!$A$2:$E$502,5,FALSE)*VALUE(MID(TRIM(MID(SUBSTITUTE($V54,";",REPT(" ",99)),298,99)),FIND(":",TRIM(MID(SUBSTITUTE($V54,";",REPT(" ",99)),298,99)))+1,99)),0) + IFERROR(VLOOKUP(LEFT(TRIM(MID(SUBSTITUTE($V54,";",REPT(" ",99)),397,99)),FIND(":",TRIM(MID(SUBSTITUTE($V54,";",REPT(" ",99)),397,99)))-1),Materiales!$A$2:$E$502,5,FALSE)*VALUE(MID(TRIM(MID(SUBSTITUTE($V54,";",REPT(" ",99)),397,99)),FIND(":",TRIM(MID(SUBSTITUTE($V54,";",REPT(" ",99)),397,99)))+1,99)),0) + IFERROR(VLOOKUP(LEFT(TRIM(MID(SUBSTITUTE($V54,";",REPT(" ",99)),496,99)),FIND(":",TRIM(MID(SUBSTITUTE($V54,";",REPT(" ",99)),496,99)))-1),Materiales!$A$2:$E$502,5,FALSE)*VALUE(MID(TRIM(MID(SUBSTITUTE($V54,";",REPT(" ",99)),496,99)),FIND(":",TRIM(MID(SUBSTITUTE($V54,";",REPT(" ",99)),496,99)))+1,99)),0) + IFERROR(VLOOKUP(LEFT(TRIM(MID(SUBSTITUTE($V54,";",REPT(" ",99)),595,99)),FIND(":",TRIM(MID(SUBSTITUTE($V54,";",REPT(" ",99)),595,99)))-1),Materiales!$A$2:$E$502,5,FALSE)*VALUE(MID(TRIM(MID(SUBSTITUTE($V54,";",REPT(" ",99)),595,99)),FIND(":",TRIM(MID(SUBSTITUTE($V54,";",REPT(" ",99)),595,99)))+1,99)),0) + IFERROR(VLOOKUP(LEFT(TRIM(MID(SUBSTITUTE($V54,";",REPT(" ",99)),694,99)),FIND(":",TRIM(MID(SUBSTITUTE($V54,";",REPT(" ",99)),694,99)))-1),Materiales!$A$2:$E$502,5,FALSE)*VALUE(MID(TRIM(MID(SUBSTITUTE($V54,";",REPT(" ",99)),694,99)),FIND(":",TRIM(MID(SUBSTITUTE($V54,";",REPT(" ",99)),694,99)))+1,99)),0) + IFERROR(VLOOKUP(LEFT(TRIM(MID(SUBSTITUTE($V54,";",REPT(" ",99)),793,99)),FIND(":",TRIM(MID(SUBSTITUTE($V54,";",REPT(" ",99)),793,99)))-1),Materiales!$A$2:$E$502,5,FALSE)*VALUE(MID(TRIM(MID(SUBSTITUTE($V54,";",REPT(" ",99)),793,99)),FIND(":",TRIM(MID(SUBSTITUTE($V54,";",REPT(" ",99)),793,99)))+1,99)),0) + IFERROR(VLOOKUP(LEFT(TRIM(MID(SUBSTITUTE($V54,";",REPT(" ",99)),892,99)),FIND(":",TRIM(MID(SUBSTITUTE($V54,";",REPT(" ",99)),892,99)))-1),Materiales!$A$2:$E$502,5,FALSE)*VALUE(MID(TRIM(MID(SUBSTITUTE($V54,";",REPT(" ",99)),892,99)),FIND(":",TRIM(MID(SUBSTITUTE($V54,";",REPT(" ",99)),892,99)))+1,99)),0)))</f>
        <v/>
      </c>
      <c r="X54" s="39" t="str">
        <f t="shared" si="13"/>
        <v/>
      </c>
      <c r="Y54" s="64"/>
      <c r="Z54" s="41"/>
      <c r="AA54" s="65"/>
      <c r="AB54" s="14"/>
      <c r="AC54" s="66"/>
      <c r="AD54" s="65"/>
      <c r="AE54" s="44">
        <f t="shared" si="17"/>
        <v>0</v>
      </c>
      <c r="AF54" s="45" t="str">
        <f t="shared" si="18"/>
        <v>#DIV/0!</v>
      </c>
    </row>
    <row r="55" ht="15.75" customHeight="1">
      <c r="A55" s="3"/>
      <c r="B55" s="3"/>
      <c r="C55" s="38"/>
      <c r="D55" s="38"/>
      <c r="E55" s="38"/>
      <c r="F55" s="14"/>
      <c r="G55" s="5" t="str">
        <f t="array" ref="G55">IF($A55="","",IFERROR($F55*(N($C55)*XLOOKUP($B55,Ceras!$A$2:$A$500,Ceras!$G$2:$G$500,0)+IF($D55="",0,N($E55)*XLOOKUP($D55,Ceras!$A$2:$A$500,Ceras!$G$2:$G$500,0))),"Revisar cera"))</f>
        <v/>
      </c>
      <c r="H55" s="5"/>
      <c r="I55" s="3"/>
      <c r="J55" s="14"/>
      <c r="K55" s="5" t="str">
        <f t="array" ref="K55">IF($A55="","",IFERROR($J55*XLOOKUP($I55,Pabilos!$A$2:$A$500,Pabilos!$H$2:$H$500,0),"Revisar pabilo"))</f>
        <v/>
      </c>
      <c r="L55" s="3"/>
      <c r="M55" s="14"/>
      <c r="N55" s="5" t="str">
        <f t="array" ref="N55">IF($A55="","",IFERROR($M55*XLOOKUP($L55,Esencias!$A$2:$A$501,Esencias!$G$2:$G$501,0),"Revisar esencia"))</f>
        <v/>
      </c>
      <c r="O55" s="3"/>
      <c r="P55" s="14"/>
      <c r="Q55" s="5" t="str">
        <f t="array" ref="Q55">IF($A55="","",IFERROR(IF($P55="",1,$P55)*XLOOKUP($O55,Colores!$A$2:$A$500,Colores!$H$2:$H$500,0),"Revisar color"))</f>
        <v/>
      </c>
      <c r="R55" s="3"/>
      <c r="S55" s="5" t="str">
        <f t="array" ref="S55">IF($A55="","",IF($R55="",0,IFERROR(VLOOKUP(LEFT(TRIM(MID(SUBSTITUTE($R55,";",REPT(" ",99)),1,99)),FIND(":",TRIM(MID(SUBSTITUTE($R55,";",REPT(" ",99)),1,99)))-1),Materiales!$A$2:$E$502,5,FALSE)*VALUE(MID(TRIM(MID(SUBSTITUTE($R55,";",REPT(" ",99)),1,99)),FIND(":",TRIM(MID(SUBSTITUTE($R55,";",REPT(" ",99)),1,99)))+1,99)),0) + IFERROR(VLOOKUP(LEFT(TRIM(MID(SUBSTITUTE($R55,";",REPT(" ",99)),100,99)),FIND(":",TRIM(MID(SUBSTITUTE($R55,";",REPT(" ",99)),100,99)))-1),Materiales!$A$2:$E$502,5,FALSE)*VALUE(MID(TRIM(MID(SUBSTITUTE($R55,";",REPT(" ",99)),100,99)),FIND(":",TRIM(MID(SUBSTITUTE($R55,";",REPT(" ",99)),100,99)))+1,99)),0) + IFERROR(VLOOKUP(LEFT(TRIM(MID(SUBSTITUTE($R55,";",REPT(" ",99)),199,99)),FIND(":",TRIM(MID(SUBSTITUTE($R55,";",REPT(" ",99)),199,99)))-1),Materiales!$A$2:$E$502,5,FALSE)*VALUE(MID(TRIM(MID(SUBSTITUTE($R55,";",REPT(" ",99)),199,99)),FIND(":",TRIM(MID(SUBSTITUTE($R55,";",REPT(" ",99)),199,99)))+1,99)),0) + IFERROR(VLOOKUP(LEFT(TRIM(MID(SUBSTITUTE($R55,";",REPT(" ",99)),298,99)),FIND(":",TRIM(MID(SUBSTITUTE($R55,";",REPT(" ",99)),298,99)))-1),Materiales!$A$2:$E$502,5,FALSE)*VALUE(MID(TRIM(MID(SUBSTITUTE($R55,";",REPT(" ",99)),298,99)),FIND(":",TRIM(MID(SUBSTITUTE($R55,";",REPT(" ",99)),298,99)))+1,99)),0) + IFERROR(VLOOKUP(LEFT(TRIM(MID(SUBSTITUTE($R55,";",REPT(" ",99)),397,99)),FIND(":",TRIM(MID(SUBSTITUTE($R55,";",REPT(" ",99)),397,99)))-1),Materiales!$A$2:$E$502,5,FALSE)*VALUE(MID(TRIM(MID(SUBSTITUTE($R55,";",REPT(" ",99)),397,99)),FIND(":",TRIM(MID(SUBSTITUTE($R55,";",REPT(" ",99)),397,99)))+1,99)),0) + IFERROR(VLOOKUP(LEFT(TRIM(MID(SUBSTITUTE($R55,";",REPT(" ",99)),496,99)),FIND(":",TRIM(MID(SUBSTITUTE($R55,";",REPT(" ",99)),496,99)))-1),Materiales!$A$2:$E$502,5,FALSE)*VALUE(MID(TRIM(MID(SUBSTITUTE($R55,";",REPT(" ",99)),496,99)),FIND(":",TRIM(MID(SUBSTITUTE($R55,";",REPT(" ",99)),496,99)))+1,99)),0) + IFERROR(VLOOKUP(LEFT(TRIM(MID(SUBSTITUTE($R55,";",REPT(" ",99)),595,99)),FIND(":",TRIM(MID(SUBSTITUTE($R55,";",REPT(" ",99)),595,99)))-1),Materiales!$A$2:$E$502,5,FALSE)*VALUE(MID(TRIM(MID(SUBSTITUTE($R55,";",REPT(" ",99)),595,99)),FIND(":",TRIM(MID(SUBSTITUTE($R55,";",REPT(" ",99)),595,99)))+1,99)),0) + IFERROR(VLOOKUP(LEFT(TRIM(MID(SUBSTITUTE($R55,";",REPT(" ",99)),694,99)),FIND(":",TRIM(MID(SUBSTITUTE($R55,";",REPT(" ",99)),694,99)))-1),Materiales!$A$2:$E$502,5,FALSE)*VALUE(MID(TRIM(MID(SUBSTITUTE($R55,";",REPT(" ",99)),694,99)),FIND(":",TRIM(MID(SUBSTITUTE($R55,";",REPT(" ",99)),694,99)))+1,99)),0) + IFERROR(VLOOKUP(LEFT(TRIM(MID(SUBSTITUTE($R55,";",REPT(" ",99)),793,99)),FIND(":",TRIM(MID(SUBSTITUTE($R55,";",REPT(" ",99)),793,99)))-1),Materiales!$A$2:$E$502,5,FALSE)*VALUE(MID(TRIM(MID(SUBSTITUTE($R55,";",REPT(" ",99)),793,99)),FIND(":",TRIM(MID(SUBSTITUTE($R55,";",REPT(" ",99)),793,99)))+1,99)),0) + IFERROR(VLOOKUP(LEFT(TRIM(MID(SUBSTITUTE($R55,";",REPT(" ",99)),892,99)),FIND(":",TRIM(MID(SUBSTITUTE($R55,";",REPT(" ",99)),892,99)))-1),Materiales!$A$2:$E$502,5,FALSE)*VALUE(MID(TRIM(MID(SUBSTITUTE($R55,";",REPT(" ",99)),892,99)),FIND(":",TRIM(MID(SUBSTITUTE($R55,";",REPT(" ",99)),892,99)))+1,99)),0)))</f>
        <v/>
      </c>
      <c r="T55" s="3"/>
      <c r="U55" s="5" t="str">
        <f t="array" ref="U55">IF($A55="","",IF($T55="",0,IFERROR(VLOOKUP(LEFT(TRIM(MID(SUBSTITUTE($T55,";",REPT(" ",99)),1,99)),FIND(":",TRIM(MID(SUBSTITUTE($T55,";",REPT(" ",99)),1,99)))-1),Materiales!$A$2:$E$502,5,FALSE)*VALUE(MID(TRIM(MID(SUBSTITUTE($T55,";",REPT(" ",99)),1,99)),FIND(":",TRIM(MID(SUBSTITUTE($T55,";",REPT(" ",99)),1,99)))+1,99)),0) + IFERROR(VLOOKUP(LEFT(TRIM(MID(SUBSTITUTE($T55,";",REPT(" ",99)),100,99)),FIND(":",TRIM(MID(SUBSTITUTE($T55,";",REPT(" ",99)),100,99)))-1),Materiales!$A$2:$E$502,5,FALSE)*VALUE(MID(TRIM(MID(SUBSTITUTE($T55,";",REPT(" ",99)),100,99)),FIND(":",TRIM(MID(SUBSTITUTE($T55,";",REPT(" ",99)),100,99)))+1,99)),0) + IFERROR(VLOOKUP(LEFT(TRIM(MID(SUBSTITUTE($T55,";",REPT(" ",99)),199,99)),FIND(":",TRIM(MID(SUBSTITUTE($T55,";",REPT(" ",99)),199,99)))-1),Materiales!$A$2:$E$502,5,FALSE)*VALUE(MID(TRIM(MID(SUBSTITUTE($T55,";",REPT(" ",99)),199,99)),FIND(":",TRIM(MID(SUBSTITUTE($T55,";",REPT(" ",99)),199,99)))+1,99)),0) + IFERROR(VLOOKUP(LEFT(TRIM(MID(SUBSTITUTE($T55,";",REPT(" ",99)),298,99)),FIND(":",TRIM(MID(SUBSTITUTE($T55,";",REPT(" ",99)),298,99)))-1),Materiales!$A$2:$E$502,5,FALSE)*VALUE(MID(TRIM(MID(SUBSTITUTE($T55,";",REPT(" ",99)),298,99)),FIND(":",TRIM(MID(SUBSTITUTE($T55,";",REPT(" ",99)),298,99)))+1,99)),0) + IFERROR(VLOOKUP(LEFT(TRIM(MID(SUBSTITUTE($T55,";",REPT(" ",99)),397,99)),FIND(":",TRIM(MID(SUBSTITUTE($T55,";",REPT(" ",99)),397,99)))-1),Materiales!$A$2:$E$502,5,FALSE)*VALUE(MID(TRIM(MID(SUBSTITUTE($T55,";",REPT(" ",99)),397,99)),FIND(":",TRIM(MID(SUBSTITUTE($T55,";",REPT(" ",99)),397,99)))+1,99)),0) + IFERROR(VLOOKUP(LEFT(TRIM(MID(SUBSTITUTE($T55,";",REPT(" ",99)),496,99)),FIND(":",TRIM(MID(SUBSTITUTE($T55,";",REPT(" ",99)),496,99)))-1),Materiales!$A$2:$E$502,5,FALSE)*VALUE(MID(TRIM(MID(SUBSTITUTE($T55,";",REPT(" ",99)),496,99)),FIND(":",TRIM(MID(SUBSTITUTE($T55,";",REPT(" ",99)),496,99)))+1,99)),0) + IFERROR(VLOOKUP(LEFT(TRIM(MID(SUBSTITUTE($T55,";",REPT(" ",99)),595,99)),FIND(":",TRIM(MID(SUBSTITUTE($T55,";",REPT(" ",99)),595,99)))-1),Materiales!$A$2:$E$502,5,FALSE)*VALUE(MID(TRIM(MID(SUBSTITUTE($T55,";",REPT(" ",99)),595,99)),FIND(":",TRIM(MID(SUBSTITUTE($T55,";",REPT(" ",99)),595,99)))+1,99)),0) + IFERROR(VLOOKUP(LEFT(TRIM(MID(SUBSTITUTE($T55,";",REPT(" ",99)),694,99)),FIND(":",TRIM(MID(SUBSTITUTE($T55,";",REPT(" ",99)),694,99)))-1),Materiales!$A$2:$E$502,5,FALSE)*VALUE(MID(TRIM(MID(SUBSTITUTE($T55,";",REPT(" ",99)),694,99)),FIND(":",TRIM(MID(SUBSTITUTE($T55,";",REPT(" ",99)),694,99)))+1,99)),0) + IFERROR(VLOOKUP(LEFT(TRIM(MID(SUBSTITUTE($T55,";",REPT(" ",99)),793,99)),FIND(":",TRIM(MID(SUBSTITUTE($T55,";",REPT(" ",99)),793,99)))-1),Materiales!$A$2:$E$502,5,FALSE)*VALUE(MID(TRIM(MID(SUBSTITUTE($T55,";",REPT(" ",99)),793,99)),FIND(":",TRIM(MID(SUBSTITUTE($T55,";",REPT(" ",99)),793,99)))+1,99)),0) + IFERROR(VLOOKUP(LEFT(TRIM(MID(SUBSTITUTE($T55,";",REPT(" ",99)),892,99)),FIND(":",TRIM(MID(SUBSTITUTE($T55,";",REPT(" ",99)),892,99)))-1),Materiales!$A$2:$E$502,5,FALSE)*VALUE(MID(TRIM(MID(SUBSTITUTE($T55,";",REPT(" ",99)),892,99)),FIND(":",TRIM(MID(SUBSTITUTE($T55,";",REPT(" ",99)),892,99)))+1,99)),0)))</f>
        <v/>
      </c>
      <c r="V55" s="3"/>
      <c r="W55" s="5" t="str">
        <f t="array" ref="W55">IF($A55="","",IF($V55="",0,IFERROR(VLOOKUP(LEFT(TRIM(MID(SUBSTITUTE($V55,";",REPT(" ",99)),1,99)),FIND(":",TRIM(MID(SUBSTITUTE($V55,";",REPT(" ",99)),1,99)))-1),Materiales!$A$2:$E$502,5,FALSE)*VALUE(MID(TRIM(MID(SUBSTITUTE($V55,";",REPT(" ",99)),1,99)),FIND(":",TRIM(MID(SUBSTITUTE($V55,";",REPT(" ",99)),1,99)))+1,99)),0) + IFERROR(VLOOKUP(LEFT(TRIM(MID(SUBSTITUTE($V55,";",REPT(" ",99)),100,99)),FIND(":",TRIM(MID(SUBSTITUTE($V55,";",REPT(" ",99)),100,99)))-1),Materiales!$A$2:$E$502,5,FALSE)*VALUE(MID(TRIM(MID(SUBSTITUTE($V55,";",REPT(" ",99)),100,99)),FIND(":",TRIM(MID(SUBSTITUTE($V55,";",REPT(" ",99)),100,99)))+1,99)),0) + IFERROR(VLOOKUP(LEFT(TRIM(MID(SUBSTITUTE($V55,";",REPT(" ",99)),199,99)),FIND(":",TRIM(MID(SUBSTITUTE($V55,";",REPT(" ",99)),199,99)))-1),Materiales!$A$2:$E$502,5,FALSE)*VALUE(MID(TRIM(MID(SUBSTITUTE($V55,";",REPT(" ",99)),199,99)),FIND(":",TRIM(MID(SUBSTITUTE($V55,";",REPT(" ",99)),199,99)))+1,99)),0) + IFERROR(VLOOKUP(LEFT(TRIM(MID(SUBSTITUTE($V55,";",REPT(" ",99)),298,99)),FIND(":",TRIM(MID(SUBSTITUTE($V55,";",REPT(" ",99)),298,99)))-1),Materiales!$A$2:$E$502,5,FALSE)*VALUE(MID(TRIM(MID(SUBSTITUTE($V55,";",REPT(" ",99)),298,99)),FIND(":",TRIM(MID(SUBSTITUTE($V55,";",REPT(" ",99)),298,99)))+1,99)),0) + IFERROR(VLOOKUP(LEFT(TRIM(MID(SUBSTITUTE($V55,";",REPT(" ",99)),397,99)),FIND(":",TRIM(MID(SUBSTITUTE($V55,";",REPT(" ",99)),397,99)))-1),Materiales!$A$2:$E$502,5,FALSE)*VALUE(MID(TRIM(MID(SUBSTITUTE($V55,";",REPT(" ",99)),397,99)),FIND(":",TRIM(MID(SUBSTITUTE($V55,";",REPT(" ",99)),397,99)))+1,99)),0) + IFERROR(VLOOKUP(LEFT(TRIM(MID(SUBSTITUTE($V55,";",REPT(" ",99)),496,99)),FIND(":",TRIM(MID(SUBSTITUTE($V55,";",REPT(" ",99)),496,99)))-1),Materiales!$A$2:$E$502,5,FALSE)*VALUE(MID(TRIM(MID(SUBSTITUTE($V55,";",REPT(" ",99)),496,99)),FIND(":",TRIM(MID(SUBSTITUTE($V55,";",REPT(" ",99)),496,99)))+1,99)),0) + IFERROR(VLOOKUP(LEFT(TRIM(MID(SUBSTITUTE($V55,";",REPT(" ",99)),595,99)),FIND(":",TRIM(MID(SUBSTITUTE($V55,";",REPT(" ",99)),595,99)))-1),Materiales!$A$2:$E$502,5,FALSE)*VALUE(MID(TRIM(MID(SUBSTITUTE($V55,";",REPT(" ",99)),595,99)),FIND(":",TRIM(MID(SUBSTITUTE($V55,";",REPT(" ",99)),595,99)))+1,99)),0) + IFERROR(VLOOKUP(LEFT(TRIM(MID(SUBSTITUTE($V55,";",REPT(" ",99)),694,99)),FIND(":",TRIM(MID(SUBSTITUTE($V55,";",REPT(" ",99)),694,99)))-1),Materiales!$A$2:$E$502,5,FALSE)*VALUE(MID(TRIM(MID(SUBSTITUTE($V55,";",REPT(" ",99)),694,99)),FIND(":",TRIM(MID(SUBSTITUTE($V55,";",REPT(" ",99)),694,99)))+1,99)),0) + IFERROR(VLOOKUP(LEFT(TRIM(MID(SUBSTITUTE($V55,";",REPT(" ",99)),793,99)),FIND(":",TRIM(MID(SUBSTITUTE($V55,";",REPT(" ",99)),793,99)))-1),Materiales!$A$2:$E$502,5,FALSE)*VALUE(MID(TRIM(MID(SUBSTITUTE($V55,";",REPT(" ",99)),793,99)),FIND(":",TRIM(MID(SUBSTITUTE($V55,";",REPT(" ",99)),793,99)))+1,99)),0) + IFERROR(VLOOKUP(LEFT(TRIM(MID(SUBSTITUTE($V55,";",REPT(" ",99)),892,99)),FIND(":",TRIM(MID(SUBSTITUTE($V55,";",REPT(" ",99)),892,99)))-1),Materiales!$A$2:$E$502,5,FALSE)*VALUE(MID(TRIM(MID(SUBSTITUTE($V55,";",REPT(" ",99)),892,99)),FIND(":",TRIM(MID(SUBSTITUTE($V55,";",REPT(" ",99)),892,99)))+1,99)),0)))</f>
        <v/>
      </c>
      <c r="X55" s="39" t="str">
        <f t="shared" si="13"/>
        <v/>
      </c>
      <c r="Y55" s="64"/>
      <c r="Z55" s="41"/>
      <c r="AA55" s="65"/>
      <c r="AB55" s="14"/>
      <c r="AC55" s="66"/>
      <c r="AD55" s="65"/>
      <c r="AE55" s="44">
        <f t="shared" si="17"/>
        <v>0</v>
      </c>
      <c r="AF55" s="45" t="str">
        <f t="shared" si="18"/>
        <v>#DIV/0!</v>
      </c>
    </row>
    <row r="56" ht="15.75" customHeight="1">
      <c r="A56" s="3"/>
      <c r="B56" s="3"/>
      <c r="C56" s="38"/>
      <c r="D56" s="38"/>
      <c r="E56" s="38"/>
      <c r="F56" s="14"/>
      <c r="G56" s="5" t="str">
        <f t="array" ref="G56">IF($A56="","",IFERROR($F56*(N($C56)*XLOOKUP($B56,Ceras!$A$2:$A$500,Ceras!$G$2:$G$500,0)+IF($D56="",0,N($E56)*XLOOKUP($D56,Ceras!$A$2:$A$500,Ceras!$G$2:$G$500,0))),"Revisar cera"))</f>
        <v/>
      </c>
      <c r="H56" s="5"/>
      <c r="I56" s="3"/>
      <c r="J56" s="14"/>
      <c r="K56" s="5" t="str">
        <f t="array" ref="K56">IF($A56="","",IFERROR($J56*XLOOKUP($I56,Pabilos!$A$2:$A$500,Pabilos!$H$2:$H$500,0),"Revisar pabilo"))</f>
        <v/>
      </c>
      <c r="L56" s="3"/>
      <c r="M56" s="14"/>
      <c r="N56" s="5" t="str">
        <f t="array" ref="N56">IF($A56="","",IFERROR($M56*XLOOKUP($L56,Esencias!$A$2:$A$501,Esencias!$G$2:$G$501,0),"Revisar esencia"))</f>
        <v/>
      </c>
      <c r="O56" s="3"/>
      <c r="P56" s="14"/>
      <c r="Q56" s="5" t="str">
        <f t="array" ref="Q56">IF($A56="","",IFERROR(IF($P56="",1,$P56)*XLOOKUP($O56,Colores!$A$2:$A$500,Colores!$H$2:$H$500,0),"Revisar color"))</f>
        <v/>
      </c>
      <c r="R56" s="3"/>
      <c r="S56" s="5" t="str">
        <f t="array" ref="S56">IF($A56="","",IF($R56="",0,IFERROR(VLOOKUP(LEFT(TRIM(MID(SUBSTITUTE($R56,";",REPT(" ",99)),1,99)),FIND(":",TRIM(MID(SUBSTITUTE($R56,";",REPT(" ",99)),1,99)))-1),Materiales!$A$2:$E$502,5,FALSE)*VALUE(MID(TRIM(MID(SUBSTITUTE($R56,";",REPT(" ",99)),1,99)),FIND(":",TRIM(MID(SUBSTITUTE($R56,";",REPT(" ",99)),1,99)))+1,99)),0) + IFERROR(VLOOKUP(LEFT(TRIM(MID(SUBSTITUTE($R56,";",REPT(" ",99)),100,99)),FIND(":",TRIM(MID(SUBSTITUTE($R56,";",REPT(" ",99)),100,99)))-1),Materiales!$A$2:$E$502,5,FALSE)*VALUE(MID(TRIM(MID(SUBSTITUTE($R56,";",REPT(" ",99)),100,99)),FIND(":",TRIM(MID(SUBSTITUTE($R56,";",REPT(" ",99)),100,99)))+1,99)),0) + IFERROR(VLOOKUP(LEFT(TRIM(MID(SUBSTITUTE($R56,";",REPT(" ",99)),199,99)),FIND(":",TRIM(MID(SUBSTITUTE($R56,";",REPT(" ",99)),199,99)))-1),Materiales!$A$2:$E$502,5,FALSE)*VALUE(MID(TRIM(MID(SUBSTITUTE($R56,";",REPT(" ",99)),199,99)),FIND(":",TRIM(MID(SUBSTITUTE($R56,";",REPT(" ",99)),199,99)))+1,99)),0) + IFERROR(VLOOKUP(LEFT(TRIM(MID(SUBSTITUTE($R56,";",REPT(" ",99)),298,99)),FIND(":",TRIM(MID(SUBSTITUTE($R56,";",REPT(" ",99)),298,99)))-1),Materiales!$A$2:$E$502,5,FALSE)*VALUE(MID(TRIM(MID(SUBSTITUTE($R56,";",REPT(" ",99)),298,99)),FIND(":",TRIM(MID(SUBSTITUTE($R56,";",REPT(" ",99)),298,99)))+1,99)),0) + IFERROR(VLOOKUP(LEFT(TRIM(MID(SUBSTITUTE($R56,";",REPT(" ",99)),397,99)),FIND(":",TRIM(MID(SUBSTITUTE($R56,";",REPT(" ",99)),397,99)))-1),Materiales!$A$2:$E$502,5,FALSE)*VALUE(MID(TRIM(MID(SUBSTITUTE($R56,";",REPT(" ",99)),397,99)),FIND(":",TRIM(MID(SUBSTITUTE($R56,";",REPT(" ",99)),397,99)))+1,99)),0) + IFERROR(VLOOKUP(LEFT(TRIM(MID(SUBSTITUTE($R56,";",REPT(" ",99)),496,99)),FIND(":",TRIM(MID(SUBSTITUTE($R56,";",REPT(" ",99)),496,99)))-1),Materiales!$A$2:$E$502,5,FALSE)*VALUE(MID(TRIM(MID(SUBSTITUTE($R56,";",REPT(" ",99)),496,99)),FIND(":",TRIM(MID(SUBSTITUTE($R56,";",REPT(" ",99)),496,99)))+1,99)),0) + IFERROR(VLOOKUP(LEFT(TRIM(MID(SUBSTITUTE($R56,";",REPT(" ",99)),595,99)),FIND(":",TRIM(MID(SUBSTITUTE($R56,";",REPT(" ",99)),595,99)))-1),Materiales!$A$2:$E$502,5,FALSE)*VALUE(MID(TRIM(MID(SUBSTITUTE($R56,";",REPT(" ",99)),595,99)),FIND(":",TRIM(MID(SUBSTITUTE($R56,";",REPT(" ",99)),595,99)))+1,99)),0) + IFERROR(VLOOKUP(LEFT(TRIM(MID(SUBSTITUTE($R56,";",REPT(" ",99)),694,99)),FIND(":",TRIM(MID(SUBSTITUTE($R56,";",REPT(" ",99)),694,99)))-1),Materiales!$A$2:$E$502,5,FALSE)*VALUE(MID(TRIM(MID(SUBSTITUTE($R56,";",REPT(" ",99)),694,99)),FIND(":",TRIM(MID(SUBSTITUTE($R56,";",REPT(" ",99)),694,99)))+1,99)),0) + IFERROR(VLOOKUP(LEFT(TRIM(MID(SUBSTITUTE($R56,";",REPT(" ",99)),793,99)),FIND(":",TRIM(MID(SUBSTITUTE($R56,";",REPT(" ",99)),793,99)))-1),Materiales!$A$2:$E$502,5,FALSE)*VALUE(MID(TRIM(MID(SUBSTITUTE($R56,";",REPT(" ",99)),793,99)),FIND(":",TRIM(MID(SUBSTITUTE($R56,";",REPT(" ",99)),793,99)))+1,99)),0) + IFERROR(VLOOKUP(LEFT(TRIM(MID(SUBSTITUTE($R56,";",REPT(" ",99)),892,99)),FIND(":",TRIM(MID(SUBSTITUTE($R56,";",REPT(" ",99)),892,99)))-1),Materiales!$A$2:$E$502,5,FALSE)*VALUE(MID(TRIM(MID(SUBSTITUTE($R56,";",REPT(" ",99)),892,99)),FIND(":",TRIM(MID(SUBSTITUTE($R56,";",REPT(" ",99)),892,99)))+1,99)),0)))</f>
        <v/>
      </c>
      <c r="T56" s="3"/>
      <c r="U56" s="5" t="str">
        <f t="array" ref="U56">IF($A56="","",IF($T56="",0,IFERROR(VLOOKUP(LEFT(TRIM(MID(SUBSTITUTE($T56,";",REPT(" ",99)),1,99)),FIND(":",TRIM(MID(SUBSTITUTE($T56,";",REPT(" ",99)),1,99)))-1),Materiales!$A$2:$E$502,5,FALSE)*VALUE(MID(TRIM(MID(SUBSTITUTE($T56,";",REPT(" ",99)),1,99)),FIND(":",TRIM(MID(SUBSTITUTE($T56,";",REPT(" ",99)),1,99)))+1,99)),0) + IFERROR(VLOOKUP(LEFT(TRIM(MID(SUBSTITUTE($T56,";",REPT(" ",99)),100,99)),FIND(":",TRIM(MID(SUBSTITUTE($T56,";",REPT(" ",99)),100,99)))-1),Materiales!$A$2:$E$502,5,FALSE)*VALUE(MID(TRIM(MID(SUBSTITUTE($T56,";",REPT(" ",99)),100,99)),FIND(":",TRIM(MID(SUBSTITUTE($T56,";",REPT(" ",99)),100,99)))+1,99)),0) + IFERROR(VLOOKUP(LEFT(TRIM(MID(SUBSTITUTE($T56,";",REPT(" ",99)),199,99)),FIND(":",TRIM(MID(SUBSTITUTE($T56,";",REPT(" ",99)),199,99)))-1),Materiales!$A$2:$E$502,5,FALSE)*VALUE(MID(TRIM(MID(SUBSTITUTE($T56,";",REPT(" ",99)),199,99)),FIND(":",TRIM(MID(SUBSTITUTE($T56,";",REPT(" ",99)),199,99)))+1,99)),0) + IFERROR(VLOOKUP(LEFT(TRIM(MID(SUBSTITUTE($T56,";",REPT(" ",99)),298,99)),FIND(":",TRIM(MID(SUBSTITUTE($T56,";",REPT(" ",99)),298,99)))-1),Materiales!$A$2:$E$502,5,FALSE)*VALUE(MID(TRIM(MID(SUBSTITUTE($T56,";",REPT(" ",99)),298,99)),FIND(":",TRIM(MID(SUBSTITUTE($T56,";",REPT(" ",99)),298,99)))+1,99)),0) + IFERROR(VLOOKUP(LEFT(TRIM(MID(SUBSTITUTE($T56,";",REPT(" ",99)),397,99)),FIND(":",TRIM(MID(SUBSTITUTE($T56,";",REPT(" ",99)),397,99)))-1),Materiales!$A$2:$E$502,5,FALSE)*VALUE(MID(TRIM(MID(SUBSTITUTE($T56,";",REPT(" ",99)),397,99)),FIND(":",TRIM(MID(SUBSTITUTE($T56,";",REPT(" ",99)),397,99)))+1,99)),0) + IFERROR(VLOOKUP(LEFT(TRIM(MID(SUBSTITUTE($T56,";",REPT(" ",99)),496,99)),FIND(":",TRIM(MID(SUBSTITUTE($T56,";",REPT(" ",99)),496,99)))-1),Materiales!$A$2:$E$502,5,FALSE)*VALUE(MID(TRIM(MID(SUBSTITUTE($T56,";",REPT(" ",99)),496,99)),FIND(":",TRIM(MID(SUBSTITUTE($T56,";",REPT(" ",99)),496,99)))+1,99)),0) + IFERROR(VLOOKUP(LEFT(TRIM(MID(SUBSTITUTE($T56,";",REPT(" ",99)),595,99)),FIND(":",TRIM(MID(SUBSTITUTE($T56,";",REPT(" ",99)),595,99)))-1),Materiales!$A$2:$E$502,5,FALSE)*VALUE(MID(TRIM(MID(SUBSTITUTE($T56,";",REPT(" ",99)),595,99)),FIND(":",TRIM(MID(SUBSTITUTE($T56,";",REPT(" ",99)),595,99)))+1,99)),0) + IFERROR(VLOOKUP(LEFT(TRIM(MID(SUBSTITUTE($T56,";",REPT(" ",99)),694,99)),FIND(":",TRIM(MID(SUBSTITUTE($T56,";",REPT(" ",99)),694,99)))-1),Materiales!$A$2:$E$502,5,FALSE)*VALUE(MID(TRIM(MID(SUBSTITUTE($T56,";",REPT(" ",99)),694,99)),FIND(":",TRIM(MID(SUBSTITUTE($T56,";",REPT(" ",99)),694,99)))+1,99)),0) + IFERROR(VLOOKUP(LEFT(TRIM(MID(SUBSTITUTE($T56,";",REPT(" ",99)),793,99)),FIND(":",TRIM(MID(SUBSTITUTE($T56,";",REPT(" ",99)),793,99)))-1),Materiales!$A$2:$E$502,5,FALSE)*VALUE(MID(TRIM(MID(SUBSTITUTE($T56,";",REPT(" ",99)),793,99)),FIND(":",TRIM(MID(SUBSTITUTE($T56,";",REPT(" ",99)),793,99)))+1,99)),0) + IFERROR(VLOOKUP(LEFT(TRIM(MID(SUBSTITUTE($T56,";",REPT(" ",99)),892,99)),FIND(":",TRIM(MID(SUBSTITUTE($T56,";",REPT(" ",99)),892,99)))-1),Materiales!$A$2:$E$502,5,FALSE)*VALUE(MID(TRIM(MID(SUBSTITUTE($T56,";",REPT(" ",99)),892,99)),FIND(":",TRIM(MID(SUBSTITUTE($T56,";",REPT(" ",99)),892,99)))+1,99)),0)))</f>
        <v/>
      </c>
      <c r="V56" s="3"/>
      <c r="W56" s="5" t="str">
        <f t="array" ref="W56">IF($A56="","",IF($V56="",0,IFERROR(VLOOKUP(LEFT(TRIM(MID(SUBSTITUTE($V56,";",REPT(" ",99)),1,99)),FIND(":",TRIM(MID(SUBSTITUTE($V56,";",REPT(" ",99)),1,99)))-1),Materiales!$A$2:$E$502,5,FALSE)*VALUE(MID(TRIM(MID(SUBSTITUTE($V56,";",REPT(" ",99)),1,99)),FIND(":",TRIM(MID(SUBSTITUTE($V56,";",REPT(" ",99)),1,99)))+1,99)),0) + IFERROR(VLOOKUP(LEFT(TRIM(MID(SUBSTITUTE($V56,";",REPT(" ",99)),100,99)),FIND(":",TRIM(MID(SUBSTITUTE($V56,";",REPT(" ",99)),100,99)))-1),Materiales!$A$2:$E$502,5,FALSE)*VALUE(MID(TRIM(MID(SUBSTITUTE($V56,";",REPT(" ",99)),100,99)),FIND(":",TRIM(MID(SUBSTITUTE($V56,";",REPT(" ",99)),100,99)))+1,99)),0) + IFERROR(VLOOKUP(LEFT(TRIM(MID(SUBSTITUTE($V56,";",REPT(" ",99)),199,99)),FIND(":",TRIM(MID(SUBSTITUTE($V56,";",REPT(" ",99)),199,99)))-1),Materiales!$A$2:$E$502,5,FALSE)*VALUE(MID(TRIM(MID(SUBSTITUTE($V56,";",REPT(" ",99)),199,99)),FIND(":",TRIM(MID(SUBSTITUTE($V56,";",REPT(" ",99)),199,99)))+1,99)),0) + IFERROR(VLOOKUP(LEFT(TRIM(MID(SUBSTITUTE($V56,";",REPT(" ",99)),298,99)),FIND(":",TRIM(MID(SUBSTITUTE($V56,";",REPT(" ",99)),298,99)))-1),Materiales!$A$2:$E$502,5,FALSE)*VALUE(MID(TRIM(MID(SUBSTITUTE($V56,";",REPT(" ",99)),298,99)),FIND(":",TRIM(MID(SUBSTITUTE($V56,";",REPT(" ",99)),298,99)))+1,99)),0) + IFERROR(VLOOKUP(LEFT(TRIM(MID(SUBSTITUTE($V56,";",REPT(" ",99)),397,99)),FIND(":",TRIM(MID(SUBSTITUTE($V56,";",REPT(" ",99)),397,99)))-1),Materiales!$A$2:$E$502,5,FALSE)*VALUE(MID(TRIM(MID(SUBSTITUTE($V56,";",REPT(" ",99)),397,99)),FIND(":",TRIM(MID(SUBSTITUTE($V56,";",REPT(" ",99)),397,99)))+1,99)),0) + IFERROR(VLOOKUP(LEFT(TRIM(MID(SUBSTITUTE($V56,";",REPT(" ",99)),496,99)),FIND(":",TRIM(MID(SUBSTITUTE($V56,";",REPT(" ",99)),496,99)))-1),Materiales!$A$2:$E$502,5,FALSE)*VALUE(MID(TRIM(MID(SUBSTITUTE($V56,";",REPT(" ",99)),496,99)),FIND(":",TRIM(MID(SUBSTITUTE($V56,";",REPT(" ",99)),496,99)))+1,99)),0) + IFERROR(VLOOKUP(LEFT(TRIM(MID(SUBSTITUTE($V56,";",REPT(" ",99)),595,99)),FIND(":",TRIM(MID(SUBSTITUTE($V56,";",REPT(" ",99)),595,99)))-1),Materiales!$A$2:$E$502,5,FALSE)*VALUE(MID(TRIM(MID(SUBSTITUTE($V56,";",REPT(" ",99)),595,99)),FIND(":",TRIM(MID(SUBSTITUTE($V56,";",REPT(" ",99)),595,99)))+1,99)),0) + IFERROR(VLOOKUP(LEFT(TRIM(MID(SUBSTITUTE($V56,";",REPT(" ",99)),694,99)),FIND(":",TRIM(MID(SUBSTITUTE($V56,";",REPT(" ",99)),694,99)))-1),Materiales!$A$2:$E$502,5,FALSE)*VALUE(MID(TRIM(MID(SUBSTITUTE($V56,";",REPT(" ",99)),694,99)),FIND(":",TRIM(MID(SUBSTITUTE($V56,";",REPT(" ",99)),694,99)))+1,99)),0) + IFERROR(VLOOKUP(LEFT(TRIM(MID(SUBSTITUTE($V56,";",REPT(" ",99)),793,99)),FIND(":",TRIM(MID(SUBSTITUTE($V56,";",REPT(" ",99)),793,99)))-1),Materiales!$A$2:$E$502,5,FALSE)*VALUE(MID(TRIM(MID(SUBSTITUTE($V56,";",REPT(" ",99)),793,99)),FIND(":",TRIM(MID(SUBSTITUTE($V56,";",REPT(" ",99)),793,99)))+1,99)),0) + IFERROR(VLOOKUP(LEFT(TRIM(MID(SUBSTITUTE($V56,";",REPT(" ",99)),892,99)),FIND(":",TRIM(MID(SUBSTITUTE($V56,";",REPT(" ",99)),892,99)))-1),Materiales!$A$2:$E$502,5,FALSE)*VALUE(MID(TRIM(MID(SUBSTITUTE($V56,";",REPT(" ",99)),892,99)),FIND(":",TRIM(MID(SUBSTITUTE($V56,";",REPT(" ",99)),892,99)))+1,99)),0)))</f>
        <v/>
      </c>
      <c r="X56" s="39" t="str">
        <f t="shared" si="13"/>
        <v/>
      </c>
      <c r="Y56" s="64"/>
      <c r="Z56" s="41"/>
      <c r="AA56" s="65"/>
      <c r="AB56" s="14"/>
      <c r="AC56" s="66"/>
      <c r="AD56" s="65"/>
      <c r="AE56" s="44">
        <f t="shared" si="17"/>
        <v>0</v>
      </c>
      <c r="AF56" s="45" t="str">
        <f t="shared" si="18"/>
        <v>#DIV/0!</v>
      </c>
    </row>
    <row r="57" ht="15.75" customHeight="1">
      <c r="A57" s="3"/>
      <c r="B57" s="3"/>
      <c r="C57" s="38"/>
      <c r="D57" s="38"/>
      <c r="E57" s="38"/>
      <c r="F57" s="14"/>
      <c r="G57" s="5" t="str">
        <f t="array" ref="G57">IF($A57="","",IFERROR($F57*(N($C57)*XLOOKUP($B57,Ceras!$A$2:$A$500,Ceras!$G$2:$G$500,0)+IF($D57="",0,N($E57)*XLOOKUP($D57,Ceras!$A$2:$A$500,Ceras!$G$2:$G$500,0))),"Revisar cera"))</f>
        <v/>
      </c>
      <c r="H57" s="5"/>
      <c r="I57" s="3"/>
      <c r="J57" s="14"/>
      <c r="K57" s="5" t="str">
        <f t="array" ref="K57">IF($A57="","",IFERROR($J57*XLOOKUP($I57,Pabilos!$A$2:$A$500,Pabilos!$H$2:$H$500,0),"Revisar pabilo"))</f>
        <v/>
      </c>
      <c r="L57" s="3"/>
      <c r="M57" s="14"/>
      <c r="N57" s="5" t="str">
        <f t="array" ref="N57">IF($A57="","",IFERROR($M57*XLOOKUP($L57,Esencias!$A$2:$A$501,Esencias!$G$2:$G$501,0),"Revisar esencia"))</f>
        <v/>
      </c>
      <c r="O57" s="3"/>
      <c r="P57" s="14"/>
      <c r="Q57" s="5" t="str">
        <f t="array" ref="Q57">IF($A57="","",IFERROR(IF($P57="",1,$P57)*XLOOKUP($O57,Colores!$A$2:$A$500,Colores!$H$2:$H$500,0),"Revisar color"))</f>
        <v/>
      </c>
      <c r="R57" s="3"/>
      <c r="S57" s="5" t="str">
        <f t="array" ref="S57">IF($A57="","",IF($R57="",0,IFERROR(VLOOKUP(LEFT(TRIM(MID(SUBSTITUTE($R57,";",REPT(" ",99)),1,99)),FIND(":",TRIM(MID(SUBSTITUTE($R57,";",REPT(" ",99)),1,99)))-1),Materiales!$A$2:$E$502,5,FALSE)*VALUE(MID(TRIM(MID(SUBSTITUTE($R57,";",REPT(" ",99)),1,99)),FIND(":",TRIM(MID(SUBSTITUTE($R57,";",REPT(" ",99)),1,99)))+1,99)),0) + IFERROR(VLOOKUP(LEFT(TRIM(MID(SUBSTITUTE($R57,";",REPT(" ",99)),100,99)),FIND(":",TRIM(MID(SUBSTITUTE($R57,";",REPT(" ",99)),100,99)))-1),Materiales!$A$2:$E$502,5,FALSE)*VALUE(MID(TRIM(MID(SUBSTITUTE($R57,";",REPT(" ",99)),100,99)),FIND(":",TRIM(MID(SUBSTITUTE($R57,";",REPT(" ",99)),100,99)))+1,99)),0) + IFERROR(VLOOKUP(LEFT(TRIM(MID(SUBSTITUTE($R57,";",REPT(" ",99)),199,99)),FIND(":",TRIM(MID(SUBSTITUTE($R57,";",REPT(" ",99)),199,99)))-1),Materiales!$A$2:$E$502,5,FALSE)*VALUE(MID(TRIM(MID(SUBSTITUTE($R57,";",REPT(" ",99)),199,99)),FIND(":",TRIM(MID(SUBSTITUTE($R57,";",REPT(" ",99)),199,99)))+1,99)),0) + IFERROR(VLOOKUP(LEFT(TRIM(MID(SUBSTITUTE($R57,";",REPT(" ",99)),298,99)),FIND(":",TRIM(MID(SUBSTITUTE($R57,";",REPT(" ",99)),298,99)))-1),Materiales!$A$2:$E$502,5,FALSE)*VALUE(MID(TRIM(MID(SUBSTITUTE($R57,";",REPT(" ",99)),298,99)),FIND(":",TRIM(MID(SUBSTITUTE($R57,";",REPT(" ",99)),298,99)))+1,99)),0) + IFERROR(VLOOKUP(LEFT(TRIM(MID(SUBSTITUTE($R57,";",REPT(" ",99)),397,99)),FIND(":",TRIM(MID(SUBSTITUTE($R57,";",REPT(" ",99)),397,99)))-1),Materiales!$A$2:$E$502,5,FALSE)*VALUE(MID(TRIM(MID(SUBSTITUTE($R57,";",REPT(" ",99)),397,99)),FIND(":",TRIM(MID(SUBSTITUTE($R57,";",REPT(" ",99)),397,99)))+1,99)),0) + IFERROR(VLOOKUP(LEFT(TRIM(MID(SUBSTITUTE($R57,";",REPT(" ",99)),496,99)),FIND(":",TRIM(MID(SUBSTITUTE($R57,";",REPT(" ",99)),496,99)))-1),Materiales!$A$2:$E$502,5,FALSE)*VALUE(MID(TRIM(MID(SUBSTITUTE($R57,";",REPT(" ",99)),496,99)),FIND(":",TRIM(MID(SUBSTITUTE($R57,";",REPT(" ",99)),496,99)))+1,99)),0) + IFERROR(VLOOKUP(LEFT(TRIM(MID(SUBSTITUTE($R57,";",REPT(" ",99)),595,99)),FIND(":",TRIM(MID(SUBSTITUTE($R57,";",REPT(" ",99)),595,99)))-1),Materiales!$A$2:$E$502,5,FALSE)*VALUE(MID(TRIM(MID(SUBSTITUTE($R57,";",REPT(" ",99)),595,99)),FIND(":",TRIM(MID(SUBSTITUTE($R57,";",REPT(" ",99)),595,99)))+1,99)),0) + IFERROR(VLOOKUP(LEFT(TRIM(MID(SUBSTITUTE($R57,";",REPT(" ",99)),694,99)),FIND(":",TRIM(MID(SUBSTITUTE($R57,";",REPT(" ",99)),694,99)))-1),Materiales!$A$2:$E$502,5,FALSE)*VALUE(MID(TRIM(MID(SUBSTITUTE($R57,";",REPT(" ",99)),694,99)),FIND(":",TRIM(MID(SUBSTITUTE($R57,";",REPT(" ",99)),694,99)))+1,99)),0) + IFERROR(VLOOKUP(LEFT(TRIM(MID(SUBSTITUTE($R57,";",REPT(" ",99)),793,99)),FIND(":",TRIM(MID(SUBSTITUTE($R57,";",REPT(" ",99)),793,99)))-1),Materiales!$A$2:$E$502,5,FALSE)*VALUE(MID(TRIM(MID(SUBSTITUTE($R57,";",REPT(" ",99)),793,99)),FIND(":",TRIM(MID(SUBSTITUTE($R57,";",REPT(" ",99)),793,99)))+1,99)),0) + IFERROR(VLOOKUP(LEFT(TRIM(MID(SUBSTITUTE($R57,";",REPT(" ",99)),892,99)),FIND(":",TRIM(MID(SUBSTITUTE($R57,";",REPT(" ",99)),892,99)))-1),Materiales!$A$2:$E$502,5,FALSE)*VALUE(MID(TRIM(MID(SUBSTITUTE($R57,";",REPT(" ",99)),892,99)),FIND(":",TRIM(MID(SUBSTITUTE($R57,";",REPT(" ",99)),892,99)))+1,99)),0)))</f>
        <v/>
      </c>
      <c r="T57" s="3"/>
      <c r="U57" s="5" t="str">
        <f t="array" ref="U57">IF($A57="","",IF($T57="",0,IFERROR(VLOOKUP(LEFT(TRIM(MID(SUBSTITUTE($T57,";",REPT(" ",99)),1,99)),FIND(":",TRIM(MID(SUBSTITUTE($T57,";",REPT(" ",99)),1,99)))-1),Materiales!$A$2:$E$502,5,FALSE)*VALUE(MID(TRIM(MID(SUBSTITUTE($T57,";",REPT(" ",99)),1,99)),FIND(":",TRIM(MID(SUBSTITUTE($T57,";",REPT(" ",99)),1,99)))+1,99)),0) + IFERROR(VLOOKUP(LEFT(TRIM(MID(SUBSTITUTE($T57,";",REPT(" ",99)),100,99)),FIND(":",TRIM(MID(SUBSTITUTE($T57,";",REPT(" ",99)),100,99)))-1),Materiales!$A$2:$E$502,5,FALSE)*VALUE(MID(TRIM(MID(SUBSTITUTE($T57,";",REPT(" ",99)),100,99)),FIND(":",TRIM(MID(SUBSTITUTE($T57,";",REPT(" ",99)),100,99)))+1,99)),0) + IFERROR(VLOOKUP(LEFT(TRIM(MID(SUBSTITUTE($T57,";",REPT(" ",99)),199,99)),FIND(":",TRIM(MID(SUBSTITUTE($T57,";",REPT(" ",99)),199,99)))-1),Materiales!$A$2:$E$502,5,FALSE)*VALUE(MID(TRIM(MID(SUBSTITUTE($T57,";",REPT(" ",99)),199,99)),FIND(":",TRIM(MID(SUBSTITUTE($T57,";",REPT(" ",99)),199,99)))+1,99)),0) + IFERROR(VLOOKUP(LEFT(TRIM(MID(SUBSTITUTE($T57,";",REPT(" ",99)),298,99)),FIND(":",TRIM(MID(SUBSTITUTE($T57,";",REPT(" ",99)),298,99)))-1),Materiales!$A$2:$E$502,5,FALSE)*VALUE(MID(TRIM(MID(SUBSTITUTE($T57,";",REPT(" ",99)),298,99)),FIND(":",TRIM(MID(SUBSTITUTE($T57,";",REPT(" ",99)),298,99)))+1,99)),0) + IFERROR(VLOOKUP(LEFT(TRIM(MID(SUBSTITUTE($T57,";",REPT(" ",99)),397,99)),FIND(":",TRIM(MID(SUBSTITUTE($T57,";",REPT(" ",99)),397,99)))-1),Materiales!$A$2:$E$502,5,FALSE)*VALUE(MID(TRIM(MID(SUBSTITUTE($T57,";",REPT(" ",99)),397,99)),FIND(":",TRIM(MID(SUBSTITUTE($T57,";",REPT(" ",99)),397,99)))+1,99)),0) + IFERROR(VLOOKUP(LEFT(TRIM(MID(SUBSTITUTE($T57,";",REPT(" ",99)),496,99)),FIND(":",TRIM(MID(SUBSTITUTE($T57,";",REPT(" ",99)),496,99)))-1),Materiales!$A$2:$E$502,5,FALSE)*VALUE(MID(TRIM(MID(SUBSTITUTE($T57,";",REPT(" ",99)),496,99)),FIND(":",TRIM(MID(SUBSTITUTE($T57,";",REPT(" ",99)),496,99)))+1,99)),0) + IFERROR(VLOOKUP(LEFT(TRIM(MID(SUBSTITUTE($T57,";",REPT(" ",99)),595,99)),FIND(":",TRIM(MID(SUBSTITUTE($T57,";",REPT(" ",99)),595,99)))-1),Materiales!$A$2:$E$502,5,FALSE)*VALUE(MID(TRIM(MID(SUBSTITUTE($T57,";",REPT(" ",99)),595,99)),FIND(":",TRIM(MID(SUBSTITUTE($T57,";",REPT(" ",99)),595,99)))+1,99)),0) + IFERROR(VLOOKUP(LEFT(TRIM(MID(SUBSTITUTE($T57,";",REPT(" ",99)),694,99)),FIND(":",TRIM(MID(SUBSTITUTE($T57,";",REPT(" ",99)),694,99)))-1),Materiales!$A$2:$E$502,5,FALSE)*VALUE(MID(TRIM(MID(SUBSTITUTE($T57,";",REPT(" ",99)),694,99)),FIND(":",TRIM(MID(SUBSTITUTE($T57,";",REPT(" ",99)),694,99)))+1,99)),0) + IFERROR(VLOOKUP(LEFT(TRIM(MID(SUBSTITUTE($T57,";",REPT(" ",99)),793,99)),FIND(":",TRIM(MID(SUBSTITUTE($T57,";",REPT(" ",99)),793,99)))-1),Materiales!$A$2:$E$502,5,FALSE)*VALUE(MID(TRIM(MID(SUBSTITUTE($T57,";",REPT(" ",99)),793,99)),FIND(":",TRIM(MID(SUBSTITUTE($T57,";",REPT(" ",99)),793,99)))+1,99)),0) + IFERROR(VLOOKUP(LEFT(TRIM(MID(SUBSTITUTE($T57,";",REPT(" ",99)),892,99)),FIND(":",TRIM(MID(SUBSTITUTE($T57,";",REPT(" ",99)),892,99)))-1),Materiales!$A$2:$E$502,5,FALSE)*VALUE(MID(TRIM(MID(SUBSTITUTE($T57,";",REPT(" ",99)),892,99)),FIND(":",TRIM(MID(SUBSTITUTE($T57,";",REPT(" ",99)),892,99)))+1,99)),0)))</f>
        <v/>
      </c>
      <c r="V57" s="3"/>
      <c r="W57" s="5" t="str">
        <f t="array" ref="W57">IF($A57="","",IF($V57="",0,IFERROR(VLOOKUP(LEFT(TRIM(MID(SUBSTITUTE($V57,";",REPT(" ",99)),1,99)),FIND(":",TRIM(MID(SUBSTITUTE($V57,";",REPT(" ",99)),1,99)))-1),Materiales!$A$2:$E$502,5,FALSE)*VALUE(MID(TRIM(MID(SUBSTITUTE($V57,";",REPT(" ",99)),1,99)),FIND(":",TRIM(MID(SUBSTITUTE($V57,";",REPT(" ",99)),1,99)))+1,99)),0) + IFERROR(VLOOKUP(LEFT(TRIM(MID(SUBSTITUTE($V57,";",REPT(" ",99)),100,99)),FIND(":",TRIM(MID(SUBSTITUTE($V57,";",REPT(" ",99)),100,99)))-1),Materiales!$A$2:$E$502,5,FALSE)*VALUE(MID(TRIM(MID(SUBSTITUTE($V57,";",REPT(" ",99)),100,99)),FIND(":",TRIM(MID(SUBSTITUTE($V57,";",REPT(" ",99)),100,99)))+1,99)),0) + IFERROR(VLOOKUP(LEFT(TRIM(MID(SUBSTITUTE($V57,";",REPT(" ",99)),199,99)),FIND(":",TRIM(MID(SUBSTITUTE($V57,";",REPT(" ",99)),199,99)))-1),Materiales!$A$2:$E$502,5,FALSE)*VALUE(MID(TRIM(MID(SUBSTITUTE($V57,";",REPT(" ",99)),199,99)),FIND(":",TRIM(MID(SUBSTITUTE($V57,";",REPT(" ",99)),199,99)))+1,99)),0) + IFERROR(VLOOKUP(LEFT(TRIM(MID(SUBSTITUTE($V57,";",REPT(" ",99)),298,99)),FIND(":",TRIM(MID(SUBSTITUTE($V57,";",REPT(" ",99)),298,99)))-1),Materiales!$A$2:$E$502,5,FALSE)*VALUE(MID(TRIM(MID(SUBSTITUTE($V57,";",REPT(" ",99)),298,99)),FIND(":",TRIM(MID(SUBSTITUTE($V57,";",REPT(" ",99)),298,99)))+1,99)),0) + IFERROR(VLOOKUP(LEFT(TRIM(MID(SUBSTITUTE($V57,";",REPT(" ",99)),397,99)),FIND(":",TRIM(MID(SUBSTITUTE($V57,";",REPT(" ",99)),397,99)))-1),Materiales!$A$2:$E$502,5,FALSE)*VALUE(MID(TRIM(MID(SUBSTITUTE($V57,";",REPT(" ",99)),397,99)),FIND(":",TRIM(MID(SUBSTITUTE($V57,";",REPT(" ",99)),397,99)))+1,99)),0) + IFERROR(VLOOKUP(LEFT(TRIM(MID(SUBSTITUTE($V57,";",REPT(" ",99)),496,99)),FIND(":",TRIM(MID(SUBSTITUTE($V57,";",REPT(" ",99)),496,99)))-1),Materiales!$A$2:$E$502,5,FALSE)*VALUE(MID(TRIM(MID(SUBSTITUTE($V57,";",REPT(" ",99)),496,99)),FIND(":",TRIM(MID(SUBSTITUTE($V57,";",REPT(" ",99)),496,99)))+1,99)),0) + IFERROR(VLOOKUP(LEFT(TRIM(MID(SUBSTITUTE($V57,";",REPT(" ",99)),595,99)),FIND(":",TRIM(MID(SUBSTITUTE($V57,";",REPT(" ",99)),595,99)))-1),Materiales!$A$2:$E$502,5,FALSE)*VALUE(MID(TRIM(MID(SUBSTITUTE($V57,";",REPT(" ",99)),595,99)),FIND(":",TRIM(MID(SUBSTITUTE($V57,";",REPT(" ",99)),595,99)))+1,99)),0) + IFERROR(VLOOKUP(LEFT(TRIM(MID(SUBSTITUTE($V57,";",REPT(" ",99)),694,99)),FIND(":",TRIM(MID(SUBSTITUTE($V57,";",REPT(" ",99)),694,99)))-1),Materiales!$A$2:$E$502,5,FALSE)*VALUE(MID(TRIM(MID(SUBSTITUTE($V57,";",REPT(" ",99)),694,99)),FIND(":",TRIM(MID(SUBSTITUTE($V57,";",REPT(" ",99)),694,99)))+1,99)),0) + IFERROR(VLOOKUP(LEFT(TRIM(MID(SUBSTITUTE($V57,";",REPT(" ",99)),793,99)),FIND(":",TRIM(MID(SUBSTITUTE($V57,";",REPT(" ",99)),793,99)))-1),Materiales!$A$2:$E$502,5,FALSE)*VALUE(MID(TRIM(MID(SUBSTITUTE($V57,";",REPT(" ",99)),793,99)),FIND(":",TRIM(MID(SUBSTITUTE($V57,";",REPT(" ",99)),793,99)))+1,99)),0) + IFERROR(VLOOKUP(LEFT(TRIM(MID(SUBSTITUTE($V57,";",REPT(" ",99)),892,99)),FIND(":",TRIM(MID(SUBSTITUTE($V57,";",REPT(" ",99)),892,99)))-1),Materiales!$A$2:$E$502,5,FALSE)*VALUE(MID(TRIM(MID(SUBSTITUTE($V57,";",REPT(" ",99)),892,99)),FIND(":",TRIM(MID(SUBSTITUTE($V57,";",REPT(" ",99)),892,99)))+1,99)),0)))</f>
        <v/>
      </c>
      <c r="X57" s="39" t="str">
        <f t="shared" si="13"/>
        <v/>
      </c>
      <c r="Y57" s="64"/>
      <c r="Z57" s="41"/>
      <c r="AA57" s="65"/>
      <c r="AB57" s="14"/>
      <c r="AC57" s="66"/>
      <c r="AD57" s="65"/>
      <c r="AE57" s="44">
        <f t="shared" si="17"/>
        <v>0</v>
      </c>
      <c r="AF57" s="45" t="str">
        <f t="shared" si="18"/>
        <v>#DIV/0!</v>
      </c>
    </row>
    <row r="58" ht="15.75" customHeight="1">
      <c r="A58" s="3"/>
      <c r="B58" s="3"/>
      <c r="C58" s="38"/>
      <c r="D58" s="38"/>
      <c r="E58" s="38"/>
      <c r="F58" s="14"/>
      <c r="G58" s="5" t="str">
        <f t="array" ref="G58">IF($A58="","",IFERROR($F58*(N($C58)*XLOOKUP($B58,Ceras!$A$2:$A$500,Ceras!$G$2:$G$500,0)+IF($D58="",0,N($E58)*XLOOKUP($D58,Ceras!$A$2:$A$500,Ceras!$G$2:$G$500,0))),"Revisar cera"))</f>
        <v/>
      </c>
      <c r="H58" s="5"/>
      <c r="I58" s="3"/>
      <c r="J58" s="14"/>
      <c r="K58" s="5" t="str">
        <f t="array" ref="K58">IF($A58="","",IFERROR($J58*XLOOKUP($I58,Pabilos!$A$2:$A$500,Pabilos!$H$2:$H$500,0),"Revisar pabilo"))</f>
        <v/>
      </c>
      <c r="L58" s="3"/>
      <c r="M58" s="14"/>
      <c r="N58" s="5" t="str">
        <f t="array" ref="N58">IF($A58="","",IFERROR($M58*XLOOKUP($L58,Esencias!$A$2:$A$501,Esencias!$G$2:$G$501,0),"Revisar esencia"))</f>
        <v/>
      </c>
      <c r="O58" s="3"/>
      <c r="P58" s="14"/>
      <c r="Q58" s="5" t="str">
        <f t="array" ref="Q58">IF($A58="","",IFERROR(IF($P58="",1,$P58)*XLOOKUP($O58,Colores!$A$2:$A$500,Colores!$H$2:$H$500,0),"Revisar color"))</f>
        <v/>
      </c>
      <c r="R58" s="3"/>
      <c r="S58" s="5" t="str">
        <f t="array" ref="S58">IF($A58="","",IF($R58="",0,IFERROR(VLOOKUP(LEFT(TRIM(MID(SUBSTITUTE($R58,";",REPT(" ",99)),1,99)),FIND(":",TRIM(MID(SUBSTITUTE($R58,";",REPT(" ",99)),1,99)))-1),Materiales!$A$2:$E$502,5,FALSE)*VALUE(MID(TRIM(MID(SUBSTITUTE($R58,";",REPT(" ",99)),1,99)),FIND(":",TRIM(MID(SUBSTITUTE($R58,";",REPT(" ",99)),1,99)))+1,99)),0) + IFERROR(VLOOKUP(LEFT(TRIM(MID(SUBSTITUTE($R58,";",REPT(" ",99)),100,99)),FIND(":",TRIM(MID(SUBSTITUTE($R58,";",REPT(" ",99)),100,99)))-1),Materiales!$A$2:$E$502,5,FALSE)*VALUE(MID(TRIM(MID(SUBSTITUTE($R58,";",REPT(" ",99)),100,99)),FIND(":",TRIM(MID(SUBSTITUTE($R58,";",REPT(" ",99)),100,99)))+1,99)),0) + IFERROR(VLOOKUP(LEFT(TRIM(MID(SUBSTITUTE($R58,";",REPT(" ",99)),199,99)),FIND(":",TRIM(MID(SUBSTITUTE($R58,";",REPT(" ",99)),199,99)))-1),Materiales!$A$2:$E$502,5,FALSE)*VALUE(MID(TRIM(MID(SUBSTITUTE($R58,";",REPT(" ",99)),199,99)),FIND(":",TRIM(MID(SUBSTITUTE($R58,";",REPT(" ",99)),199,99)))+1,99)),0) + IFERROR(VLOOKUP(LEFT(TRIM(MID(SUBSTITUTE($R58,";",REPT(" ",99)),298,99)),FIND(":",TRIM(MID(SUBSTITUTE($R58,";",REPT(" ",99)),298,99)))-1),Materiales!$A$2:$E$502,5,FALSE)*VALUE(MID(TRIM(MID(SUBSTITUTE($R58,";",REPT(" ",99)),298,99)),FIND(":",TRIM(MID(SUBSTITUTE($R58,";",REPT(" ",99)),298,99)))+1,99)),0) + IFERROR(VLOOKUP(LEFT(TRIM(MID(SUBSTITUTE($R58,";",REPT(" ",99)),397,99)),FIND(":",TRIM(MID(SUBSTITUTE($R58,";",REPT(" ",99)),397,99)))-1),Materiales!$A$2:$E$502,5,FALSE)*VALUE(MID(TRIM(MID(SUBSTITUTE($R58,";",REPT(" ",99)),397,99)),FIND(":",TRIM(MID(SUBSTITUTE($R58,";",REPT(" ",99)),397,99)))+1,99)),0) + IFERROR(VLOOKUP(LEFT(TRIM(MID(SUBSTITUTE($R58,";",REPT(" ",99)),496,99)),FIND(":",TRIM(MID(SUBSTITUTE($R58,";",REPT(" ",99)),496,99)))-1),Materiales!$A$2:$E$502,5,FALSE)*VALUE(MID(TRIM(MID(SUBSTITUTE($R58,";",REPT(" ",99)),496,99)),FIND(":",TRIM(MID(SUBSTITUTE($R58,";",REPT(" ",99)),496,99)))+1,99)),0) + IFERROR(VLOOKUP(LEFT(TRIM(MID(SUBSTITUTE($R58,";",REPT(" ",99)),595,99)),FIND(":",TRIM(MID(SUBSTITUTE($R58,";",REPT(" ",99)),595,99)))-1),Materiales!$A$2:$E$502,5,FALSE)*VALUE(MID(TRIM(MID(SUBSTITUTE($R58,";",REPT(" ",99)),595,99)),FIND(":",TRIM(MID(SUBSTITUTE($R58,";",REPT(" ",99)),595,99)))+1,99)),0) + IFERROR(VLOOKUP(LEFT(TRIM(MID(SUBSTITUTE($R58,";",REPT(" ",99)),694,99)),FIND(":",TRIM(MID(SUBSTITUTE($R58,";",REPT(" ",99)),694,99)))-1),Materiales!$A$2:$E$502,5,FALSE)*VALUE(MID(TRIM(MID(SUBSTITUTE($R58,";",REPT(" ",99)),694,99)),FIND(":",TRIM(MID(SUBSTITUTE($R58,";",REPT(" ",99)),694,99)))+1,99)),0) + IFERROR(VLOOKUP(LEFT(TRIM(MID(SUBSTITUTE($R58,";",REPT(" ",99)),793,99)),FIND(":",TRIM(MID(SUBSTITUTE($R58,";",REPT(" ",99)),793,99)))-1),Materiales!$A$2:$E$502,5,FALSE)*VALUE(MID(TRIM(MID(SUBSTITUTE($R58,";",REPT(" ",99)),793,99)),FIND(":",TRIM(MID(SUBSTITUTE($R58,";",REPT(" ",99)),793,99)))+1,99)),0) + IFERROR(VLOOKUP(LEFT(TRIM(MID(SUBSTITUTE($R58,";",REPT(" ",99)),892,99)),FIND(":",TRIM(MID(SUBSTITUTE($R58,";",REPT(" ",99)),892,99)))-1),Materiales!$A$2:$E$502,5,FALSE)*VALUE(MID(TRIM(MID(SUBSTITUTE($R58,";",REPT(" ",99)),892,99)),FIND(":",TRIM(MID(SUBSTITUTE($R58,";",REPT(" ",99)),892,99)))+1,99)),0)))</f>
        <v/>
      </c>
      <c r="T58" s="3"/>
      <c r="U58" s="5" t="str">
        <f t="array" ref="U58">IF($A58="","",IF($T58="",0,IFERROR(VLOOKUP(LEFT(TRIM(MID(SUBSTITUTE($T58,";",REPT(" ",99)),1,99)),FIND(":",TRIM(MID(SUBSTITUTE($T58,";",REPT(" ",99)),1,99)))-1),Materiales!$A$2:$E$502,5,FALSE)*VALUE(MID(TRIM(MID(SUBSTITUTE($T58,";",REPT(" ",99)),1,99)),FIND(":",TRIM(MID(SUBSTITUTE($T58,";",REPT(" ",99)),1,99)))+1,99)),0) + IFERROR(VLOOKUP(LEFT(TRIM(MID(SUBSTITUTE($T58,";",REPT(" ",99)),100,99)),FIND(":",TRIM(MID(SUBSTITUTE($T58,";",REPT(" ",99)),100,99)))-1),Materiales!$A$2:$E$502,5,FALSE)*VALUE(MID(TRIM(MID(SUBSTITUTE($T58,";",REPT(" ",99)),100,99)),FIND(":",TRIM(MID(SUBSTITUTE($T58,";",REPT(" ",99)),100,99)))+1,99)),0) + IFERROR(VLOOKUP(LEFT(TRIM(MID(SUBSTITUTE($T58,";",REPT(" ",99)),199,99)),FIND(":",TRIM(MID(SUBSTITUTE($T58,";",REPT(" ",99)),199,99)))-1),Materiales!$A$2:$E$502,5,FALSE)*VALUE(MID(TRIM(MID(SUBSTITUTE($T58,";",REPT(" ",99)),199,99)),FIND(":",TRIM(MID(SUBSTITUTE($T58,";",REPT(" ",99)),199,99)))+1,99)),0) + IFERROR(VLOOKUP(LEFT(TRIM(MID(SUBSTITUTE($T58,";",REPT(" ",99)),298,99)),FIND(":",TRIM(MID(SUBSTITUTE($T58,";",REPT(" ",99)),298,99)))-1),Materiales!$A$2:$E$502,5,FALSE)*VALUE(MID(TRIM(MID(SUBSTITUTE($T58,";",REPT(" ",99)),298,99)),FIND(":",TRIM(MID(SUBSTITUTE($T58,";",REPT(" ",99)),298,99)))+1,99)),0) + IFERROR(VLOOKUP(LEFT(TRIM(MID(SUBSTITUTE($T58,";",REPT(" ",99)),397,99)),FIND(":",TRIM(MID(SUBSTITUTE($T58,";",REPT(" ",99)),397,99)))-1),Materiales!$A$2:$E$502,5,FALSE)*VALUE(MID(TRIM(MID(SUBSTITUTE($T58,";",REPT(" ",99)),397,99)),FIND(":",TRIM(MID(SUBSTITUTE($T58,";",REPT(" ",99)),397,99)))+1,99)),0) + IFERROR(VLOOKUP(LEFT(TRIM(MID(SUBSTITUTE($T58,";",REPT(" ",99)),496,99)),FIND(":",TRIM(MID(SUBSTITUTE($T58,";",REPT(" ",99)),496,99)))-1),Materiales!$A$2:$E$502,5,FALSE)*VALUE(MID(TRIM(MID(SUBSTITUTE($T58,";",REPT(" ",99)),496,99)),FIND(":",TRIM(MID(SUBSTITUTE($T58,";",REPT(" ",99)),496,99)))+1,99)),0) + IFERROR(VLOOKUP(LEFT(TRIM(MID(SUBSTITUTE($T58,";",REPT(" ",99)),595,99)),FIND(":",TRIM(MID(SUBSTITUTE($T58,";",REPT(" ",99)),595,99)))-1),Materiales!$A$2:$E$502,5,FALSE)*VALUE(MID(TRIM(MID(SUBSTITUTE($T58,";",REPT(" ",99)),595,99)),FIND(":",TRIM(MID(SUBSTITUTE($T58,";",REPT(" ",99)),595,99)))+1,99)),0) + IFERROR(VLOOKUP(LEFT(TRIM(MID(SUBSTITUTE($T58,";",REPT(" ",99)),694,99)),FIND(":",TRIM(MID(SUBSTITUTE($T58,";",REPT(" ",99)),694,99)))-1),Materiales!$A$2:$E$502,5,FALSE)*VALUE(MID(TRIM(MID(SUBSTITUTE($T58,";",REPT(" ",99)),694,99)),FIND(":",TRIM(MID(SUBSTITUTE($T58,";",REPT(" ",99)),694,99)))+1,99)),0) + IFERROR(VLOOKUP(LEFT(TRIM(MID(SUBSTITUTE($T58,";",REPT(" ",99)),793,99)),FIND(":",TRIM(MID(SUBSTITUTE($T58,";",REPT(" ",99)),793,99)))-1),Materiales!$A$2:$E$502,5,FALSE)*VALUE(MID(TRIM(MID(SUBSTITUTE($T58,";",REPT(" ",99)),793,99)),FIND(":",TRIM(MID(SUBSTITUTE($T58,";",REPT(" ",99)),793,99)))+1,99)),0) + IFERROR(VLOOKUP(LEFT(TRIM(MID(SUBSTITUTE($T58,";",REPT(" ",99)),892,99)),FIND(":",TRIM(MID(SUBSTITUTE($T58,";",REPT(" ",99)),892,99)))-1),Materiales!$A$2:$E$502,5,FALSE)*VALUE(MID(TRIM(MID(SUBSTITUTE($T58,";",REPT(" ",99)),892,99)),FIND(":",TRIM(MID(SUBSTITUTE($T58,";",REPT(" ",99)),892,99)))+1,99)),0)))</f>
        <v/>
      </c>
      <c r="V58" s="3"/>
      <c r="W58" s="5" t="str">
        <f t="array" ref="W58">IF($A58="","",IF($V58="",0,IFERROR(VLOOKUP(LEFT(TRIM(MID(SUBSTITUTE($V58,";",REPT(" ",99)),1,99)),FIND(":",TRIM(MID(SUBSTITUTE($V58,";",REPT(" ",99)),1,99)))-1),Materiales!$A$2:$E$502,5,FALSE)*VALUE(MID(TRIM(MID(SUBSTITUTE($V58,";",REPT(" ",99)),1,99)),FIND(":",TRIM(MID(SUBSTITUTE($V58,";",REPT(" ",99)),1,99)))+1,99)),0) + IFERROR(VLOOKUP(LEFT(TRIM(MID(SUBSTITUTE($V58,";",REPT(" ",99)),100,99)),FIND(":",TRIM(MID(SUBSTITUTE($V58,";",REPT(" ",99)),100,99)))-1),Materiales!$A$2:$E$502,5,FALSE)*VALUE(MID(TRIM(MID(SUBSTITUTE($V58,";",REPT(" ",99)),100,99)),FIND(":",TRIM(MID(SUBSTITUTE($V58,";",REPT(" ",99)),100,99)))+1,99)),0) + IFERROR(VLOOKUP(LEFT(TRIM(MID(SUBSTITUTE($V58,";",REPT(" ",99)),199,99)),FIND(":",TRIM(MID(SUBSTITUTE($V58,";",REPT(" ",99)),199,99)))-1),Materiales!$A$2:$E$502,5,FALSE)*VALUE(MID(TRIM(MID(SUBSTITUTE($V58,";",REPT(" ",99)),199,99)),FIND(":",TRIM(MID(SUBSTITUTE($V58,";",REPT(" ",99)),199,99)))+1,99)),0) + IFERROR(VLOOKUP(LEFT(TRIM(MID(SUBSTITUTE($V58,";",REPT(" ",99)),298,99)),FIND(":",TRIM(MID(SUBSTITUTE($V58,";",REPT(" ",99)),298,99)))-1),Materiales!$A$2:$E$502,5,FALSE)*VALUE(MID(TRIM(MID(SUBSTITUTE($V58,";",REPT(" ",99)),298,99)),FIND(":",TRIM(MID(SUBSTITUTE($V58,";",REPT(" ",99)),298,99)))+1,99)),0) + IFERROR(VLOOKUP(LEFT(TRIM(MID(SUBSTITUTE($V58,";",REPT(" ",99)),397,99)),FIND(":",TRIM(MID(SUBSTITUTE($V58,";",REPT(" ",99)),397,99)))-1),Materiales!$A$2:$E$502,5,FALSE)*VALUE(MID(TRIM(MID(SUBSTITUTE($V58,";",REPT(" ",99)),397,99)),FIND(":",TRIM(MID(SUBSTITUTE($V58,";",REPT(" ",99)),397,99)))+1,99)),0) + IFERROR(VLOOKUP(LEFT(TRIM(MID(SUBSTITUTE($V58,";",REPT(" ",99)),496,99)),FIND(":",TRIM(MID(SUBSTITUTE($V58,";",REPT(" ",99)),496,99)))-1),Materiales!$A$2:$E$502,5,FALSE)*VALUE(MID(TRIM(MID(SUBSTITUTE($V58,";",REPT(" ",99)),496,99)),FIND(":",TRIM(MID(SUBSTITUTE($V58,";",REPT(" ",99)),496,99)))+1,99)),0) + IFERROR(VLOOKUP(LEFT(TRIM(MID(SUBSTITUTE($V58,";",REPT(" ",99)),595,99)),FIND(":",TRIM(MID(SUBSTITUTE($V58,";",REPT(" ",99)),595,99)))-1),Materiales!$A$2:$E$502,5,FALSE)*VALUE(MID(TRIM(MID(SUBSTITUTE($V58,";",REPT(" ",99)),595,99)),FIND(":",TRIM(MID(SUBSTITUTE($V58,";",REPT(" ",99)),595,99)))+1,99)),0) + IFERROR(VLOOKUP(LEFT(TRIM(MID(SUBSTITUTE($V58,";",REPT(" ",99)),694,99)),FIND(":",TRIM(MID(SUBSTITUTE($V58,";",REPT(" ",99)),694,99)))-1),Materiales!$A$2:$E$502,5,FALSE)*VALUE(MID(TRIM(MID(SUBSTITUTE($V58,";",REPT(" ",99)),694,99)),FIND(":",TRIM(MID(SUBSTITUTE($V58,";",REPT(" ",99)),694,99)))+1,99)),0) + IFERROR(VLOOKUP(LEFT(TRIM(MID(SUBSTITUTE($V58,";",REPT(" ",99)),793,99)),FIND(":",TRIM(MID(SUBSTITUTE($V58,";",REPT(" ",99)),793,99)))-1),Materiales!$A$2:$E$502,5,FALSE)*VALUE(MID(TRIM(MID(SUBSTITUTE($V58,";",REPT(" ",99)),793,99)),FIND(":",TRIM(MID(SUBSTITUTE($V58,";",REPT(" ",99)),793,99)))+1,99)),0) + IFERROR(VLOOKUP(LEFT(TRIM(MID(SUBSTITUTE($V58,";",REPT(" ",99)),892,99)),FIND(":",TRIM(MID(SUBSTITUTE($V58,";",REPT(" ",99)),892,99)))-1),Materiales!$A$2:$E$502,5,FALSE)*VALUE(MID(TRIM(MID(SUBSTITUTE($V58,";",REPT(" ",99)),892,99)),FIND(":",TRIM(MID(SUBSTITUTE($V58,";",REPT(" ",99)),892,99)))+1,99)),0)))</f>
        <v/>
      </c>
      <c r="X58" s="39" t="str">
        <f t="shared" si="13"/>
        <v/>
      </c>
      <c r="Y58" s="64"/>
      <c r="Z58" s="41"/>
      <c r="AA58" s="65"/>
      <c r="AB58" s="14"/>
      <c r="AC58" s="66"/>
      <c r="AD58" s="65"/>
      <c r="AE58" s="44">
        <f t="shared" si="17"/>
        <v>0</v>
      </c>
      <c r="AF58" s="45" t="str">
        <f t="shared" si="18"/>
        <v>#DIV/0!</v>
      </c>
    </row>
    <row r="59" ht="15.75" customHeight="1">
      <c r="A59" s="3"/>
      <c r="B59" s="3"/>
      <c r="C59" s="38"/>
      <c r="D59" s="38"/>
      <c r="E59" s="38"/>
      <c r="F59" s="14"/>
      <c r="G59" s="5" t="str">
        <f t="array" ref="G59">IF($A59="","",IFERROR($F59*(N($C59)*XLOOKUP($B59,Ceras!$A$2:$A$500,Ceras!$G$2:$G$500,0)+IF($D59="",0,N($E59)*XLOOKUP($D59,Ceras!$A$2:$A$500,Ceras!$G$2:$G$500,0))),"Revisar cera"))</f>
        <v/>
      </c>
      <c r="H59" s="5"/>
      <c r="I59" s="3"/>
      <c r="J59" s="14"/>
      <c r="K59" s="5" t="str">
        <f t="array" ref="K59">IF($A59="","",IFERROR($J59*XLOOKUP($I59,Pabilos!$A$2:$A$500,Pabilos!$H$2:$H$500,0),"Revisar pabilo"))</f>
        <v/>
      </c>
      <c r="L59" s="3"/>
      <c r="M59" s="14"/>
      <c r="N59" s="5" t="str">
        <f t="array" ref="N59">IF($A59="","",IFERROR($M59*XLOOKUP($L59,Esencias!$A$2:$A$501,Esencias!$G$2:$G$501,0),"Revisar esencia"))</f>
        <v/>
      </c>
      <c r="O59" s="3"/>
      <c r="P59" s="14"/>
      <c r="Q59" s="5" t="str">
        <f t="array" ref="Q59">IF($A59="","",IFERROR(IF($P59="",1,$P59)*XLOOKUP($O59,Colores!$A$2:$A$500,Colores!$H$2:$H$500,0),"Revisar color"))</f>
        <v/>
      </c>
      <c r="R59" s="3"/>
      <c r="S59" s="5" t="str">
        <f t="array" ref="S59">IF($A59="","",IF($R59="",0,IFERROR(VLOOKUP(LEFT(TRIM(MID(SUBSTITUTE($R59,";",REPT(" ",99)),1,99)),FIND(":",TRIM(MID(SUBSTITUTE($R59,";",REPT(" ",99)),1,99)))-1),Materiales!$A$2:$E$502,5,FALSE)*VALUE(MID(TRIM(MID(SUBSTITUTE($R59,";",REPT(" ",99)),1,99)),FIND(":",TRIM(MID(SUBSTITUTE($R59,";",REPT(" ",99)),1,99)))+1,99)),0) + IFERROR(VLOOKUP(LEFT(TRIM(MID(SUBSTITUTE($R59,";",REPT(" ",99)),100,99)),FIND(":",TRIM(MID(SUBSTITUTE($R59,";",REPT(" ",99)),100,99)))-1),Materiales!$A$2:$E$502,5,FALSE)*VALUE(MID(TRIM(MID(SUBSTITUTE($R59,";",REPT(" ",99)),100,99)),FIND(":",TRIM(MID(SUBSTITUTE($R59,";",REPT(" ",99)),100,99)))+1,99)),0) + IFERROR(VLOOKUP(LEFT(TRIM(MID(SUBSTITUTE($R59,";",REPT(" ",99)),199,99)),FIND(":",TRIM(MID(SUBSTITUTE($R59,";",REPT(" ",99)),199,99)))-1),Materiales!$A$2:$E$502,5,FALSE)*VALUE(MID(TRIM(MID(SUBSTITUTE($R59,";",REPT(" ",99)),199,99)),FIND(":",TRIM(MID(SUBSTITUTE($R59,";",REPT(" ",99)),199,99)))+1,99)),0) + IFERROR(VLOOKUP(LEFT(TRIM(MID(SUBSTITUTE($R59,";",REPT(" ",99)),298,99)),FIND(":",TRIM(MID(SUBSTITUTE($R59,";",REPT(" ",99)),298,99)))-1),Materiales!$A$2:$E$502,5,FALSE)*VALUE(MID(TRIM(MID(SUBSTITUTE($R59,";",REPT(" ",99)),298,99)),FIND(":",TRIM(MID(SUBSTITUTE($R59,";",REPT(" ",99)),298,99)))+1,99)),0) + IFERROR(VLOOKUP(LEFT(TRIM(MID(SUBSTITUTE($R59,";",REPT(" ",99)),397,99)),FIND(":",TRIM(MID(SUBSTITUTE($R59,";",REPT(" ",99)),397,99)))-1),Materiales!$A$2:$E$502,5,FALSE)*VALUE(MID(TRIM(MID(SUBSTITUTE($R59,";",REPT(" ",99)),397,99)),FIND(":",TRIM(MID(SUBSTITUTE($R59,";",REPT(" ",99)),397,99)))+1,99)),0) + IFERROR(VLOOKUP(LEFT(TRIM(MID(SUBSTITUTE($R59,";",REPT(" ",99)),496,99)),FIND(":",TRIM(MID(SUBSTITUTE($R59,";",REPT(" ",99)),496,99)))-1),Materiales!$A$2:$E$502,5,FALSE)*VALUE(MID(TRIM(MID(SUBSTITUTE($R59,";",REPT(" ",99)),496,99)),FIND(":",TRIM(MID(SUBSTITUTE($R59,";",REPT(" ",99)),496,99)))+1,99)),0) + IFERROR(VLOOKUP(LEFT(TRIM(MID(SUBSTITUTE($R59,";",REPT(" ",99)),595,99)),FIND(":",TRIM(MID(SUBSTITUTE($R59,";",REPT(" ",99)),595,99)))-1),Materiales!$A$2:$E$502,5,FALSE)*VALUE(MID(TRIM(MID(SUBSTITUTE($R59,";",REPT(" ",99)),595,99)),FIND(":",TRIM(MID(SUBSTITUTE($R59,";",REPT(" ",99)),595,99)))+1,99)),0) + IFERROR(VLOOKUP(LEFT(TRIM(MID(SUBSTITUTE($R59,";",REPT(" ",99)),694,99)),FIND(":",TRIM(MID(SUBSTITUTE($R59,";",REPT(" ",99)),694,99)))-1),Materiales!$A$2:$E$502,5,FALSE)*VALUE(MID(TRIM(MID(SUBSTITUTE($R59,";",REPT(" ",99)),694,99)),FIND(":",TRIM(MID(SUBSTITUTE($R59,";",REPT(" ",99)),694,99)))+1,99)),0) + IFERROR(VLOOKUP(LEFT(TRIM(MID(SUBSTITUTE($R59,";",REPT(" ",99)),793,99)),FIND(":",TRIM(MID(SUBSTITUTE($R59,";",REPT(" ",99)),793,99)))-1),Materiales!$A$2:$E$502,5,FALSE)*VALUE(MID(TRIM(MID(SUBSTITUTE($R59,";",REPT(" ",99)),793,99)),FIND(":",TRIM(MID(SUBSTITUTE($R59,";",REPT(" ",99)),793,99)))+1,99)),0) + IFERROR(VLOOKUP(LEFT(TRIM(MID(SUBSTITUTE($R59,";",REPT(" ",99)),892,99)),FIND(":",TRIM(MID(SUBSTITUTE($R59,";",REPT(" ",99)),892,99)))-1),Materiales!$A$2:$E$502,5,FALSE)*VALUE(MID(TRIM(MID(SUBSTITUTE($R59,";",REPT(" ",99)),892,99)),FIND(":",TRIM(MID(SUBSTITUTE($R59,";",REPT(" ",99)),892,99)))+1,99)),0)))</f>
        <v/>
      </c>
      <c r="T59" s="3"/>
      <c r="U59" s="5" t="str">
        <f t="array" ref="U59">IF($A59="","",IF($T59="",0,IFERROR(VLOOKUP(LEFT(TRIM(MID(SUBSTITUTE($T59,";",REPT(" ",99)),1,99)),FIND(":",TRIM(MID(SUBSTITUTE($T59,";",REPT(" ",99)),1,99)))-1),Materiales!$A$2:$E$502,5,FALSE)*VALUE(MID(TRIM(MID(SUBSTITUTE($T59,";",REPT(" ",99)),1,99)),FIND(":",TRIM(MID(SUBSTITUTE($T59,";",REPT(" ",99)),1,99)))+1,99)),0) + IFERROR(VLOOKUP(LEFT(TRIM(MID(SUBSTITUTE($T59,";",REPT(" ",99)),100,99)),FIND(":",TRIM(MID(SUBSTITUTE($T59,";",REPT(" ",99)),100,99)))-1),Materiales!$A$2:$E$502,5,FALSE)*VALUE(MID(TRIM(MID(SUBSTITUTE($T59,";",REPT(" ",99)),100,99)),FIND(":",TRIM(MID(SUBSTITUTE($T59,";",REPT(" ",99)),100,99)))+1,99)),0) + IFERROR(VLOOKUP(LEFT(TRIM(MID(SUBSTITUTE($T59,";",REPT(" ",99)),199,99)),FIND(":",TRIM(MID(SUBSTITUTE($T59,";",REPT(" ",99)),199,99)))-1),Materiales!$A$2:$E$502,5,FALSE)*VALUE(MID(TRIM(MID(SUBSTITUTE($T59,";",REPT(" ",99)),199,99)),FIND(":",TRIM(MID(SUBSTITUTE($T59,";",REPT(" ",99)),199,99)))+1,99)),0) + IFERROR(VLOOKUP(LEFT(TRIM(MID(SUBSTITUTE($T59,";",REPT(" ",99)),298,99)),FIND(":",TRIM(MID(SUBSTITUTE($T59,";",REPT(" ",99)),298,99)))-1),Materiales!$A$2:$E$502,5,FALSE)*VALUE(MID(TRIM(MID(SUBSTITUTE($T59,";",REPT(" ",99)),298,99)),FIND(":",TRIM(MID(SUBSTITUTE($T59,";",REPT(" ",99)),298,99)))+1,99)),0) + IFERROR(VLOOKUP(LEFT(TRIM(MID(SUBSTITUTE($T59,";",REPT(" ",99)),397,99)),FIND(":",TRIM(MID(SUBSTITUTE($T59,";",REPT(" ",99)),397,99)))-1),Materiales!$A$2:$E$502,5,FALSE)*VALUE(MID(TRIM(MID(SUBSTITUTE($T59,";",REPT(" ",99)),397,99)),FIND(":",TRIM(MID(SUBSTITUTE($T59,";",REPT(" ",99)),397,99)))+1,99)),0) + IFERROR(VLOOKUP(LEFT(TRIM(MID(SUBSTITUTE($T59,";",REPT(" ",99)),496,99)),FIND(":",TRIM(MID(SUBSTITUTE($T59,";",REPT(" ",99)),496,99)))-1),Materiales!$A$2:$E$502,5,FALSE)*VALUE(MID(TRIM(MID(SUBSTITUTE($T59,";",REPT(" ",99)),496,99)),FIND(":",TRIM(MID(SUBSTITUTE($T59,";",REPT(" ",99)),496,99)))+1,99)),0) + IFERROR(VLOOKUP(LEFT(TRIM(MID(SUBSTITUTE($T59,";",REPT(" ",99)),595,99)),FIND(":",TRIM(MID(SUBSTITUTE($T59,";",REPT(" ",99)),595,99)))-1),Materiales!$A$2:$E$502,5,FALSE)*VALUE(MID(TRIM(MID(SUBSTITUTE($T59,";",REPT(" ",99)),595,99)),FIND(":",TRIM(MID(SUBSTITUTE($T59,";",REPT(" ",99)),595,99)))+1,99)),0) + IFERROR(VLOOKUP(LEFT(TRIM(MID(SUBSTITUTE($T59,";",REPT(" ",99)),694,99)),FIND(":",TRIM(MID(SUBSTITUTE($T59,";",REPT(" ",99)),694,99)))-1),Materiales!$A$2:$E$502,5,FALSE)*VALUE(MID(TRIM(MID(SUBSTITUTE($T59,";",REPT(" ",99)),694,99)),FIND(":",TRIM(MID(SUBSTITUTE($T59,";",REPT(" ",99)),694,99)))+1,99)),0) + IFERROR(VLOOKUP(LEFT(TRIM(MID(SUBSTITUTE($T59,";",REPT(" ",99)),793,99)),FIND(":",TRIM(MID(SUBSTITUTE($T59,";",REPT(" ",99)),793,99)))-1),Materiales!$A$2:$E$502,5,FALSE)*VALUE(MID(TRIM(MID(SUBSTITUTE($T59,";",REPT(" ",99)),793,99)),FIND(":",TRIM(MID(SUBSTITUTE($T59,";",REPT(" ",99)),793,99)))+1,99)),0) + IFERROR(VLOOKUP(LEFT(TRIM(MID(SUBSTITUTE($T59,";",REPT(" ",99)),892,99)),FIND(":",TRIM(MID(SUBSTITUTE($T59,";",REPT(" ",99)),892,99)))-1),Materiales!$A$2:$E$502,5,FALSE)*VALUE(MID(TRIM(MID(SUBSTITUTE($T59,";",REPT(" ",99)),892,99)),FIND(":",TRIM(MID(SUBSTITUTE($T59,";",REPT(" ",99)),892,99)))+1,99)),0)))</f>
        <v/>
      </c>
      <c r="V59" s="3"/>
      <c r="W59" s="5" t="str">
        <f t="array" ref="W59">IF($A59="","",IF($V59="",0,IFERROR(VLOOKUP(LEFT(TRIM(MID(SUBSTITUTE($V59,";",REPT(" ",99)),1,99)),FIND(":",TRIM(MID(SUBSTITUTE($V59,";",REPT(" ",99)),1,99)))-1),Materiales!$A$2:$E$502,5,FALSE)*VALUE(MID(TRIM(MID(SUBSTITUTE($V59,";",REPT(" ",99)),1,99)),FIND(":",TRIM(MID(SUBSTITUTE($V59,";",REPT(" ",99)),1,99)))+1,99)),0) + IFERROR(VLOOKUP(LEFT(TRIM(MID(SUBSTITUTE($V59,";",REPT(" ",99)),100,99)),FIND(":",TRIM(MID(SUBSTITUTE($V59,";",REPT(" ",99)),100,99)))-1),Materiales!$A$2:$E$502,5,FALSE)*VALUE(MID(TRIM(MID(SUBSTITUTE($V59,";",REPT(" ",99)),100,99)),FIND(":",TRIM(MID(SUBSTITUTE($V59,";",REPT(" ",99)),100,99)))+1,99)),0) + IFERROR(VLOOKUP(LEFT(TRIM(MID(SUBSTITUTE($V59,";",REPT(" ",99)),199,99)),FIND(":",TRIM(MID(SUBSTITUTE($V59,";",REPT(" ",99)),199,99)))-1),Materiales!$A$2:$E$502,5,FALSE)*VALUE(MID(TRIM(MID(SUBSTITUTE($V59,";",REPT(" ",99)),199,99)),FIND(":",TRIM(MID(SUBSTITUTE($V59,";",REPT(" ",99)),199,99)))+1,99)),0) + IFERROR(VLOOKUP(LEFT(TRIM(MID(SUBSTITUTE($V59,";",REPT(" ",99)),298,99)),FIND(":",TRIM(MID(SUBSTITUTE($V59,";",REPT(" ",99)),298,99)))-1),Materiales!$A$2:$E$502,5,FALSE)*VALUE(MID(TRIM(MID(SUBSTITUTE($V59,";",REPT(" ",99)),298,99)),FIND(":",TRIM(MID(SUBSTITUTE($V59,";",REPT(" ",99)),298,99)))+1,99)),0) + IFERROR(VLOOKUP(LEFT(TRIM(MID(SUBSTITUTE($V59,";",REPT(" ",99)),397,99)),FIND(":",TRIM(MID(SUBSTITUTE($V59,";",REPT(" ",99)),397,99)))-1),Materiales!$A$2:$E$502,5,FALSE)*VALUE(MID(TRIM(MID(SUBSTITUTE($V59,";",REPT(" ",99)),397,99)),FIND(":",TRIM(MID(SUBSTITUTE($V59,";",REPT(" ",99)),397,99)))+1,99)),0) + IFERROR(VLOOKUP(LEFT(TRIM(MID(SUBSTITUTE($V59,";",REPT(" ",99)),496,99)),FIND(":",TRIM(MID(SUBSTITUTE($V59,";",REPT(" ",99)),496,99)))-1),Materiales!$A$2:$E$502,5,FALSE)*VALUE(MID(TRIM(MID(SUBSTITUTE($V59,";",REPT(" ",99)),496,99)),FIND(":",TRIM(MID(SUBSTITUTE($V59,";",REPT(" ",99)),496,99)))+1,99)),0) + IFERROR(VLOOKUP(LEFT(TRIM(MID(SUBSTITUTE($V59,";",REPT(" ",99)),595,99)),FIND(":",TRIM(MID(SUBSTITUTE($V59,";",REPT(" ",99)),595,99)))-1),Materiales!$A$2:$E$502,5,FALSE)*VALUE(MID(TRIM(MID(SUBSTITUTE($V59,";",REPT(" ",99)),595,99)),FIND(":",TRIM(MID(SUBSTITUTE($V59,";",REPT(" ",99)),595,99)))+1,99)),0) + IFERROR(VLOOKUP(LEFT(TRIM(MID(SUBSTITUTE($V59,";",REPT(" ",99)),694,99)),FIND(":",TRIM(MID(SUBSTITUTE($V59,";",REPT(" ",99)),694,99)))-1),Materiales!$A$2:$E$502,5,FALSE)*VALUE(MID(TRIM(MID(SUBSTITUTE($V59,";",REPT(" ",99)),694,99)),FIND(":",TRIM(MID(SUBSTITUTE($V59,";",REPT(" ",99)),694,99)))+1,99)),0) + IFERROR(VLOOKUP(LEFT(TRIM(MID(SUBSTITUTE($V59,";",REPT(" ",99)),793,99)),FIND(":",TRIM(MID(SUBSTITUTE($V59,";",REPT(" ",99)),793,99)))-1),Materiales!$A$2:$E$502,5,FALSE)*VALUE(MID(TRIM(MID(SUBSTITUTE($V59,";",REPT(" ",99)),793,99)),FIND(":",TRIM(MID(SUBSTITUTE($V59,";",REPT(" ",99)),793,99)))+1,99)),0) + IFERROR(VLOOKUP(LEFT(TRIM(MID(SUBSTITUTE($V59,";",REPT(" ",99)),892,99)),FIND(":",TRIM(MID(SUBSTITUTE($V59,";",REPT(" ",99)),892,99)))-1),Materiales!$A$2:$E$502,5,FALSE)*VALUE(MID(TRIM(MID(SUBSTITUTE($V59,";",REPT(" ",99)),892,99)),FIND(":",TRIM(MID(SUBSTITUTE($V59,";",REPT(" ",99)),892,99)))+1,99)),0)))</f>
        <v/>
      </c>
      <c r="X59" s="39" t="str">
        <f t="shared" si="13"/>
        <v/>
      </c>
      <c r="Y59" s="64"/>
      <c r="Z59" s="41"/>
      <c r="AA59" s="65"/>
      <c r="AB59" s="14"/>
      <c r="AC59" s="66"/>
      <c r="AD59" s="65"/>
      <c r="AE59" s="44">
        <f t="shared" si="17"/>
        <v>0</v>
      </c>
      <c r="AF59" s="45" t="str">
        <f t="shared" si="18"/>
        <v>#DIV/0!</v>
      </c>
    </row>
    <row r="60" ht="15.75" customHeight="1">
      <c r="A60" s="3"/>
      <c r="B60" s="3"/>
      <c r="C60" s="38"/>
      <c r="D60" s="38"/>
      <c r="E60" s="38"/>
      <c r="F60" s="14"/>
      <c r="G60" s="5" t="str">
        <f t="array" ref="G60">IF($A60="","",IFERROR($F60*(N($C60)*XLOOKUP($B60,Ceras!$A$2:$A$500,Ceras!$G$2:$G$500,0)+IF($D60="",0,N($E60)*XLOOKUP($D60,Ceras!$A$2:$A$500,Ceras!$G$2:$G$500,0))),"Revisar cera"))</f>
        <v/>
      </c>
      <c r="H60" s="5"/>
      <c r="I60" s="3"/>
      <c r="J60" s="14"/>
      <c r="K60" s="5" t="str">
        <f t="array" ref="K60">IF($A60="","",IFERROR($J60*XLOOKUP($I60,Pabilos!$A$2:$A$500,Pabilos!$H$2:$H$500,0),"Revisar pabilo"))</f>
        <v/>
      </c>
      <c r="L60" s="3"/>
      <c r="M60" s="14"/>
      <c r="N60" s="5" t="str">
        <f t="array" ref="N60">IF($A60="","",IFERROR($M60*XLOOKUP($L60,Esencias!$A$2:$A$501,Esencias!$G$2:$G$501,0),"Revisar esencia"))</f>
        <v/>
      </c>
      <c r="O60" s="3"/>
      <c r="P60" s="14"/>
      <c r="Q60" s="5" t="str">
        <f t="array" ref="Q60">IF($A60="","",IFERROR(IF($P60="",1,$P60)*XLOOKUP($O60,Colores!$A$2:$A$500,Colores!$H$2:$H$500,0),"Revisar color"))</f>
        <v/>
      </c>
      <c r="R60" s="3"/>
      <c r="S60" s="5" t="str">
        <f t="array" ref="S60">IF($A60="","",IF($R60="",0,IFERROR(VLOOKUP(LEFT(TRIM(MID(SUBSTITUTE($R60,";",REPT(" ",99)),1,99)),FIND(":",TRIM(MID(SUBSTITUTE($R60,";",REPT(" ",99)),1,99)))-1),Materiales!$A$2:$E$502,5,FALSE)*VALUE(MID(TRIM(MID(SUBSTITUTE($R60,";",REPT(" ",99)),1,99)),FIND(":",TRIM(MID(SUBSTITUTE($R60,";",REPT(" ",99)),1,99)))+1,99)),0) + IFERROR(VLOOKUP(LEFT(TRIM(MID(SUBSTITUTE($R60,";",REPT(" ",99)),100,99)),FIND(":",TRIM(MID(SUBSTITUTE($R60,";",REPT(" ",99)),100,99)))-1),Materiales!$A$2:$E$502,5,FALSE)*VALUE(MID(TRIM(MID(SUBSTITUTE($R60,";",REPT(" ",99)),100,99)),FIND(":",TRIM(MID(SUBSTITUTE($R60,";",REPT(" ",99)),100,99)))+1,99)),0) + IFERROR(VLOOKUP(LEFT(TRIM(MID(SUBSTITUTE($R60,";",REPT(" ",99)),199,99)),FIND(":",TRIM(MID(SUBSTITUTE($R60,";",REPT(" ",99)),199,99)))-1),Materiales!$A$2:$E$502,5,FALSE)*VALUE(MID(TRIM(MID(SUBSTITUTE($R60,";",REPT(" ",99)),199,99)),FIND(":",TRIM(MID(SUBSTITUTE($R60,";",REPT(" ",99)),199,99)))+1,99)),0) + IFERROR(VLOOKUP(LEFT(TRIM(MID(SUBSTITUTE($R60,";",REPT(" ",99)),298,99)),FIND(":",TRIM(MID(SUBSTITUTE($R60,";",REPT(" ",99)),298,99)))-1),Materiales!$A$2:$E$502,5,FALSE)*VALUE(MID(TRIM(MID(SUBSTITUTE($R60,";",REPT(" ",99)),298,99)),FIND(":",TRIM(MID(SUBSTITUTE($R60,";",REPT(" ",99)),298,99)))+1,99)),0) + IFERROR(VLOOKUP(LEFT(TRIM(MID(SUBSTITUTE($R60,";",REPT(" ",99)),397,99)),FIND(":",TRIM(MID(SUBSTITUTE($R60,";",REPT(" ",99)),397,99)))-1),Materiales!$A$2:$E$502,5,FALSE)*VALUE(MID(TRIM(MID(SUBSTITUTE($R60,";",REPT(" ",99)),397,99)),FIND(":",TRIM(MID(SUBSTITUTE($R60,";",REPT(" ",99)),397,99)))+1,99)),0) + IFERROR(VLOOKUP(LEFT(TRIM(MID(SUBSTITUTE($R60,";",REPT(" ",99)),496,99)),FIND(":",TRIM(MID(SUBSTITUTE($R60,";",REPT(" ",99)),496,99)))-1),Materiales!$A$2:$E$502,5,FALSE)*VALUE(MID(TRIM(MID(SUBSTITUTE($R60,";",REPT(" ",99)),496,99)),FIND(":",TRIM(MID(SUBSTITUTE($R60,";",REPT(" ",99)),496,99)))+1,99)),0) + IFERROR(VLOOKUP(LEFT(TRIM(MID(SUBSTITUTE($R60,";",REPT(" ",99)),595,99)),FIND(":",TRIM(MID(SUBSTITUTE($R60,";",REPT(" ",99)),595,99)))-1),Materiales!$A$2:$E$502,5,FALSE)*VALUE(MID(TRIM(MID(SUBSTITUTE($R60,";",REPT(" ",99)),595,99)),FIND(":",TRIM(MID(SUBSTITUTE($R60,";",REPT(" ",99)),595,99)))+1,99)),0) + IFERROR(VLOOKUP(LEFT(TRIM(MID(SUBSTITUTE($R60,";",REPT(" ",99)),694,99)),FIND(":",TRIM(MID(SUBSTITUTE($R60,";",REPT(" ",99)),694,99)))-1),Materiales!$A$2:$E$502,5,FALSE)*VALUE(MID(TRIM(MID(SUBSTITUTE($R60,";",REPT(" ",99)),694,99)),FIND(":",TRIM(MID(SUBSTITUTE($R60,";",REPT(" ",99)),694,99)))+1,99)),0) + IFERROR(VLOOKUP(LEFT(TRIM(MID(SUBSTITUTE($R60,";",REPT(" ",99)),793,99)),FIND(":",TRIM(MID(SUBSTITUTE($R60,";",REPT(" ",99)),793,99)))-1),Materiales!$A$2:$E$502,5,FALSE)*VALUE(MID(TRIM(MID(SUBSTITUTE($R60,";",REPT(" ",99)),793,99)),FIND(":",TRIM(MID(SUBSTITUTE($R60,";",REPT(" ",99)),793,99)))+1,99)),0) + IFERROR(VLOOKUP(LEFT(TRIM(MID(SUBSTITUTE($R60,";",REPT(" ",99)),892,99)),FIND(":",TRIM(MID(SUBSTITUTE($R60,";",REPT(" ",99)),892,99)))-1),Materiales!$A$2:$E$502,5,FALSE)*VALUE(MID(TRIM(MID(SUBSTITUTE($R60,";",REPT(" ",99)),892,99)),FIND(":",TRIM(MID(SUBSTITUTE($R60,";",REPT(" ",99)),892,99)))+1,99)),0)))</f>
        <v/>
      </c>
      <c r="T60" s="3"/>
      <c r="U60" s="5" t="str">
        <f t="array" ref="U60">IF($A60="","",IF($T60="",0,IFERROR(VLOOKUP(LEFT(TRIM(MID(SUBSTITUTE($T60,";",REPT(" ",99)),1,99)),FIND(":",TRIM(MID(SUBSTITUTE($T60,";",REPT(" ",99)),1,99)))-1),Materiales!$A$2:$E$502,5,FALSE)*VALUE(MID(TRIM(MID(SUBSTITUTE($T60,";",REPT(" ",99)),1,99)),FIND(":",TRIM(MID(SUBSTITUTE($T60,";",REPT(" ",99)),1,99)))+1,99)),0) + IFERROR(VLOOKUP(LEFT(TRIM(MID(SUBSTITUTE($T60,";",REPT(" ",99)),100,99)),FIND(":",TRIM(MID(SUBSTITUTE($T60,";",REPT(" ",99)),100,99)))-1),Materiales!$A$2:$E$502,5,FALSE)*VALUE(MID(TRIM(MID(SUBSTITUTE($T60,";",REPT(" ",99)),100,99)),FIND(":",TRIM(MID(SUBSTITUTE($T60,";",REPT(" ",99)),100,99)))+1,99)),0) + IFERROR(VLOOKUP(LEFT(TRIM(MID(SUBSTITUTE($T60,";",REPT(" ",99)),199,99)),FIND(":",TRIM(MID(SUBSTITUTE($T60,";",REPT(" ",99)),199,99)))-1),Materiales!$A$2:$E$502,5,FALSE)*VALUE(MID(TRIM(MID(SUBSTITUTE($T60,";",REPT(" ",99)),199,99)),FIND(":",TRIM(MID(SUBSTITUTE($T60,";",REPT(" ",99)),199,99)))+1,99)),0) + IFERROR(VLOOKUP(LEFT(TRIM(MID(SUBSTITUTE($T60,";",REPT(" ",99)),298,99)),FIND(":",TRIM(MID(SUBSTITUTE($T60,";",REPT(" ",99)),298,99)))-1),Materiales!$A$2:$E$502,5,FALSE)*VALUE(MID(TRIM(MID(SUBSTITUTE($T60,";",REPT(" ",99)),298,99)),FIND(":",TRIM(MID(SUBSTITUTE($T60,";",REPT(" ",99)),298,99)))+1,99)),0) + IFERROR(VLOOKUP(LEFT(TRIM(MID(SUBSTITUTE($T60,";",REPT(" ",99)),397,99)),FIND(":",TRIM(MID(SUBSTITUTE($T60,";",REPT(" ",99)),397,99)))-1),Materiales!$A$2:$E$502,5,FALSE)*VALUE(MID(TRIM(MID(SUBSTITUTE($T60,";",REPT(" ",99)),397,99)),FIND(":",TRIM(MID(SUBSTITUTE($T60,";",REPT(" ",99)),397,99)))+1,99)),0) + IFERROR(VLOOKUP(LEFT(TRIM(MID(SUBSTITUTE($T60,";",REPT(" ",99)),496,99)),FIND(":",TRIM(MID(SUBSTITUTE($T60,";",REPT(" ",99)),496,99)))-1),Materiales!$A$2:$E$502,5,FALSE)*VALUE(MID(TRIM(MID(SUBSTITUTE($T60,";",REPT(" ",99)),496,99)),FIND(":",TRIM(MID(SUBSTITUTE($T60,";",REPT(" ",99)),496,99)))+1,99)),0) + IFERROR(VLOOKUP(LEFT(TRIM(MID(SUBSTITUTE($T60,";",REPT(" ",99)),595,99)),FIND(":",TRIM(MID(SUBSTITUTE($T60,";",REPT(" ",99)),595,99)))-1),Materiales!$A$2:$E$502,5,FALSE)*VALUE(MID(TRIM(MID(SUBSTITUTE($T60,";",REPT(" ",99)),595,99)),FIND(":",TRIM(MID(SUBSTITUTE($T60,";",REPT(" ",99)),595,99)))+1,99)),0) + IFERROR(VLOOKUP(LEFT(TRIM(MID(SUBSTITUTE($T60,";",REPT(" ",99)),694,99)),FIND(":",TRIM(MID(SUBSTITUTE($T60,";",REPT(" ",99)),694,99)))-1),Materiales!$A$2:$E$502,5,FALSE)*VALUE(MID(TRIM(MID(SUBSTITUTE($T60,";",REPT(" ",99)),694,99)),FIND(":",TRIM(MID(SUBSTITUTE($T60,";",REPT(" ",99)),694,99)))+1,99)),0) + IFERROR(VLOOKUP(LEFT(TRIM(MID(SUBSTITUTE($T60,";",REPT(" ",99)),793,99)),FIND(":",TRIM(MID(SUBSTITUTE($T60,";",REPT(" ",99)),793,99)))-1),Materiales!$A$2:$E$502,5,FALSE)*VALUE(MID(TRIM(MID(SUBSTITUTE($T60,";",REPT(" ",99)),793,99)),FIND(":",TRIM(MID(SUBSTITUTE($T60,";",REPT(" ",99)),793,99)))+1,99)),0) + IFERROR(VLOOKUP(LEFT(TRIM(MID(SUBSTITUTE($T60,";",REPT(" ",99)),892,99)),FIND(":",TRIM(MID(SUBSTITUTE($T60,";",REPT(" ",99)),892,99)))-1),Materiales!$A$2:$E$502,5,FALSE)*VALUE(MID(TRIM(MID(SUBSTITUTE($T60,";",REPT(" ",99)),892,99)),FIND(":",TRIM(MID(SUBSTITUTE($T60,";",REPT(" ",99)),892,99)))+1,99)),0)))</f>
        <v/>
      </c>
      <c r="V60" s="3"/>
      <c r="W60" s="5" t="str">
        <f t="array" ref="W60">IF($A60="","",IF($V60="",0,IFERROR(VLOOKUP(LEFT(TRIM(MID(SUBSTITUTE($V60,";",REPT(" ",99)),1,99)),FIND(":",TRIM(MID(SUBSTITUTE($V60,";",REPT(" ",99)),1,99)))-1),Materiales!$A$2:$E$502,5,FALSE)*VALUE(MID(TRIM(MID(SUBSTITUTE($V60,";",REPT(" ",99)),1,99)),FIND(":",TRIM(MID(SUBSTITUTE($V60,";",REPT(" ",99)),1,99)))+1,99)),0) + IFERROR(VLOOKUP(LEFT(TRIM(MID(SUBSTITUTE($V60,";",REPT(" ",99)),100,99)),FIND(":",TRIM(MID(SUBSTITUTE($V60,";",REPT(" ",99)),100,99)))-1),Materiales!$A$2:$E$502,5,FALSE)*VALUE(MID(TRIM(MID(SUBSTITUTE($V60,";",REPT(" ",99)),100,99)),FIND(":",TRIM(MID(SUBSTITUTE($V60,";",REPT(" ",99)),100,99)))+1,99)),0) + IFERROR(VLOOKUP(LEFT(TRIM(MID(SUBSTITUTE($V60,";",REPT(" ",99)),199,99)),FIND(":",TRIM(MID(SUBSTITUTE($V60,";",REPT(" ",99)),199,99)))-1),Materiales!$A$2:$E$502,5,FALSE)*VALUE(MID(TRIM(MID(SUBSTITUTE($V60,";",REPT(" ",99)),199,99)),FIND(":",TRIM(MID(SUBSTITUTE($V60,";",REPT(" ",99)),199,99)))+1,99)),0) + IFERROR(VLOOKUP(LEFT(TRIM(MID(SUBSTITUTE($V60,";",REPT(" ",99)),298,99)),FIND(":",TRIM(MID(SUBSTITUTE($V60,";",REPT(" ",99)),298,99)))-1),Materiales!$A$2:$E$502,5,FALSE)*VALUE(MID(TRIM(MID(SUBSTITUTE($V60,";",REPT(" ",99)),298,99)),FIND(":",TRIM(MID(SUBSTITUTE($V60,";",REPT(" ",99)),298,99)))+1,99)),0) + IFERROR(VLOOKUP(LEFT(TRIM(MID(SUBSTITUTE($V60,";",REPT(" ",99)),397,99)),FIND(":",TRIM(MID(SUBSTITUTE($V60,";",REPT(" ",99)),397,99)))-1),Materiales!$A$2:$E$502,5,FALSE)*VALUE(MID(TRIM(MID(SUBSTITUTE($V60,";",REPT(" ",99)),397,99)),FIND(":",TRIM(MID(SUBSTITUTE($V60,";",REPT(" ",99)),397,99)))+1,99)),0) + IFERROR(VLOOKUP(LEFT(TRIM(MID(SUBSTITUTE($V60,";",REPT(" ",99)),496,99)),FIND(":",TRIM(MID(SUBSTITUTE($V60,";",REPT(" ",99)),496,99)))-1),Materiales!$A$2:$E$502,5,FALSE)*VALUE(MID(TRIM(MID(SUBSTITUTE($V60,";",REPT(" ",99)),496,99)),FIND(":",TRIM(MID(SUBSTITUTE($V60,";",REPT(" ",99)),496,99)))+1,99)),0) + IFERROR(VLOOKUP(LEFT(TRIM(MID(SUBSTITUTE($V60,";",REPT(" ",99)),595,99)),FIND(":",TRIM(MID(SUBSTITUTE($V60,";",REPT(" ",99)),595,99)))-1),Materiales!$A$2:$E$502,5,FALSE)*VALUE(MID(TRIM(MID(SUBSTITUTE($V60,";",REPT(" ",99)),595,99)),FIND(":",TRIM(MID(SUBSTITUTE($V60,";",REPT(" ",99)),595,99)))+1,99)),0) + IFERROR(VLOOKUP(LEFT(TRIM(MID(SUBSTITUTE($V60,";",REPT(" ",99)),694,99)),FIND(":",TRIM(MID(SUBSTITUTE($V60,";",REPT(" ",99)),694,99)))-1),Materiales!$A$2:$E$502,5,FALSE)*VALUE(MID(TRIM(MID(SUBSTITUTE($V60,";",REPT(" ",99)),694,99)),FIND(":",TRIM(MID(SUBSTITUTE($V60,";",REPT(" ",99)),694,99)))+1,99)),0) + IFERROR(VLOOKUP(LEFT(TRIM(MID(SUBSTITUTE($V60,";",REPT(" ",99)),793,99)),FIND(":",TRIM(MID(SUBSTITUTE($V60,";",REPT(" ",99)),793,99)))-1),Materiales!$A$2:$E$502,5,FALSE)*VALUE(MID(TRIM(MID(SUBSTITUTE($V60,";",REPT(" ",99)),793,99)),FIND(":",TRIM(MID(SUBSTITUTE($V60,";",REPT(" ",99)),793,99)))+1,99)),0) + IFERROR(VLOOKUP(LEFT(TRIM(MID(SUBSTITUTE($V60,";",REPT(" ",99)),892,99)),FIND(":",TRIM(MID(SUBSTITUTE($V60,";",REPT(" ",99)),892,99)))-1),Materiales!$A$2:$E$502,5,FALSE)*VALUE(MID(TRIM(MID(SUBSTITUTE($V60,";",REPT(" ",99)),892,99)),FIND(":",TRIM(MID(SUBSTITUTE($V60,";",REPT(" ",99)),892,99)))+1,99)),0)))</f>
        <v/>
      </c>
      <c r="X60" s="39" t="str">
        <f t="shared" si="13"/>
        <v/>
      </c>
      <c r="Y60" s="64"/>
      <c r="Z60" s="41"/>
      <c r="AA60" s="65"/>
      <c r="AB60" s="14"/>
      <c r="AC60" s="66"/>
      <c r="AD60" s="65"/>
      <c r="AE60" s="44">
        <f t="shared" si="17"/>
        <v>0</v>
      </c>
      <c r="AF60" s="45" t="str">
        <f t="shared" si="18"/>
        <v>#DIV/0!</v>
      </c>
    </row>
    <row r="61" ht="15.75" customHeight="1">
      <c r="A61" s="3"/>
      <c r="B61" s="3"/>
      <c r="C61" s="38"/>
      <c r="D61" s="38"/>
      <c r="E61" s="38"/>
      <c r="F61" s="14"/>
      <c r="G61" s="5" t="str">
        <f t="array" ref="G61">IF($A61="","",IFERROR($F61*(N($C61)*XLOOKUP($B61,Ceras!$A$2:$A$500,Ceras!$G$2:$G$500,0)+IF($D61="",0,N($E61)*XLOOKUP($D61,Ceras!$A$2:$A$500,Ceras!$G$2:$G$500,0))),"Revisar cera"))</f>
        <v/>
      </c>
      <c r="H61" s="5"/>
      <c r="I61" s="3"/>
      <c r="J61" s="14"/>
      <c r="K61" s="5" t="str">
        <f t="array" ref="K61">IF($A61="","",IFERROR($J61*XLOOKUP($I61,Pabilos!$A$2:$A$500,Pabilos!$H$2:$H$500,0),"Revisar pabilo"))</f>
        <v/>
      </c>
      <c r="L61" s="3"/>
      <c r="M61" s="14"/>
      <c r="N61" s="5" t="str">
        <f t="array" ref="N61">IF($A61="","",IFERROR($M61*XLOOKUP($L61,Esencias!$A$2:$A$501,Esencias!$G$2:$G$501,0),"Revisar esencia"))</f>
        <v/>
      </c>
      <c r="O61" s="3"/>
      <c r="P61" s="14"/>
      <c r="Q61" s="5" t="str">
        <f t="array" ref="Q61">IF($A61="","",IFERROR(IF($P61="",1,$P61)*XLOOKUP($O61,Colores!$A$2:$A$500,Colores!$H$2:$H$500,0),"Revisar color"))</f>
        <v/>
      </c>
      <c r="R61" s="3"/>
      <c r="S61" s="5" t="str">
        <f t="array" ref="S61">IF($A61="","",IF($R61="",0,IFERROR(VLOOKUP(LEFT(TRIM(MID(SUBSTITUTE($R61,";",REPT(" ",99)),1,99)),FIND(":",TRIM(MID(SUBSTITUTE($R61,";",REPT(" ",99)),1,99)))-1),Materiales!$A$2:$E$502,5,FALSE)*VALUE(MID(TRIM(MID(SUBSTITUTE($R61,";",REPT(" ",99)),1,99)),FIND(":",TRIM(MID(SUBSTITUTE($R61,";",REPT(" ",99)),1,99)))+1,99)),0) + IFERROR(VLOOKUP(LEFT(TRIM(MID(SUBSTITUTE($R61,";",REPT(" ",99)),100,99)),FIND(":",TRIM(MID(SUBSTITUTE($R61,";",REPT(" ",99)),100,99)))-1),Materiales!$A$2:$E$502,5,FALSE)*VALUE(MID(TRIM(MID(SUBSTITUTE($R61,";",REPT(" ",99)),100,99)),FIND(":",TRIM(MID(SUBSTITUTE($R61,";",REPT(" ",99)),100,99)))+1,99)),0) + IFERROR(VLOOKUP(LEFT(TRIM(MID(SUBSTITUTE($R61,";",REPT(" ",99)),199,99)),FIND(":",TRIM(MID(SUBSTITUTE($R61,";",REPT(" ",99)),199,99)))-1),Materiales!$A$2:$E$502,5,FALSE)*VALUE(MID(TRIM(MID(SUBSTITUTE($R61,";",REPT(" ",99)),199,99)),FIND(":",TRIM(MID(SUBSTITUTE($R61,";",REPT(" ",99)),199,99)))+1,99)),0) + IFERROR(VLOOKUP(LEFT(TRIM(MID(SUBSTITUTE($R61,";",REPT(" ",99)),298,99)),FIND(":",TRIM(MID(SUBSTITUTE($R61,";",REPT(" ",99)),298,99)))-1),Materiales!$A$2:$E$502,5,FALSE)*VALUE(MID(TRIM(MID(SUBSTITUTE($R61,";",REPT(" ",99)),298,99)),FIND(":",TRIM(MID(SUBSTITUTE($R61,";",REPT(" ",99)),298,99)))+1,99)),0) + IFERROR(VLOOKUP(LEFT(TRIM(MID(SUBSTITUTE($R61,";",REPT(" ",99)),397,99)),FIND(":",TRIM(MID(SUBSTITUTE($R61,";",REPT(" ",99)),397,99)))-1),Materiales!$A$2:$E$502,5,FALSE)*VALUE(MID(TRIM(MID(SUBSTITUTE($R61,";",REPT(" ",99)),397,99)),FIND(":",TRIM(MID(SUBSTITUTE($R61,";",REPT(" ",99)),397,99)))+1,99)),0) + IFERROR(VLOOKUP(LEFT(TRIM(MID(SUBSTITUTE($R61,";",REPT(" ",99)),496,99)),FIND(":",TRIM(MID(SUBSTITUTE($R61,";",REPT(" ",99)),496,99)))-1),Materiales!$A$2:$E$502,5,FALSE)*VALUE(MID(TRIM(MID(SUBSTITUTE($R61,";",REPT(" ",99)),496,99)),FIND(":",TRIM(MID(SUBSTITUTE($R61,";",REPT(" ",99)),496,99)))+1,99)),0) + IFERROR(VLOOKUP(LEFT(TRIM(MID(SUBSTITUTE($R61,";",REPT(" ",99)),595,99)),FIND(":",TRIM(MID(SUBSTITUTE($R61,";",REPT(" ",99)),595,99)))-1),Materiales!$A$2:$E$502,5,FALSE)*VALUE(MID(TRIM(MID(SUBSTITUTE($R61,";",REPT(" ",99)),595,99)),FIND(":",TRIM(MID(SUBSTITUTE($R61,";",REPT(" ",99)),595,99)))+1,99)),0) + IFERROR(VLOOKUP(LEFT(TRIM(MID(SUBSTITUTE($R61,";",REPT(" ",99)),694,99)),FIND(":",TRIM(MID(SUBSTITUTE($R61,";",REPT(" ",99)),694,99)))-1),Materiales!$A$2:$E$502,5,FALSE)*VALUE(MID(TRIM(MID(SUBSTITUTE($R61,";",REPT(" ",99)),694,99)),FIND(":",TRIM(MID(SUBSTITUTE($R61,";",REPT(" ",99)),694,99)))+1,99)),0) + IFERROR(VLOOKUP(LEFT(TRIM(MID(SUBSTITUTE($R61,";",REPT(" ",99)),793,99)),FIND(":",TRIM(MID(SUBSTITUTE($R61,";",REPT(" ",99)),793,99)))-1),Materiales!$A$2:$E$502,5,FALSE)*VALUE(MID(TRIM(MID(SUBSTITUTE($R61,";",REPT(" ",99)),793,99)),FIND(":",TRIM(MID(SUBSTITUTE($R61,";",REPT(" ",99)),793,99)))+1,99)),0) + IFERROR(VLOOKUP(LEFT(TRIM(MID(SUBSTITUTE($R61,";",REPT(" ",99)),892,99)),FIND(":",TRIM(MID(SUBSTITUTE($R61,";",REPT(" ",99)),892,99)))-1),Materiales!$A$2:$E$502,5,FALSE)*VALUE(MID(TRIM(MID(SUBSTITUTE($R61,";",REPT(" ",99)),892,99)),FIND(":",TRIM(MID(SUBSTITUTE($R61,";",REPT(" ",99)),892,99)))+1,99)),0)))</f>
        <v/>
      </c>
      <c r="T61" s="3"/>
      <c r="U61" s="5" t="str">
        <f t="array" ref="U61">IF($A61="","",IF($T61="",0,IFERROR(VLOOKUP(LEFT(TRIM(MID(SUBSTITUTE($T61,";",REPT(" ",99)),1,99)),FIND(":",TRIM(MID(SUBSTITUTE($T61,";",REPT(" ",99)),1,99)))-1),Materiales!$A$2:$E$502,5,FALSE)*VALUE(MID(TRIM(MID(SUBSTITUTE($T61,";",REPT(" ",99)),1,99)),FIND(":",TRIM(MID(SUBSTITUTE($T61,";",REPT(" ",99)),1,99)))+1,99)),0) + IFERROR(VLOOKUP(LEFT(TRIM(MID(SUBSTITUTE($T61,";",REPT(" ",99)),100,99)),FIND(":",TRIM(MID(SUBSTITUTE($T61,";",REPT(" ",99)),100,99)))-1),Materiales!$A$2:$E$502,5,FALSE)*VALUE(MID(TRIM(MID(SUBSTITUTE($T61,";",REPT(" ",99)),100,99)),FIND(":",TRIM(MID(SUBSTITUTE($T61,";",REPT(" ",99)),100,99)))+1,99)),0) + IFERROR(VLOOKUP(LEFT(TRIM(MID(SUBSTITUTE($T61,";",REPT(" ",99)),199,99)),FIND(":",TRIM(MID(SUBSTITUTE($T61,";",REPT(" ",99)),199,99)))-1),Materiales!$A$2:$E$502,5,FALSE)*VALUE(MID(TRIM(MID(SUBSTITUTE($T61,";",REPT(" ",99)),199,99)),FIND(":",TRIM(MID(SUBSTITUTE($T61,";",REPT(" ",99)),199,99)))+1,99)),0) + IFERROR(VLOOKUP(LEFT(TRIM(MID(SUBSTITUTE($T61,";",REPT(" ",99)),298,99)),FIND(":",TRIM(MID(SUBSTITUTE($T61,";",REPT(" ",99)),298,99)))-1),Materiales!$A$2:$E$502,5,FALSE)*VALUE(MID(TRIM(MID(SUBSTITUTE($T61,";",REPT(" ",99)),298,99)),FIND(":",TRIM(MID(SUBSTITUTE($T61,";",REPT(" ",99)),298,99)))+1,99)),0) + IFERROR(VLOOKUP(LEFT(TRIM(MID(SUBSTITUTE($T61,";",REPT(" ",99)),397,99)),FIND(":",TRIM(MID(SUBSTITUTE($T61,";",REPT(" ",99)),397,99)))-1),Materiales!$A$2:$E$502,5,FALSE)*VALUE(MID(TRIM(MID(SUBSTITUTE($T61,";",REPT(" ",99)),397,99)),FIND(":",TRIM(MID(SUBSTITUTE($T61,";",REPT(" ",99)),397,99)))+1,99)),0) + IFERROR(VLOOKUP(LEFT(TRIM(MID(SUBSTITUTE($T61,";",REPT(" ",99)),496,99)),FIND(":",TRIM(MID(SUBSTITUTE($T61,";",REPT(" ",99)),496,99)))-1),Materiales!$A$2:$E$502,5,FALSE)*VALUE(MID(TRIM(MID(SUBSTITUTE($T61,";",REPT(" ",99)),496,99)),FIND(":",TRIM(MID(SUBSTITUTE($T61,";",REPT(" ",99)),496,99)))+1,99)),0) + IFERROR(VLOOKUP(LEFT(TRIM(MID(SUBSTITUTE($T61,";",REPT(" ",99)),595,99)),FIND(":",TRIM(MID(SUBSTITUTE($T61,";",REPT(" ",99)),595,99)))-1),Materiales!$A$2:$E$502,5,FALSE)*VALUE(MID(TRIM(MID(SUBSTITUTE($T61,";",REPT(" ",99)),595,99)),FIND(":",TRIM(MID(SUBSTITUTE($T61,";",REPT(" ",99)),595,99)))+1,99)),0) + IFERROR(VLOOKUP(LEFT(TRIM(MID(SUBSTITUTE($T61,";",REPT(" ",99)),694,99)),FIND(":",TRIM(MID(SUBSTITUTE($T61,";",REPT(" ",99)),694,99)))-1),Materiales!$A$2:$E$502,5,FALSE)*VALUE(MID(TRIM(MID(SUBSTITUTE($T61,";",REPT(" ",99)),694,99)),FIND(":",TRIM(MID(SUBSTITUTE($T61,";",REPT(" ",99)),694,99)))+1,99)),0) + IFERROR(VLOOKUP(LEFT(TRIM(MID(SUBSTITUTE($T61,";",REPT(" ",99)),793,99)),FIND(":",TRIM(MID(SUBSTITUTE($T61,";",REPT(" ",99)),793,99)))-1),Materiales!$A$2:$E$502,5,FALSE)*VALUE(MID(TRIM(MID(SUBSTITUTE($T61,";",REPT(" ",99)),793,99)),FIND(":",TRIM(MID(SUBSTITUTE($T61,";",REPT(" ",99)),793,99)))+1,99)),0) + IFERROR(VLOOKUP(LEFT(TRIM(MID(SUBSTITUTE($T61,";",REPT(" ",99)),892,99)),FIND(":",TRIM(MID(SUBSTITUTE($T61,";",REPT(" ",99)),892,99)))-1),Materiales!$A$2:$E$502,5,FALSE)*VALUE(MID(TRIM(MID(SUBSTITUTE($T61,";",REPT(" ",99)),892,99)),FIND(":",TRIM(MID(SUBSTITUTE($T61,";",REPT(" ",99)),892,99)))+1,99)),0)))</f>
        <v/>
      </c>
      <c r="V61" s="3"/>
      <c r="W61" s="5" t="str">
        <f t="array" ref="W61">IF($A61="","",IF($V61="",0,IFERROR(VLOOKUP(LEFT(TRIM(MID(SUBSTITUTE($V61,";",REPT(" ",99)),1,99)),FIND(":",TRIM(MID(SUBSTITUTE($V61,";",REPT(" ",99)),1,99)))-1),Materiales!$A$2:$E$502,5,FALSE)*VALUE(MID(TRIM(MID(SUBSTITUTE($V61,";",REPT(" ",99)),1,99)),FIND(":",TRIM(MID(SUBSTITUTE($V61,";",REPT(" ",99)),1,99)))+1,99)),0) + IFERROR(VLOOKUP(LEFT(TRIM(MID(SUBSTITUTE($V61,";",REPT(" ",99)),100,99)),FIND(":",TRIM(MID(SUBSTITUTE($V61,";",REPT(" ",99)),100,99)))-1),Materiales!$A$2:$E$502,5,FALSE)*VALUE(MID(TRIM(MID(SUBSTITUTE($V61,";",REPT(" ",99)),100,99)),FIND(":",TRIM(MID(SUBSTITUTE($V61,";",REPT(" ",99)),100,99)))+1,99)),0) + IFERROR(VLOOKUP(LEFT(TRIM(MID(SUBSTITUTE($V61,";",REPT(" ",99)),199,99)),FIND(":",TRIM(MID(SUBSTITUTE($V61,";",REPT(" ",99)),199,99)))-1),Materiales!$A$2:$E$502,5,FALSE)*VALUE(MID(TRIM(MID(SUBSTITUTE($V61,";",REPT(" ",99)),199,99)),FIND(":",TRIM(MID(SUBSTITUTE($V61,";",REPT(" ",99)),199,99)))+1,99)),0) + IFERROR(VLOOKUP(LEFT(TRIM(MID(SUBSTITUTE($V61,";",REPT(" ",99)),298,99)),FIND(":",TRIM(MID(SUBSTITUTE($V61,";",REPT(" ",99)),298,99)))-1),Materiales!$A$2:$E$502,5,FALSE)*VALUE(MID(TRIM(MID(SUBSTITUTE($V61,";",REPT(" ",99)),298,99)),FIND(":",TRIM(MID(SUBSTITUTE($V61,";",REPT(" ",99)),298,99)))+1,99)),0) + IFERROR(VLOOKUP(LEFT(TRIM(MID(SUBSTITUTE($V61,";",REPT(" ",99)),397,99)),FIND(":",TRIM(MID(SUBSTITUTE($V61,";",REPT(" ",99)),397,99)))-1),Materiales!$A$2:$E$502,5,FALSE)*VALUE(MID(TRIM(MID(SUBSTITUTE($V61,";",REPT(" ",99)),397,99)),FIND(":",TRIM(MID(SUBSTITUTE($V61,";",REPT(" ",99)),397,99)))+1,99)),0) + IFERROR(VLOOKUP(LEFT(TRIM(MID(SUBSTITUTE($V61,";",REPT(" ",99)),496,99)),FIND(":",TRIM(MID(SUBSTITUTE($V61,";",REPT(" ",99)),496,99)))-1),Materiales!$A$2:$E$502,5,FALSE)*VALUE(MID(TRIM(MID(SUBSTITUTE($V61,";",REPT(" ",99)),496,99)),FIND(":",TRIM(MID(SUBSTITUTE($V61,";",REPT(" ",99)),496,99)))+1,99)),0) + IFERROR(VLOOKUP(LEFT(TRIM(MID(SUBSTITUTE($V61,";",REPT(" ",99)),595,99)),FIND(":",TRIM(MID(SUBSTITUTE($V61,";",REPT(" ",99)),595,99)))-1),Materiales!$A$2:$E$502,5,FALSE)*VALUE(MID(TRIM(MID(SUBSTITUTE($V61,";",REPT(" ",99)),595,99)),FIND(":",TRIM(MID(SUBSTITUTE($V61,";",REPT(" ",99)),595,99)))+1,99)),0) + IFERROR(VLOOKUP(LEFT(TRIM(MID(SUBSTITUTE($V61,";",REPT(" ",99)),694,99)),FIND(":",TRIM(MID(SUBSTITUTE($V61,";",REPT(" ",99)),694,99)))-1),Materiales!$A$2:$E$502,5,FALSE)*VALUE(MID(TRIM(MID(SUBSTITUTE($V61,";",REPT(" ",99)),694,99)),FIND(":",TRIM(MID(SUBSTITUTE($V61,";",REPT(" ",99)),694,99)))+1,99)),0) + IFERROR(VLOOKUP(LEFT(TRIM(MID(SUBSTITUTE($V61,";",REPT(" ",99)),793,99)),FIND(":",TRIM(MID(SUBSTITUTE($V61,";",REPT(" ",99)),793,99)))-1),Materiales!$A$2:$E$502,5,FALSE)*VALUE(MID(TRIM(MID(SUBSTITUTE($V61,";",REPT(" ",99)),793,99)),FIND(":",TRIM(MID(SUBSTITUTE($V61,";",REPT(" ",99)),793,99)))+1,99)),0) + IFERROR(VLOOKUP(LEFT(TRIM(MID(SUBSTITUTE($V61,";",REPT(" ",99)),892,99)),FIND(":",TRIM(MID(SUBSTITUTE($V61,";",REPT(" ",99)),892,99)))-1),Materiales!$A$2:$E$502,5,FALSE)*VALUE(MID(TRIM(MID(SUBSTITUTE($V61,";",REPT(" ",99)),892,99)),FIND(":",TRIM(MID(SUBSTITUTE($V61,";",REPT(" ",99)),892,99)))+1,99)),0)))</f>
        <v/>
      </c>
      <c r="X61" s="39" t="str">
        <f t="shared" si="13"/>
        <v/>
      </c>
      <c r="Y61" s="64"/>
      <c r="Z61" s="41"/>
      <c r="AA61" s="65"/>
      <c r="AB61" s="14"/>
      <c r="AC61" s="66"/>
      <c r="AD61" s="65"/>
      <c r="AE61" s="44">
        <f t="shared" si="17"/>
        <v>0</v>
      </c>
      <c r="AF61" s="45" t="str">
        <f t="shared" si="18"/>
        <v>#DIV/0!</v>
      </c>
    </row>
    <row r="62" ht="15.75" customHeight="1">
      <c r="A62" s="3"/>
      <c r="B62" s="3"/>
      <c r="C62" s="38"/>
      <c r="D62" s="38"/>
      <c r="E62" s="38"/>
      <c r="F62" s="14"/>
      <c r="G62" s="5" t="str">
        <f t="array" ref="G62">IF($A62="","",IFERROR($F62*(N($C62)*XLOOKUP($B62,Ceras!$A$2:$A$500,Ceras!$G$2:$G$500,0)+IF($D62="",0,N($E62)*XLOOKUP($D62,Ceras!$A$2:$A$500,Ceras!$G$2:$G$500,0))),"Revisar cera"))</f>
        <v/>
      </c>
      <c r="H62" s="5"/>
      <c r="I62" s="3"/>
      <c r="J62" s="14"/>
      <c r="K62" s="5" t="str">
        <f t="array" ref="K62">IF($A62="","",IFERROR($J62*XLOOKUP($I62,Pabilos!$A$2:$A$500,Pabilos!$H$2:$H$500,0),"Revisar pabilo"))</f>
        <v/>
      </c>
      <c r="L62" s="3"/>
      <c r="M62" s="14"/>
      <c r="N62" s="5" t="str">
        <f t="array" ref="N62">IF($A62="","",IFERROR($M62*XLOOKUP($L62,Esencias!$A$2:$A$501,Esencias!$G$2:$G$501,0),"Revisar esencia"))</f>
        <v/>
      </c>
      <c r="O62" s="3"/>
      <c r="P62" s="14"/>
      <c r="Q62" s="5" t="str">
        <f t="array" ref="Q62">IF($A62="","",IFERROR(IF($P62="",1,$P62)*XLOOKUP($O62,Colores!$A$2:$A$500,Colores!$H$2:$H$500,0),"Revisar color"))</f>
        <v/>
      </c>
      <c r="R62" s="3"/>
      <c r="S62" s="5" t="str">
        <f t="array" ref="S62">IF($A62="","",IF($R62="",0,IFERROR(VLOOKUP(LEFT(TRIM(MID(SUBSTITUTE($R62,";",REPT(" ",99)),1,99)),FIND(":",TRIM(MID(SUBSTITUTE($R62,";",REPT(" ",99)),1,99)))-1),Materiales!$A$2:$E$502,5,FALSE)*VALUE(MID(TRIM(MID(SUBSTITUTE($R62,";",REPT(" ",99)),1,99)),FIND(":",TRIM(MID(SUBSTITUTE($R62,";",REPT(" ",99)),1,99)))+1,99)),0) + IFERROR(VLOOKUP(LEFT(TRIM(MID(SUBSTITUTE($R62,";",REPT(" ",99)),100,99)),FIND(":",TRIM(MID(SUBSTITUTE($R62,";",REPT(" ",99)),100,99)))-1),Materiales!$A$2:$E$502,5,FALSE)*VALUE(MID(TRIM(MID(SUBSTITUTE($R62,";",REPT(" ",99)),100,99)),FIND(":",TRIM(MID(SUBSTITUTE($R62,";",REPT(" ",99)),100,99)))+1,99)),0) + IFERROR(VLOOKUP(LEFT(TRIM(MID(SUBSTITUTE($R62,";",REPT(" ",99)),199,99)),FIND(":",TRIM(MID(SUBSTITUTE($R62,";",REPT(" ",99)),199,99)))-1),Materiales!$A$2:$E$502,5,FALSE)*VALUE(MID(TRIM(MID(SUBSTITUTE($R62,";",REPT(" ",99)),199,99)),FIND(":",TRIM(MID(SUBSTITUTE($R62,";",REPT(" ",99)),199,99)))+1,99)),0) + IFERROR(VLOOKUP(LEFT(TRIM(MID(SUBSTITUTE($R62,";",REPT(" ",99)),298,99)),FIND(":",TRIM(MID(SUBSTITUTE($R62,";",REPT(" ",99)),298,99)))-1),Materiales!$A$2:$E$502,5,FALSE)*VALUE(MID(TRIM(MID(SUBSTITUTE($R62,";",REPT(" ",99)),298,99)),FIND(":",TRIM(MID(SUBSTITUTE($R62,";",REPT(" ",99)),298,99)))+1,99)),0) + IFERROR(VLOOKUP(LEFT(TRIM(MID(SUBSTITUTE($R62,";",REPT(" ",99)),397,99)),FIND(":",TRIM(MID(SUBSTITUTE($R62,";",REPT(" ",99)),397,99)))-1),Materiales!$A$2:$E$502,5,FALSE)*VALUE(MID(TRIM(MID(SUBSTITUTE($R62,";",REPT(" ",99)),397,99)),FIND(":",TRIM(MID(SUBSTITUTE($R62,";",REPT(" ",99)),397,99)))+1,99)),0) + IFERROR(VLOOKUP(LEFT(TRIM(MID(SUBSTITUTE($R62,";",REPT(" ",99)),496,99)),FIND(":",TRIM(MID(SUBSTITUTE($R62,";",REPT(" ",99)),496,99)))-1),Materiales!$A$2:$E$502,5,FALSE)*VALUE(MID(TRIM(MID(SUBSTITUTE($R62,";",REPT(" ",99)),496,99)),FIND(":",TRIM(MID(SUBSTITUTE($R62,";",REPT(" ",99)),496,99)))+1,99)),0) + IFERROR(VLOOKUP(LEFT(TRIM(MID(SUBSTITUTE($R62,";",REPT(" ",99)),595,99)),FIND(":",TRIM(MID(SUBSTITUTE($R62,";",REPT(" ",99)),595,99)))-1),Materiales!$A$2:$E$502,5,FALSE)*VALUE(MID(TRIM(MID(SUBSTITUTE($R62,";",REPT(" ",99)),595,99)),FIND(":",TRIM(MID(SUBSTITUTE($R62,";",REPT(" ",99)),595,99)))+1,99)),0) + IFERROR(VLOOKUP(LEFT(TRIM(MID(SUBSTITUTE($R62,";",REPT(" ",99)),694,99)),FIND(":",TRIM(MID(SUBSTITUTE($R62,";",REPT(" ",99)),694,99)))-1),Materiales!$A$2:$E$502,5,FALSE)*VALUE(MID(TRIM(MID(SUBSTITUTE($R62,";",REPT(" ",99)),694,99)),FIND(":",TRIM(MID(SUBSTITUTE($R62,";",REPT(" ",99)),694,99)))+1,99)),0) + IFERROR(VLOOKUP(LEFT(TRIM(MID(SUBSTITUTE($R62,";",REPT(" ",99)),793,99)),FIND(":",TRIM(MID(SUBSTITUTE($R62,";",REPT(" ",99)),793,99)))-1),Materiales!$A$2:$E$502,5,FALSE)*VALUE(MID(TRIM(MID(SUBSTITUTE($R62,";",REPT(" ",99)),793,99)),FIND(":",TRIM(MID(SUBSTITUTE($R62,";",REPT(" ",99)),793,99)))+1,99)),0) + IFERROR(VLOOKUP(LEFT(TRIM(MID(SUBSTITUTE($R62,";",REPT(" ",99)),892,99)),FIND(":",TRIM(MID(SUBSTITUTE($R62,";",REPT(" ",99)),892,99)))-1),Materiales!$A$2:$E$502,5,FALSE)*VALUE(MID(TRIM(MID(SUBSTITUTE($R62,";",REPT(" ",99)),892,99)),FIND(":",TRIM(MID(SUBSTITUTE($R62,";",REPT(" ",99)),892,99)))+1,99)),0)))</f>
        <v/>
      </c>
      <c r="T62" s="3"/>
      <c r="U62" s="5" t="str">
        <f t="array" ref="U62">IF($A62="","",IF($T62="",0,IFERROR(VLOOKUP(LEFT(TRIM(MID(SUBSTITUTE($T62,";",REPT(" ",99)),1,99)),FIND(":",TRIM(MID(SUBSTITUTE($T62,";",REPT(" ",99)),1,99)))-1),Materiales!$A$2:$E$502,5,FALSE)*VALUE(MID(TRIM(MID(SUBSTITUTE($T62,";",REPT(" ",99)),1,99)),FIND(":",TRIM(MID(SUBSTITUTE($T62,";",REPT(" ",99)),1,99)))+1,99)),0) + IFERROR(VLOOKUP(LEFT(TRIM(MID(SUBSTITUTE($T62,";",REPT(" ",99)),100,99)),FIND(":",TRIM(MID(SUBSTITUTE($T62,";",REPT(" ",99)),100,99)))-1),Materiales!$A$2:$E$502,5,FALSE)*VALUE(MID(TRIM(MID(SUBSTITUTE($T62,";",REPT(" ",99)),100,99)),FIND(":",TRIM(MID(SUBSTITUTE($T62,";",REPT(" ",99)),100,99)))+1,99)),0) + IFERROR(VLOOKUP(LEFT(TRIM(MID(SUBSTITUTE($T62,";",REPT(" ",99)),199,99)),FIND(":",TRIM(MID(SUBSTITUTE($T62,";",REPT(" ",99)),199,99)))-1),Materiales!$A$2:$E$502,5,FALSE)*VALUE(MID(TRIM(MID(SUBSTITUTE($T62,";",REPT(" ",99)),199,99)),FIND(":",TRIM(MID(SUBSTITUTE($T62,";",REPT(" ",99)),199,99)))+1,99)),0) + IFERROR(VLOOKUP(LEFT(TRIM(MID(SUBSTITUTE($T62,";",REPT(" ",99)),298,99)),FIND(":",TRIM(MID(SUBSTITUTE($T62,";",REPT(" ",99)),298,99)))-1),Materiales!$A$2:$E$502,5,FALSE)*VALUE(MID(TRIM(MID(SUBSTITUTE($T62,";",REPT(" ",99)),298,99)),FIND(":",TRIM(MID(SUBSTITUTE($T62,";",REPT(" ",99)),298,99)))+1,99)),0) + IFERROR(VLOOKUP(LEFT(TRIM(MID(SUBSTITUTE($T62,";",REPT(" ",99)),397,99)),FIND(":",TRIM(MID(SUBSTITUTE($T62,";",REPT(" ",99)),397,99)))-1),Materiales!$A$2:$E$502,5,FALSE)*VALUE(MID(TRIM(MID(SUBSTITUTE($T62,";",REPT(" ",99)),397,99)),FIND(":",TRIM(MID(SUBSTITUTE($T62,";",REPT(" ",99)),397,99)))+1,99)),0) + IFERROR(VLOOKUP(LEFT(TRIM(MID(SUBSTITUTE($T62,";",REPT(" ",99)),496,99)),FIND(":",TRIM(MID(SUBSTITUTE($T62,";",REPT(" ",99)),496,99)))-1),Materiales!$A$2:$E$502,5,FALSE)*VALUE(MID(TRIM(MID(SUBSTITUTE($T62,";",REPT(" ",99)),496,99)),FIND(":",TRIM(MID(SUBSTITUTE($T62,";",REPT(" ",99)),496,99)))+1,99)),0) + IFERROR(VLOOKUP(LEFT(TRIM(MID(SUBSTITUTE($T62,";",REPT(" ",99)),595,99)),FIND(":",TRIM(MID(SUBSTITUTE($T62,";",REPT(" ",99)),595,99)))-1),Materiales!$A$2:$E$502,5,FALSE)*VALUE(MID(TRIM(MID(SUBSTITUTE($T62,";",REPT(" ",99)),595,99)),FIND(":",TRIM(MID(SUBSTITUTE($T62,";",REPT(" ",99)),595,99)))+1,99)),0) + IFERROR(VLOOKUP(LEFT(TRIM(MID(SUBSTITUTE($T62,";",REPT(" ",99)),694,99)),FIND(":",TRIM(MID(SUBSTITUTE($T62,";",REPT(" ",99)),694,99)))-1),Materiales!$A$2:$E$502,5,FALSE)*VALUE(MID(TRIM(MID(SUBSTITUTE($T62,";",REPT(" ",99)),694,99)),FIND(":",TRIM(MID(SUBSTITUTE($T62,";",REPT(" ",99)),694,99)))+1,99)),0) + IFERROR(VLOOKUP(LEFT(TRIM(MID(SUBSTITUTE($T62,";",REPT(" ",99)),793,99)),FIND(":",TRIM(MID(SUBSTITUTE($T62,";",REPT(" ",99)),793,99)))-1),Materiales!$A$2:$E$502,5,FALSE)*VALUE(MID(TRIM(MID(SUBSTITUTE($T62,";",REPT(" ",99)),793,99)),FIND(":",TRIM(MID(SUBSTITUTE($T62,";",REPT(" ",99)),793,99)))+1,99)),0) + IFERROR(VLOOKUP(LEFT(TRIM(MID(SUBSTITUTE($T62,";",REPT(" ",99)),892,99)),FIND(":",TRIM(MID(SUBSTITUTE($T62,";",REPT(" ",99)),892,99)))-1),Materiales!$A$2:$E$502,5,FALSE)*VALUE(MID(TRIM(MID(SUBSTITUTE($T62,";",REPT(" ",99)),892,99)),FIND(":",TRIM(MID(SUBSTITUTE($T62,";",REPT(" ",99)),892,99)))+1,99)),0)))</f>
        <v/>
      </c>
      <c r="V62" s="3"/>
      <c r="W62" s="5" t="str">
        <f t="array" ref="W62">IF($A62="","",IF($V62="",0,IFERROR(VLOOKUP(LEFT(TRIM(MID(SUBSTITUTE($V62,";",REPT(" ",99)),1,99)),FIND(":",TRIM(MID(SUBSTITUTE($V62,";",REPT(" ",99)),1,99)))-1),Materiales!$A$2:$E$502,5,FALSE)*VALUE(MID(TRIM(MID(SUBSTITUTE($V62,";",REPT(" ",99)),1,99)),FIND(":",TRIM(MID(SUBSTITUTE($V62,";",REPT(" ",99)),1,99)))+1,99)),0) + IFERROR(VLOOKUP(LEFT(TRIM(MID(SUBSTITUTE($V62,";",REPT(" ",99)),100,99)),FIND(":",TRIM(MID(SUBSTITUTE($V62,";",REPT(" ",99)),100,99)))-1),Materiales!$A$2:$E$502,5,FALSE)*VALUE(MID(TRIM(MID(SUBSTITUTE($V62,";",REPT(" ",99)),100,99)),FIND(":",TRIM(MID(SUBSTITUTE($V62,";",REPT(" ",99)),100,99)))+1,99)),0) + IFERROR(VLOOKUP(LEFT(TRIM(MID(SUBSTITUTE($V62,";",REPT(" ",99)),199,99)),FIND(":",TRIM(MID(SUBSTITUTE($V62,";",REPT(" ",99)),199,99)))-1),Materiales!$A$2:$E$502,5,FALSE)*VALUE(MID(TRIM(MID(SUBSTITUTE($V62,";",REPT(" ",99)),199,99)),FIND(":",TRIM(MID(SUBSTITUTE($V62,";",REPT(" ",99)),199,99)))+1,99)),0) + IFERROR(VLOOKUP(LEFT(TRIM(MID(SUBSTITUTE($V62,";",REPT(" ",99)),298,99)),FIND(":",TRIM(MID(SUBSTITUTE($V62,";",REPT(" ",99)),298,99)))-1),Materiales!$A$2:$E$502,5,FALSE)*VALUE(MID(TRIM(MID(SUBSTITUTE($V62,";",REPT(" ",99)),298,99)),FIND(":",TRIM(MID(SUBSTITUTE($V62,";",REPT(" ",99)),298,99)))+1,99)),0) + IFERROR(VLOOKUP(LEFT(TRIM(MID(SUBSTITUTE($V62,";",REPT(" ",99)),397,99)),FIND(":",TRIM(MID(SUBSTITUTE($V62,";",REPT(" ",99)),397,99)))-1),Materiales!$A$2:$E$502,5,FALSE)*VALUE(MID(TRIM(MID(SUBSTITUTE($V62,";",REPT(" ",99)),397,99)),FIND(":",TRIM(MID(SUBSTITUTE($V62,";",REPT(" ",99)),397,99)))+1,99)),0) + IFERROR(VLOOKUP(LEFT(TRIM(MID(SUBSTITUTE($V62,";",REPT(" ",99)),496,99)),FIND(":",TRIM(MID(SUBSTITUTE($V62,";",REPT(" ",99)),496,99)))-1),Materiales!$A$2:$E$502,5,FALSE)*VALUE(MID(TRIM(MID(SUBSTITUTE($V62,";",REPT(" ",99)),496,99)),FIND(":",TRIM(MID(SUBSTITUTE($V62,";",REPT(" ",99)),496,99)))+1,99)),0) + IFERROR(VLOOKUP(LEFT(TRIM(MID(SUBSTITUTE($V62,";",REPT(" ",99)),595,99)),FIND(":",TRIM(MID(SUBSTITUTE($V62,";",REPT(" ",99)),595,99)))-1),Materiales!$A$2:$E$502,5,FALSE)*VALUE(MID(TRIM(MID(SUBSTITUTE($V62,";",REPT(" ",99)),595,99)),FIND(":",TRIM(MID(SUBSTITUTE($V62,";",REPT(" ",99)),595,99)))+1,99)),0) + IFERROR(VLOOKUP(LEFT(TRIM(MID(SUBSTITUTE($V62,";",REPT(" ",99)),694,99)),FIND(":",TRIM(MID(SUBSTITUTE($V62,";",REPT(" ",99)),694,99)))-1),Materiales!$A$2:$E$502,5,FALSE)*VALUE(MID(TRIM(MID(SUBSTITUTE($V62,";",REPT(" ",99)),694,99)),FIND(":",TRIM(MID(SUBSTITUTE($V62,";",REPT(" ",99)),694,99)))+1,99)),0) + IFERROR(VLOOKUP(LEFT(TRIM(MID(SUBSTITUTE($V62,";",REPT(" ",99)),793,99)),FIND(":",TRIM(MID(SUBSTITUTE($V62,";",REPT(" ",99)),793,99)))-1),Materiales!$A$2:$E$502,5,FALSE)*VALUE(MID(TRIM(MID(SUBSTITUTE($V62,";",REPT(" ",99)),793,99)),FIND(":",TRIM(MID(SUBSTITUTE($V62,";",REPT(" ",99)),793,99)))+1,99)),0) + IFERROR(VLOOKUP(LEFT(TRIM(MID(SUBSTITUTE($V62,";",REPT(" ",99)),892,99)),FIND(":",TRIM(MID(SUBSTITUTE($V62,";",REPT(" ",99)),892,99)))-1),Materiales!$A$2:$E$502,5,FALSE)*VALUE(MID(TRIM(MID(SUBSTITUTE($V62,";",REPT(" ",99)),892,99)),FIND(":",TRIM(MID(SUBSTITUTE($V62,";",REPT(" ",99)),892,99)))+1,99)),0)))</f>
        <v/>
      </c>
      <c r="X62" s="39" t="str">
        <f t="shared" si="13"/>
        <v/>
      </c>
      <c r="Y62" s="64"/>
      <c r="Z62" s="41"/>
      <c r="AA62" s="65"/>
      <c r="AB62" s="14"/>
      <c r="AC62" s="66"/>
      <c r="AD62" s="65"/>
      <c r="AE62" s="44">
        <f t="shared" si="17"/>
        <v>0</v>
      </c>
      <c r="AF62" s="45" t="str">
        <f t="shared" si="18"/>
        <v>#DIV/0!</v>
      </c>
    </row>
    <row r="63" ht="15.75" customHeight="1">
      <c r="A63" s="3"/>
      <c r="B63" s="3"/>
      <c r="C63" s="38"/>
      <c r="D63" s="38"/>
      <c r="E63" s="38"/>
      <c r="F63" s="14"/>
      <c r="G63" s="5" t="str">
        <f t="array" ref="G63">IF($A63="","",IFERROR($F63*(N($C63)*XLOOKUP($B63,Ceras!$A$2:$A$500,Ceras!$G$2:$G$500,0)+IF($D63="",0,N($E63)*XLOOKUP($D63,Ceras!$A$2:$A$500,Ceras!$G$2:$G$500,0))),"Revisar cera"))</f>
        <v/>
      </c>
      <c r="H63" s="5"/>
      <c r="I63" s="3"/>
      <c r="J63" s="14"/>
      <c r="K63" s="5" t="str">
        <f t="array" ref="K63">IF($A63="","",IFERROR($J63*XLOOKUP($I63,Pabilos!$A$2:$A$500,Pabilos!$H$2:$H$500,0),"Revisar pabilo"))</f>
        <v/>
      </c>
      <c r="L63" s="3"/>
      <c r="M63" s="14"/>
      <c r="N63" s="5" t="str">
        <f t="array" ref="N63">IF($A63="","",IFERROR($M63*XLOOKUP($L63,Esencias!$A$2:$A$501,Esencias!$G$2:$G$501,0),"Revisar esencia"))</f>
        <v/>
      </c>
      <c r="O63" s="3"/>
      <c r="P63" s="14"/>
      <c r="Q63" s="5" t="str">
        <f t="array" ref="Q63">IF($A63="","",IFERROR(IF($P63="",1,$P63)*XLOOKUP($O63,Colores!$A$2:$A$500,Colores!$H$2:$H$500,0),"Revisar color"))</f>
        <v/>
      </c>
      <c r="R63" s="3"/>
      <c r="S63" s="5" t="str">
        <f t="array" ref="S63">IF($A63="","",IF($R63="",0,IFERROR(VLOOKUP(LEFT(TRIM(MID(SUBSTITUTE($R63,";",REPT(" ",99)),1,99)),FIND(":",TRIM(MID(SUBSTITUTE($R63,";",REPT(" ",99)),1,99)))-1),Materiales!$A$2:$E$502,5,FALSE)*VALUE(MID(TRIM(MID(SUBSTITUTE($R63,";",REPT(" ",99)),1,99)),FIND(":",TRIM(MID(SUBSTITUTE($R63,";",REPT(" ",99)),1,99)))+1,99)),0) + IFERROR(VLOOKUP(LEFT(TRIM(MID(SUBSTITUTE($R63,";",REPT(" ",99)),100,99)),FIND(":",TRIM(MID(SUBSTITUTE($R63,";",REPT(" ",99)),100,99)))-1),Materiales!$A$2:$E$502,5,FALSE)*VALUE(MID(TRIM(MID(SUBSTITUTE($R63,";",REPT(" ",99)),100,99)),FIND(":",TRIM(MID(SUBSTITUTE($R63,";",REPT(" ",99)),100,99)))+1,99)),0) + IFERROR(VLOOKUP(LEFT(TRIM(MID(SUBSTITUTE($R63,";",REPT(" ",99)),199,99)),FIND(":",TRIM(MID(SUBSTITUTE($R63,";",REPT(" ",99)),199,99)))-1),Materiales!$A$2:$E$502,5,FALSE)*VALUE(MID(TRIM(MID(SUBSTITUTE($R63,";",REPT(" ",99)),199,99)),FIND(":",TRIM(MID(SUBSTITUTE($R63,";",REPT(" ",99)),199,99)))+1,99)),0) + IFERROR(VLOOKUP(LEFT(TRIM(MID(SUBSTITUTE($R63,";",REPT(" ",99)),298,99)),FIND(":",TRIM(MID(SUBSTITUTE($R63,";",REPT(" ",99)),298,99)))-1),Materiales!$A$2:$E$502,5,FALSE)*VALUE(MID(TRIM(MID(SUBSTITUTE($R63,";",REPT(" ",99)),298,99)),FIND(":",TRIM(MID(SUBSTITUTE($R63,";",REPT(" ",99)),298,99)))+1,99)),0) + IFERROR(VLOOKUP(LEFT(TRIM(MID(SUBSTITUTE($R63,";",REPT(" ",99)),397,99)),FIND(":",TRIM(MID(SUBSTITUTE($R63,";",REPT(" ",99)),397,99)))-1),Materiales!$A$2:$E$502,5,FALSE)*VALUE(MID(TRIM(MID(SUBSTITUTE($R63,";",REPT(" ",99)),397,99)),FIND(":",TRIM(MID(SUBSTITUTE($R63,";",REPT(" ",99)),397,99)))+1,99)),0) + IFERROR(VLOOKUP(LEFT(TRIM(MID(SUBSTITUTE($R63,";",REPT(" ",99)),496,99)),FIND(":",TRIM(MID(SUBSTITUTE($R63,";",REPT(" ",99)),496,99)))-1),Materiales!$A$2:$E$502,5,FALSE)*VALUE(MID(TRIM(MID(SUBSTITUTE($R63,";",REPT(" ",99)),496,99)),FIND(":",TRIM(MID(SUBSTITUTE($R63,";",REPT(" ",99)),496,99)))+1,99)),0) + IFERROR(VLOOKUP(LEFT(TRIM(MID(SUBSTITUTE($R63,";",REPT(" ",99)),595,99)),FIND(":",TRIM(MID(SUBSTITUTE($R63,";",REPT(" ",99)),595,99)))-1),Materiales!$A$2:$E$502,5,FALSE)*VALUE(MID(TRIM(MID(SUBSTITUTE($R63,";",REPT(" ",99)),595,99)),FIND(":",TRIM(MID(SUBSTITUTE($R63,";",REPT(" ",99)),595,99)))+1,99)),0) + IFERROR(VLOOKUP(LEFT(TRIM(MID(SUBSTITUTE($R63,";",REPT(" ",99)),694,99)),FIND(":",TRIM(MID(SUBSTITUTE($R63,";",REPT(" ",99)),694,99)))-1),Materiales!$A$2:$E$502,5,FALSE)*VALUE(MID(TRIM(MID(SUBSTITUTE($R63,";",REPT(" ",99)),694,99)),FIND(":",TRIM(MID(SUBSTITUTE($R63,";",REPT(" ",99)),694,99)))+1,99)),0) + IFERROR(VLOOKUP(LEFT(TRIM(MID(SUBSTITUTE($R63,";",REPT(" ",99)),793,99)),FIND(":",TRIM(MID(SUBSTITUTE($R63,";",REPT(" ",99)),793,99)))-1),Materiales!$A$2:$E$502,5,FALSE)*VALUE(MID(TRIM(MID(SUBSTITUTE($R63,";",REPT(" ",99)),793,99)),FIND(":",TRIM(MID(SUBSTITUTE($R63,";",REPT(" ",99)),793,99)))+1,99)),0) + IFERROR(VLOOKUP(LEFT(TRIM(MID(SUBSTITUTE($R63,";",REPT(" ",99)),892,99)),FIND(":",TRIM(MID(SUBSTITUTE($R63,";",REPT(" ",99)),892,99)))-1),Materiales!$A$2:$E$502,5,FALSE)*VALUE(MID(TRIM(MID(SUBSTITUTE($R63,";",REPT(" ",99)),892,99)),FIND(":",TRIM(MID(SUBSTITUTE($R63,";",REPT(" ",99)),892,99)))+1,99)),0)))</f>
        <v/>
      </c>
      <c r="T63" s="3"/>
      <c r="U63" s="5" t="str">
        <f t="array" ref="U63">IF($A63="","",IF($T63="",0,IFERROR(VLOOKUP(LEFT(TRIM(MID(SUBSTITUTE($T63,";",REPT(" ",99)),1,99)),FIND(":",TRIM(MID(SUBSTITUTE($T63,";",REPT(" ",99)),1,99)))-1),Materiales!$A$2:$E$502,5,FALSE)*VALUE(MID(TRIM(MID(SUBSTITUTE($T63,";",REPT(" ",99)),1,99)),FIND(":",TRIM(MID(SUBSTITUTE($T63,";",REPT(" ",99)),1,99)))+1,99)),0) + IFERROR(VLOOKUP(LEFT(TRIM(MID(SUBSTITUTE($T63,";",REPT(" ",99)),100,99)),FIND(":",TRIM(MID(SUBSTITUTE($T63,";",REPT(" ",99)),100,99)))-1),Materiales!$A$2:$E$502,5,FALSE)*VALUE(MID(TRIM(MID(SUBSTITUTE($T63,";",REPT(" ",99)),100,99)),FIND(":",TRIM(MID(SUBSTITUTE($T63,";",REPT(" ",99)),100,99)))+1,99)),0) + IFERROR(VLOOKUP(LEFT(TRIM(MID(SUBSTITUTE($T63,";",REPT(" ",99)),199,99)),FIND(":",TRIM(MID(SUBSTITUTE($T63,";",REPT(" ",99)),199,99)))-1),Materiales!$A$2:$E$502,5,FALSE)*VALUE(MID(TRIM(MID(SUBSTITUTE($T63,";",REPT(" ",99)),199,99)),FIND(":",TRIM(MID(SUBSTITUTE($T63,";",REPT(" ",99)),199,99)))+1,99)),0) + IFERROR(VLOOKUP(LEFT(TRIM(MID(SUBSTITUTE($T63,";",REPT(" ",99)),298,99)),FIND(":",TRIM(MID(SUBSTITUTE($T63,";",REPT(" ",99)),298,99)))-1),Materiales!$A$2:$E$502,5,FALSE)*VALUE(MID(TRIM(MID(SUBSTITUTE($T63,";",REPT(" ",99)),298,99)),FIND(":",TRIM(MID(SUBSTITUTE($T63,";",REPT(" ",99)),298,99)))+1,99)),0) + IFERROR(VLOOKUP(LEFT(TRIM(MID(SUBSTITUTE($T63,";",REPT(" ",99)),397,99)),FIND(":",TRIM(MID(SUBSTITUTE($T63,";",REPT(" ",99)),397,99)))-1),Materiales!$A$2:$E$502,5,FALSE)*VALUE(MID(TRIM(MID(SUBSTITUTE($T63,";",REPT(" ",99)),397,99)),FIND(":",TRIM(MID(SUBSTITUTE($T63,";",REPT(" ",99)),397,99)))+1,99)),0) + IFERROR(VLOOKUP(LEFT(TRIM(MID(SUBSTITUTE($T63,";",REPT(" ",99)),496,99)),FIND(":",TRIM(MID(SUBSTITUTE($T63,";",REPT(" ",99)),496,99)))-1),Materiales!$A$2:$E$502,5,FALSE)*VALUE(MID(TRIM(MID(SUBSTITUTE($T63,";",REPT(" ",99)),496,99)),FIND(":",TRIM(MID(SUBSTITUTE($T63,";",REPT(" ",99)),496,99)))+1,99)),0) + IFERROR(VLOOKUP(LEFT(TRIM(MID(SUBSTITUTE($T63,";",REPT(" ",99)),595,99)),FIND(":",TRIM(MID(SUBSTITUTE($T63,";",REPT(" ",99)),595,99)))-1),Materiales!$A$2:$E$502,5,FALSE)*VALUE(MID(TRIM(MID(SUBSTITUTE($T63,";",REPT(" ",99)),595,99)),FIND(":",TRIM(MID(SUBSTITUTE($T63,";",REPT(" ",99)),595,99)))+1,99)),0) + IFERROR(VLOOKUP(LEFT(TRIM(MID(SUBSTITUTE($T63,";",REPT(" ",99)),694,99)),FIND(":",TRIM(MID(SUBSTITUTE($T63,";",REPT(" ",99)),694,99)))-1),Materiales!$A$2:$E$502,5,FALSE)*VALUE(MID(TRIM(MID(SUBSTITUTE($T63,";",REPT(" ",99)),694,99)),FIND(":",TRIM(MID(SUBSTITUTE($T63,";",REPT(" ",99)),694,99)))+1,99)),0) + IFERROR(VLOOKUP(LEFT(TRIM(MID(SUBSTITUTE($T63,";",REPT(" ",99)),793,99)),FIND(":",TRIM(MID(SUBSTITUTE($T63,";",REPT(" ",99)),793,99)))-1),Materiales!$A$2:$E$502,5,FALSE)*VALUE(MID(TRIM(MID(SUBSTITUTE($T63,";",REPT(" ",99)),793,99)),FIND(":",TRIM(MID(SUBSTITUTE($T63,";",REPT(" ",99)),793,99)))+1,99)),0) + IFERROR(VLOOKUP(LEFT(TRIM(MID(SUBSTITUTE($T63,";",REPT(" ",99)),892,99)),FIND(":",TRIM(MID(SUBSTITUTE($T63,";",REPT(" ",99)),892,99)))-1),Materiales!$A$2:$E$502,5,FALSE)*VALUE(MID(TRIM(MID(SUBSTITUTE($T63,";",REPT(" ",99)),892,99)),FIND(":",TRIM(MID(SUBSTITUTE($T63,";",REPT(" ",99)),892,99)))+1,99)),0)))</f>
        <v/>
      </c>
      <c r="V63" s="3"/>
      <c r="W63" s="5" t="str">
        <f t="array" ref="W63">IF($A63="","",IF($V63="",0,IFERROR(VLOOKUP(LEFT(TRIM(MID(SUBSTITUTE($V63,";",REPT(" ",99)),1,99)),FIND(":",TRIM(MID(SUBSTITUTE($V63,";",REPT(" ",99)),1,99)))-1),Materiales!$A$2:$E$502,5,FALSE)*VALUE(MID(TRIM(MID(SUBSTITUTE($V63,";",REPT(" ",99)),1,99)),FIND(":",TRIM(MID(SUBSTITUTE($V63,";",REPT(" ",99)),1,99)))+1,99)),0) + IFERROR(VLOOKUP(LEFT(TRIM(MID(SUBSTITUTE($V63,";",REPT(" ",99)),100,99)),FIND(":",TRIM(MID(SUBSTITUTE($V63,";",REPT(" ",99)),100,99)))-1),Materiales!$A$2:$E$502,5,FALSE)*VALUE(MID(TRIM(MID(SUBSTITUTE($V63,";",REPT(" ",99)),100,99)),FIND(":",TRIM(MID(SUBSTITUTE($V63,";",REPT(" ",99)),100,99)))+1,99)),0) + IFERROR(VLOOKUP(LEFT(TRIM(MID(SUBSTITUTE($V63,";",REPT(" ",99)),199,99)),FIND(":",TRIM(MID(SUBSTITUTE($V63,";",REPT(" ",99)),199,99)))-1),Materiales!$A$2:$E$502,5,FALSE)*VALUE(MID(TRIM(MID(SUBSTITUTE($V63,";",REPT(" ",99)),199,99)),FIND(":",TRIM(MID(SUBSTITUTE($V63,";",REPT(" ",99)),199,99)))+1,99)),0) + IFERROR(VLOOKUP(LEFT(TRIM(MID(SUBSTITUTE($V63,";",REPT(" ",99)),298,99)),FIND(":",TRIM(MID(SUBSTITUTE($V63,";",REPT(" ",99)),298,99)))-1),Materiales!$A$2:$E$502,5,FALSE)*VALUE(MID(TRIM(MID(SUBSTITUTE($V63,";",REPT(" ",99)),298,99)),FIND(":",TRIM(MID(SUBSTITUTE($V63,";",REPT(" ",99)),298,99)))+1,99)),0) + IFERROR(VLOOKUP(LEFT(TRIM(MID(SUBSTITUTE($V63,";",REPT(" ",99)),397,99)),FIND(":",TRIM(MID(SUBSTITUTE($V63,";",REPT(" ",99)),397,99)))-1),Materiales!$A$2:$E$502,5,FALSE)*VALUE(MID(TRIM(MID(SUBSTITUTE($V63,";",REPT(" ",99)),397,99)),FIND(":",TRIM(MID(SUBSTITUTE($V63,";",REPT(" ",99)),397,99)))+1,99)),0) + IFERROR(VLOOKUP(LEFT(TRIM(MID(SUBSTITUTE($V63,";",REPT(" ",99)),496,99)),FIND(":",TRIM(MID(SUBSTITUTE($V63,";",REPT(" ",99)),496,99)))-1),Materiales!$A$2:$E$502,5,FALSE)*VALUE(MID(TRIM(MID(SUBSTITUTE($V63,";",REPT(" ",99)),496,99)),FIND(":",TRIM(MID(SUBSTITUTE($V63,";",REPT(" ",99)),496,99)))+1,99)),0) + IFERROR(VLOOKUP(LEFT(TRIM(MID(SUBSTITUTE($V63,";",REPT(" ",99)),595,99)),FIND(":",TRIM(MID(SUBSTITUTE($V63,";",REPT(" ",99)),595,99)))-1),Materiales!$A$2:$E$502,5,FALSE)*VALUE(MID(TRIM(MID(SUBSTITUTE($V63,";",REPT(" ",99)),595,99)),FIND(":",TRIM(MID(SUBSTITUTE($V63,";",REPT(" ",99)),595,99)))+1,99)),0) + IFERROR(VLOOKUP(LEFT(TRIM(MID(SUBSTITUTE($V63,";",REPT(" ",99)),694,99)),FIND(":",TRIM(MID(SUBSTITUTE($V63,";",REPT(" ",99)),694,99)))-1),Materiales!$A$2:$E$502,5,FALSE)*VALUE(MID(TRIM(MID(SUBSTITUTE($V63,";",REPT(" ",99)),694,99)),FIND(":",TRIM(MID(SUBSTITUTE($V63,";",REPT(" ",99)),694,99)))+1,99)),0) + IFERROR(VLOOKUP(LEFT(TRIM(MID(SUBSTITUTE($V63,";",REPT(" ",99)),793,99)),FIND(":",TRIM(MID(SUBSTITUTE($V63,";",REPT(" ",99)),793,99)))-1),Materiales!$A$2:$E$502,5,FALSE)*VALUE(MID(TRIM(MID(SUBSTITUTE($V63,";",REPT(" ",99)),793,99)),FIND(":",TRIM(MID(SUBSTITUTE($V63,";",REPT(" ",99)),793,99)))+1,99)),0) + IFERROR(VLOOKUP(LEFT(TRIM(MID(SUBSTITUTE($V63,";",REPT(" ",99)),892,99)),FIND(":",TRIM(MID(SUBSTITUTE($V63,";",REPT(" ",99)),892,99)))-1),Materiales!$A$2:$E$502,5,FALSE)*VALUE(MID(TRIM(MID(SUBSTITUTE($V63,";",REPT(" ",99)),892,99)),FIND(":",TRIM(MID(SUBSTITUTE($V63,";",REPT(" ",99)),892,99)))+1,99)),0)))</f>
        <v/>
      </c>
      <c r="X63" s="39" t="str">
        <f t="shared" si="13"/>
        <v/>
      </c>
      <c r="Y63" s="64"/>
      <c r="Z63" s="41"/>
      <c r="AA63" s="65"/>
      <c r="AB63" s="14"/>
      <c r="AC63" s="66"/>
      <c r="AD63" s="65"/>
      <c r="AE63" s="44">
        <f t="shared" si="17"/>
        <v>0</v>
      </c>
      <c r="AF63" s="45" t="str">
        <f t="shared" si="18"/>
        <v>#DIV/0!</v>
      </c>
    </row>
    <row r="64" ht="15.75" customHeight="1">
      <c r="A64" s="3"/>
      <c r="B64" s="3"/>
      <c r="C64" s="38"/>
      <c r="D64" s="38"/>
      <c r="E64" s="38"/>
      <c r="F64" s="14"/>
      <c r="G64" s="5" t="str">
        <f t="array" ref="G64">IF($A64="","",IFERROR($F64*(N($C64)*XLOOKUP($B64,Ceras!$A$2:$A$500,Ceras!$G$2:$G$500,0)+IF($D64="",0,N($E64)*XLOOKUP($D64,Ceras!$A$2:$A$500,Ceras!$G$2:$G$500,0))),"Revisar cera"))</f>
        <v/>
      </c>
      <c r="H64" s="5"/>
      <c r="I64" s="3"/>
      <c r="J64" s="14"/>
      <c r="K64" s="5" t="str">
        <f t="array" ref="K64">IF($A64="","",IFERROR($J64*XLOOKUP($I64,Pabilos!$A$2:$A$500,Pabilos!$H$2:$H$500,0),"Revisar pabilo"))</f>
        <v/>
      </c>
      <c r="L64" s="3"/>
      <c r="M64" s="14"/>
      <c r="N64" s="5" t="str">
        <f t="array" ref="N64">IF($A64="","",IFERROR($M64*XLOOKUP($L64,Esencias!$A$2:$A$501,Esencias!$G$2:$G$501,0),"Revisar esencia"))</f>
        <v/>
      </c>
      <c r="O64" s="3"/>
      <c r="P64" s="14"/>
      <c r="Q64" s="5" t="str">
        <f t="array" ref="Q64">IF($A64="","",IFERROR(IF($P64="",1,$P64)*XLOOKUP($O64,Colores!$A$2:$A$500,Colores!$H$2:$H$500,0),"Revisar color"))</f>
        <v/>
      </c>
      <c r="R64" s="3"/>
      <c r="S64" s="5" t="str">
        <f t="array" ref="S64">IF($A64="","",IF($R64="",0,IFERROR(VLOOKUP(LEFT(TRIM(MID(SUBSTITUTE($R64,";",REPT(" ",99)),1,99)),FIND(":",TRIM(MID(SUBSTITUTE($R64,";",REPT(" ",99)),1,99)))-1),Materiales!$A$2:$E$502,5,FALSE)*VALUE(MID(TRIM(MID(SUBSTITUTE($R64,";",REPT(" ",99)),1,99)),FIND(":",TRIM(MID(SUBSTITUTE($R64,";",REPT(" ",99)),1,99)))+1,99)),0) + IFERROR(VLOOKUP(LEFT(TRIM(MID(SUBSTITUTE($R64,";",REPT(" ",99)),100,99)),FIND(":",TRIM(MID(SUBSTITUTE($R64,";",REPT(" ",99)),100,99)))-1),Materiales!$A$2:$E$502,5,FALSE)*VALUE(MID(TRIM(MID(SUBSTITUTE($R64,";",REPT(" ",99)),100,99)),FIND(":",TRIM(MID(SUBSTITUTE($R64,";",REPT(" ",99)),100,99)))+1,99)),0) + IFERROR(VLOOKUP(LEFT(TRIM(MID(SUBSTITUTE($R64,";",REPT(" ",99)),199,99)),FIND(":",TRIM(MID(SUBSTITUTE($R64,";",REPT(" ",99)),199,99)))-1),Materiales!$A$2:$E$502,5,FALSE)*VALUE(MID(TRIM(MID(SUBSTITUTE($R64,";",REPT(" ",99)),199,99)),FIND(":",TRIM(MID(SUBSTITUTE($R64,";",REPT(" ",99)),199,99)))+1,99)),0) + IFERROR(VLOOKUP(LEFT(TRIM(MID(SUBSTITUTE($R64,";",REPT(" ",99)),298,99)),FIND(":",TRIM(MID(SUBSTITUTE($R64,";",REPT(" ",99)),298,99)))-1),Materiales!$A$2:$E$502,5,FALSE)*VALUE(MID(TRIM(MID(SUBSTITUTE($R64,";",REPT(" ",99)),298,99)),FIND(":",TRIM(MID(SUBSTITUTE($R64,";",REPT(" ",99)),298,99)))+1,99)),0) + IFERROR(VLOOKUP(LEFT(TRIM(MID(SUBSTITUTE($R64,";",REPT(" ",99)),397,99)),FIND(":",TRIM(MID(SUBSTITUTE($R64,";",REPT(" ",99)),397,99)))-1),Materiales!$A$2:$E$502,5,FALSE)*VALUE(MID(TRIM(MID(SUBSTITUTE($R64,";",REPT(" ",99)),397,99)),FIND(":",TRIM(MID(SUBSTITUTE($R64,";",REPT(" ",99)),397,99)))+1,99)),0) + IFERROR(VLOOKUP(LEFT(TRIM(MID(SUBSTITUTE($R64,";",REPT(" ",99)),496,99)),FIND(":",TRIM(MID(SUBSTITUTE($R64,";",REPT(" ",99)),496,99)))-1),Materiales!$A$2:$E$502,5,FALSE)*VALUE(MID(TRIM(MID(SUBSTITUTE($R64,";",REPT(" ",99)),496,99)),FIND(":",TRIM(MID(SUBSTITUTE($R64,";",REPT(" ",99)),496,99)))+1,99)),0) + IFERROR(VLOOKUP(LEFT(TRIM(MID(SUBSTITUTE($R64,";",REPT(" ",99)),595,99)),FIND(":",TRIM(MID(SUBSTITUTE($R64,";",REPT(" ",99)),595,99)))-1),Materiales!$A$2:$E$502,5,FALSE)*VALUE(MID(TRIM(MID(SUBSTITUTE($R64,";",REPT(" ",99)),595,99)),FIND(":",TRIM(MID(SUBSTITUTE($R64,";",REPT(" ",99)),595,99)))+1,99)),0) + IFERROR(VLOOKUP(LEFT(TRIM(MID(SUBSTITUTE($R64,";",REPT(" ",99)),694,99)),FIND(":",TRIM(MID(SUBSTITUTE($R64,";",REPT(" ",99)),694,99)))-1),Materiales!$A$2:$E$502,5,FALSE)*VALUE(MID(TRIM(MID(SUBSTITUTE($R64,";",REPT(" ",99)),694,99)),FIND(":",TRIM(MID(SUBSTITUTE($R64,";",REPT(" ",99)),694,99)))+1,99)),0) + IFERROR(VLOOKUP(LEFT(TRIM(MID(SUBSTITUTE($R64,";",REPT(" ",99)),793,99)),FIND(":",TRIM(MID(SUBSTITUTE($R64,";",REPT(" ",99)),793,99)))-1),Materiales!$A$2:$E$502,5,FALSE)*VALUE(MID(TRIM(MID(SUBSTITUTE($R64,";",REPT(" ",99)),793,99)),FIND(":",TRIM(MID(SUBSTITUTE($R64,";",REPT(" ",99)),793,99)))+1,99)),0) + IFERROR(VLOOKUP(LEFT(TRIM(MID(SUBSTITUTE($R64,";",REPT(" ",99)),892,99)),FIND(":",TRIM(MID(SUBSTITUTE($R64,";",REPT(" ",99)),892,99)))-1),Materiales!$A$2:$E$502,5,FALSE)*VALUE(MID(TRIM(MID(SUBSTITUTE($R64,";",REPT(" ",99)),892,99)),FIND(":",TRIM(MID(SUBSTITUTE($R64,";",REPT(" ",99)),892,99)))+1,99)),0)))</f>
        <v/>
      </c>
      <c r="T64" s="3"/>
      <c r="U64" s="5" t="str">
        <f t="array" ref="U64">IF($A64="","",IF($T64="",0,IFERROR(VLOOKUP(LEFT(TRIM(MID(SUBSTITUTE($T64,";",REPT(" ",99)),1,99)),FIND(":",TRIM(MID(SUBSTITUTE($T64,";",REPT(" ",99)),1,99)))-1),Materiales!$A$2:$E$502,5,FALSE)*VALUE(MID(TRIM(MID(SUBSTITUTE($T64,";",REPT(" ",99)),1,99)),FIND(":",TRIM(MID(SUBSTITUTE($T64,";",REPT(" ",99)),1,99)))+1,99)),0) + IFERROR(VLOOKUP(LEFT(TRIM(MID(SUBSTITUTE($T64,";",REPT(" ",99)),100,99)),FIND(":",TRIM(MID(SUBSTITUTE($T64,";",REPT(" ",99)),100,99)))-1),Materiales!$A$2:$E$502,5,FALSE)*VALUE(MID(TRIM(MID(SUBSTITUTE($T64,";",REPT(" ",99)),100,99)),FIND(":",TRIM(MID(SUBSTITUTE($T64,";",REPT(" ",99)),100,99)))+1,99)),0) + IFERROR(VLOOKUP(LEFT(TRIM(MID(SUBSTITUTE($T64,";",REPT(" ",99)),199,99)),FIND(":",TRIM(MID(SUBSTITUTE($T64,";",REPT(" ",99)),199,99)))-1),Materiales!$A$2:$E$502,5,FALSE)*VALUE(MID(TRIM(MID(SUBSTITUTE($T64,";",REPT(" ",99)),199,99)),FIND(":",TRIM(MID(SUBSTITUTE($T64,";",REPT(" ",99)),199,99)))+1,99)),0) + IFERROR(VLOOKUP(LEFT(TRIM(MID(SUBSTITUTE($T64,";",REPT(" ",99)),298,99)),FIND(":",TRIM(MID(SUBSTITUTE($T64,";",REPT(" ",99)),298,99)))-1),Materiales!$A$2:$E$502,5,FALSE)*VALUE(MID(TRIM(MID(SUBSTITUTE($T64,";",REPT(" ",99)),298,99)),FIND(":",TRIM(MID(SUBSTITUTE($T64,";",REPT(" ",99)),298,99)))+1,99)),0) + IFERROR(VLOOKUP(LEFT(TRIM(MID(SUBSTITUTE($T64,";",REPT(" ",99)),397,99)),FIND(":",TRIM(MID(SUBSTITUTE($T64,";",REPT(" ",99)),397,99)))-1),Materiales!$A$2:$E$502,5,FALSE)*VALUE(MID(TRIM(MID(SUBSTITUTE($T64,";",REPT(" ",99)),397,99)),FIND(":",TRIM(MID(SUBSTITUTE($T64,";",REPT(" ",99)),397,99)))+1,99)),0) + IFERROR(VLOOKUP(LEFT(TRIM(MID(SUBSTITUTE($T64,";",REPT(" ",99)),496,99)),FIND(":",TRIM(MID(SUBSTITUTE($T64,";",REPT(" ",99)),496,99)))-1),Materiales!$A$2:$E$502,5,FALSE)*VALUE(MID(TRIM(MID(SUBSTITUTE($T64,";",REPT(" ",99)),496,99)),FIND(":",TRIM(MID(SUBSTITUTE($T64,";",REPT(" ",99)),496,99)))+1,99)),0) + IFERROR(VLOOKUP(LEFT(TRIM(MID(SUBSTITUTE($T64,";",REPT(" ",99)),595,99)),FIND(":",TRIM(MID(SUBSTITUTE($T64,";",REPT(" ",99)),595,99)))-1),Materiales!$A$2:$E$502,5,FALSE)*VALUE(MID(TRIM(MID(SUBSTITUTE($T64,";",REPT(" ",99)),595,99)),FIND(":",TRIM(MID(SUBSTITUTE($T64,";",REPT(" ",99)),595,99)))+1,99)),0) + IFERROR(VLOOKUP(LEFT(TRIM(MID(SUBSTITUTE($T64,";",REPT(" ",99)),694,99)),FIND(":",TRIM(MID(SUBSTITUTE($T64,";",REPT(" ",99)),694,99)))-1),Materiales!$A$2:$E$502,5,FALSE)*VALUE(MID(TRIM(MID(SUBSTITUTE($T64,";",REPT(" ",99)),694,99)),FIND(":",TRIM(MID(SUBSTITUTE($T64,";",REPT(" ",99)),694,99)))+1,99)),0) + IFERROR(VLOOKUP(LEFT(TRIM(MID(SUBSTITUTE($T64,";",REPT(" ",99)),793,99)),FIND(":",TRIM(MID(SUBSTITUTE($T64,";",REPT(" ",99)),793,99)))-1),Materiales!$A$2:$E$502,5,FALSE)*VALUE(MID(TRIM(MID(SUBSTITUTE($T64,";",REPT(" ",99)),793,99)),FIND(":",TRIM(MID(SUBSTITUTE($T64,";",REPT(" ",99)),793,99)))+1,99)),0) + IFERROR(VLOOKUP(LEFT(TRIM(MID(SUBSTITUTE($T64,";",REPT(" ",99)),892,99)),FIND(":",TRIM(MID(SUBSTITUTE($T64,";",REPT(" ",99)),892,99)))-1),Materiales!$A$2:$E$502,5,FALSE)*VALUE(MID(TRIM(MID(SUBSTITUTE($T64,";",REPT(" ",99)),892,99)),FIND(":",TRIM(MID(SUBSTITUTE($T64,";",REPT(" ",99)),892,99)))+1,99)),0)))</f>
        <v/>
      </c>
      <c r="V64" s="3"/>
      <c r="W64" s="5" t="str">
        <f t="array" ref="W64">IF($A64="","",IF($V64="",0,IFERROR(VLOOKUP(LEFT(TRIM(MID(SUBSTITUTE($V64,";",REPT(" ",99)),1,99)),FIND(":",TRIM(MID(SUBSTITUTE($V64,";",REPT(" ",99)),1,99)))-1),Materiales!$A$2:$E$502,5,FALSE)*VALUE(MID(TRIM(MID(SUBSTITUTE($V64,";",REPT(" ",99)),1,99)),FIND(":",TRIM(MID(SUBSTITUTE($V64,";",REPT(" ",99)),1,99)))+1,99)),0) + IFERROR(VLOOKUP(LEFT(TRIM(MID(SUBSTITUTE($V64,";",REPT(" ",99)),100,99)),FIND(":",TRIM(MID(SUBSTITUTE($V64,";",REPT(" ",99)),100,99)))-1),Materiales!$A$2:$E$502,5,FALSE)*VALUE(MID(TRIM(MID(SUBSTITUTE($V64,";",REPT(" ",99)),100,99)),FIND(":",TRIM(MID(SUBSTITUTE($V64,";",REPT(" ",99)),100,99)))+1,99)),0) + IFERROR(VLOOKUP(LEFT(TRIM(MID(SUBSTITUTE($V64,";",REPT(" ",99)),199,99)),FIND(":",TRIM(MID(SUBSTITUTE($V64,";",REPT(" ",99)),199,99)))-1),Materiales!$A$2:$E$502,5,FALSE)*VALUE(MID(TRIM(MID(SUBSTITUTE($V64,";",REPT(" ",99)),199,99)),FIND(":",TRIM(MID(SUBSTITUTE($V64,";",REPT(" ",99)),199,99)))+1,99)),0) + IFERROR(VLOOKUP(LEFT(TRIM(MID(SUBSTITUTE($V64,";",REPT(" ",99)),298,99)),FIND(":",TRIM(MID(SUBSTITUTE($V64,";",REPT(" ",99)),298,99)))-1),Materiales!$A$2:$E$502,5,FALSE)*VALUE(MID(TRIM(MID(SUBSTITUTE($V64,";",REPT(" ",99)),298,99)),FIND(":",TRIM(MID(SUBSTITUTE($V64,";",REPT(" ",99)),298,99)))+1,99)),0) + IFERROR(VLOOKUP(LEFT(TRIM(MID(SUBSTITUTE($V64,";",REPT(" ",99)),397,99)),FIND(":",TRIM(MID(SUBSTITUTE($V64,";",REPT(" ",99)),397,99)))-1),Materiales!$A$2:$E$502,5,FALSE)*VALUE(MID(TRIM(MID(SUBSTITUTE($V64,";",REPT(" ",99)),397,99)),FIND(":",TRIM(MID(SUBSTITUTE($V64,";",REPT(" ",99)),397,99)))+1,99)),0) + IFERROR(VLOOKUP(LEFT(TRIM(MID(SUBSTITUTE($V64,";",REPT(" ",99)),496,99)),FIND(":",TRIM(MID(SUBSTITUTE($V64,";",REPT(" ",99)),496,99)))-1),Materiales!$A$2:$E$502,5,FALSE)*VALUE(MID(TRIM(MID(SUBSTITUTE($V64,";",REPT(" ",99)),496,99)),FIND(":",TRIM(MID(SUBSTITUTE($V64,";",REPT(" ",99)),496,99)))+1,99)),0) + IFERROR(VLOOKUP(LEFT(TRIM(MID(SUBSTITUTE($V64,";",REPT(" ",99)),595,99)),FIND(":",TRIM(MID(SUBSTITUTE($V64,";",REPT(" ",99)),595,99)))-1),Materiales!$A$2:$E$502,5,FALSE)*VALUE(MID(TRIM(MID(SUBSTITUTE($V64,";",REPT(" ",99)),595,99)),FIND(":",TRIM(MID(SUBSTITUTE($V64,";",REPT(" ",99)),595,99)))+1,99)),0) + IFERROR(VLOOKUP(LEFT(TRIM(MID(SUBSTITUTE($V64,";",REPT(" ",99)),694,99)),FIND(":",TRIM(MID(SUBSTITUTE($V64,";",REPT(" ",99)),694,99)))-1),Materiales!$A$2:$E$502,5,FALSE)*VALUE(MID(TRIM(MID(SUBSTITUTE($V64,";",REPT(" ",99)),694,99)),FIND(":",TRIM(MID(SUBSTITUTE($V64,";",REPT(" ",99)),694,99)))+1,99)),0) + IFERROR(VLOOKUP(LEFT(TRIM(MID(SUBSTITUTE($V64,";",REPT(" ",99)),793,99)),FIND(":",TRIM(MID(SUBSTITUTE($V64,";",REPT(" ",99)),793,99)))-1),Materiales!$A$2:$E$502,5,FALSE)*VALUE(MID(TRIM(MID(SUBSTITUTE($V64,";",REPT(" ",99)),793,99)),FIND(":",TRIM(MID(SUBSTITUTE($V64,";",REPT(" ",99)),793,99)))+1,99)),0) + IFERROR(VLOOKUP(LEFT(TRIM(MID(SUBSTITUTE($V64,";",REPT(" ",99)),892,99)),FIND(":",TRIM(MID(SUBSTITUTE($V64,";",REPT(" ",99)),892,99)))-1),Materiales!$A$2:$E$502,5,FALSE)*VALUE(MID(TRIM(MID(SUBSTITUTE($V64,";",REPT(" ",99)),892,99)),FIND(":",TRIM(MID(SUBSTITUTE($V64,";",REPT(" ",99)),892,99)))+1,99)),0)))</f>
        <v/>
      </c>
      <c r="X64" s="39" t="str">
        <f t="shared" si="13"/>
        <v/>
      </c>
      <c r="Y64" s="64"/>
      <c r="Z64" s="41"/>
      <c r="AA64" s="65"/>
      <c r="AB64" s="14"/>
      <c r="AC64" s="66"/>
      <c r="AD64" s="65"/>
      <c r="AE64" s="44">
        <f t="shared" si="17"/>
        <v>0</v>
      </c>
      <c r="AF64" s="45" t="str">
        <f t="shared" si="18"/>
        <v>#DIV/0!</v>
      </c>
    </row>
    <row r="65" ht="15.75" customHeight="1">
      <c r="A65" s="3"/>
      <c r="B65" s="3"/>
      <c r="C65" s="38"/>
      <c r="D65" s="38"/>
      <c r="E65" s="38"/>
      <c r="F65" s="14"/>
      <c r="G65" s="5" t="str">
        <f t="array" ref="G65">IF($A65="","",IFERROR($F65*(N($C65)*XLOOKUP($B65,Ceras!$A$2:$A$500,Ceras!$G$2:$G$500,0)+IF($D65="",0,N($E65)*XLOOKUP($D65,Ceras!$A$2:$A$500,Ceras!$G$2:$G$500,0))),"Revisar cera"))</f>
        <v/>
      </c>
      <c r="H65" s="5"/>
      <c r="I65" s="3"/>
      <c r="J65" s="14"/>
      <c r="K65" s="5" t="str">
        <f t="array" ref="K65">IF($A65="","",IFERROR($J65*XLOOKUP($I65,Pabilos!$A$2:$A$500,Pabilos!$H$2:$H$500,0),"Revisar pabilo"))</f>
        <v/>
      </c>
      <c r="L65" s="3"/>
      <c r="M65" s="14"/>
      <c r="N65" s="5" t="str">
        <f t="array" ref="N65">IF($A65="","",IFERROR($M65*XLOOKUP($L65,Esencias!$A$2:$A$501,Esencias!$G$2:$G$501,0),"Revisar esencia"))</f>
        <v/>
      </c>
      <c r="O65" s="3"/>
      <c r="P65" s="14"/>
      <c r="Q65" s="5" t="str">
        <f t="array" ref="Q65">IF($A65="","",IFERROR(IF($P65="",1,$P65)*XLOOKUP($O65,Colores!$A$2:$A$500,Colores!$H$2:$H$500,0),"Revisar color"))</f>
        <v/>
      </c>
      <c r="R65" s="3"/>
      <c r="S65" s="5" t="str">
        <f t="array" ref="S65">IF($A65="","",IF($R65="",0,IFERROR(VLOOKUP(LEFT(TRIM(MID(SUBSTITUTE($R65,";",REPT(" ",99)),1,99)),FIND(":",TRIM(MID(SUBSTITUTE($R65,";",REPT(" ",99)),1,99)))-1),Materiales!$A$2:$E$502,5,FALSE)*VALUE(MID(TRIM(MID(SUBSTITUTE($R65,";",REPT(" ",99)),1,99)),FIND(":",TRIM(MID(SUBSTITUTE($R65,";",REPT(" ",99)),1,99)))+1,99)),0) + IFERROR(VLOOKUP(LEFT(TRIM(MID(SUBSTITUTE($R65,";",REPT(" ",99)),100,99)),FIND(":",TRIM(MID(SUBSTITUTE($R65,";",REPT(" ",99)),100,99)))-1),Materiales!$A$2:$E$502,5,FALSE)*VALUE(MID(TRIM(MID(SUBSTITUTE($R65,";",REPT(" ",99)),100,99)),FIND(":",TRIM(MID(SUBSTITUTE($R65,";",REPT(" ",99)),100,99)))+1,99)),0) + IFERROR(VLOOKUP(LEFT(TRIM(MID(SUBSTITUTE($R65,";",REPT(" ",99)),199,99)),FIND(":",TRIM(MID(SUBSTITUTE($R65,";",REPT(" ",99)),199,99)))-1),Materiales!$A$2:$E$502,5,FALSE)*VALUE(MID(TRIM(MID(SUBSTITUTE($R65,";",REPT(" ",99)),199,99)),FIND(":",TRIM(MID(SUBSTITUTE($R65,";",REPT(" ",99)),199,99)))+1,99)),0) + IFERROR(VLOOKUP(LEFT(TRIM(MID(SUBSTITUTE($R65,";",REPT(" ",99)),298,99)),FIND(":",TRIM(MID(SUBSTITUTE($R65,";",REPT(" ",99)),298,99)))-1),Materiales!$A$2:$E$502,5,FALSE)*VALUE(MID(TRIM(MID(SUBSTITUTE($R65,";",REPT(" ",99)),298,99)),FIND(":",TRIM(MID(SUBSTITUTE($R65,";",REPT(" ",99)),298,99)))+1,99)),0) + IFERROR(VLOOKUP(LEFT(TRIM(MID(SUBSTITUTE($R65,";",REPT(" ",99)),397,99)),FIND(":",TRIM(MID(SUBSTITUTE($R65,";",REPT(" ",99)),397,99)))-1),Materiales!$A$2:$E$502,5,FALSE)*VALUE(MID(TRIM(MID(SUBSTITUTE($R65,";",REPT(" ",99)),397,99)),FIND(":",TRIM(MID(SUBSTITUTE($R65,";",REPT(" ",99)),397,99)))+1,99)),0) + IFERROR(VLOOKUP(LEFT(TRIM(MID(SUBSTITUTE($R65,";",REPT(" ",99)),496,99)),FIND(":",TRIM(MID(SUBSTITUTE($R65,";",REPT(" ",99)),496,99)))-1),Materiales!$A$2:$E$502,5,FALSE)*VALUE(MID(TRIM(MID(SUBSTITUTE($R65,";",REPT(" ",99)),496,99)),FIND(":",TRIM(MID(SUBSTITUTE($R65,";",REPT(" ",99)),496,99)))+1,99)),0) + IFERROR(VLOOKUP(LEFT(TRIM(MID(SUBSTITUTE($R65,";",REPT(" ",99)),595,99)),FIND(":",TRIM(MID(SUBSTITUTE($R65,";",REPT(" ",99)),595,99)))-1),Materiales!$A$2:$E$502,5,FALSE)*VALUE(MID(TRIM(MID(SUBSTITUTE($R65,";",REPT(" ",99)),595,99)),FIND(":",TRIM(MID(SUBSTITUTE($R65,";",REPT(" ",99)),595,99)))+1,99)),0) + IFERROR(VLOOKUP(LEFT(TRIM(MID(SUBSTITUTE($R65,";",REPT(" ",99)),694,99)),FIND(":",TRIM(MID(SUBSTITUTE($R65,";",REPT(" ",99)),694,99)))-1),Materiales!$A$2:$E$502,5,FALSE)*VALUE(MID(TRIM(MID(SUBSTITUTE($R65,";",REPT(" ",99)),694,99)),FIND(":",TRIM(MID(SUBSTITUTE($R65,";",REPT(" ",99)),694,99)))+1,99)),0) + IFERROR(VLOOKUP(LEFT(TRIM(MID(SUBSTITUTE($R65,";",REPT(" ",99)),793,99)),FIND(":",TRIM(MID(SUBSTITUTE($R65,";",REPT(" ",99)),793,99)))-1),Materiales!$A$2:$E$502,5,FALSE)*VALUE(MID(TRIM(MID(SUBSTITUTE($R65,";",REPT(" ",99)),793,99)),FIND(":",TRIM(MID(SUBSTITUTE($R65,";",REPT(" ",99)),793,99)))+1,99)),0) + IFERROR(VLOOKUP(LEFT(TRIM(MID(SUBSTITUTE($R65,";",REPT(" ",99)),892,99)),FIND(":",TRIM(MID(SUBSTITUTE($R65,";",REPT(" ",99)),892,99)))-1),Materiales!$A$2:$E$502,5,FALSE)*VALUE(MID(TRIM(MID(SUBSTITUTE($R65,";",REPT(" ",99)),892,99)),FIND(":",TRIM(MID(SUBSTITUTE($R65,";",REPT(" ",99)),892,99)))+1,99)),0)))</f>
        <v/>
      </c>
      <c r="T65" s="3"/>
      <c r="U65" s="5" t="str">
        <f t="array" ref="U65">IF($A65="","",IF($T65="",0,IFERROR(VLOOKUP(LEFT(TRIM(MID(SUBSTITUTE($T65,";",REPT(" ",99)),1,99)),FIND(":",TRIM(MID(SUBSTITUTE($T65,";",REPT(" ",99)),1,99)))-1),Materiales!$A$2:$E$502,5,FALSE)*VALUE(MID(TRIM(MID(SUBSTITUTE($T65,";",REPT(" ",99)),1,99)),FIND(":",TRIM(MID(SUBSTITUTE($T65,";",REPT(" ",99)),1,99)))+1,99)),0) + IFERROR(VLOOKUP(LEFT(TRIM(MID(SUBSTITUTE($T65,";",REPT(" ",99)),100,99)),FIND(":",TRIM(MID(SUBSTITUTE($T65,";",REPT(" ",99)),100,99)))-1),Materiales!$A$2:$E$502,5,FALSE)*VALUE(MID(TRIM(MID(SUBSTITUTE($T65,";",REPT(" ",99)),100,99)),FIND(":",TRIM(MID(SUBSTITUTE($T65,";",REPT(" ",99)),100,99)))+1,99)),0) + IFERROR(VLOOKUP(LEFT(TRIM(MID(SUBSTITUTE($T65,";",REPT(" ",99)),199,99)),FIND(":",TRIM(MID(SUBSTITUTE($T65,";",REPT(" ",99)),199,99)))-1),Materiales!$A$2:$E$502,5,FALSE)*VALUE(MID(TRIM(MID(SUBSTITUTE($T65,";",REPT(" ",99)),199,99)),FIND(":",TRIM(MID(SUBSTITUTE($T65,";",REPT(" ",99)),199,99)))+1,99)),0) + IFERROR(VLOOKUP(LEFT(TRIM(MID(SUBSTITUTE($T65,";",REPT(" ",99)),298,99)),FIND(":",TRIM(MID(SUBSTITUTE($T65,";",REPT(" ",99)),298,99)))-1),Materiales!$A$2:$E$502,5,FALSE)*VALUE(MID(TRIM(MID(SUBSTITUTE($T65,";",REPT(" ",99)),298,99)),FIND(":",TRIM(MID(SUBSTITUTE($T65,";",REPT(" ",99)),298,99)))+1,99)),0) + IFERROR(VLOOKUP(LEFT(TRIM(MID(SUBSTITUTE($T65,";",REPT(" ",99)),397,99)),FIND(":",TRIM(MID(SUBSTITUTE($T65,";",REPT(" ",99)),397,99)))-1),Materiales!$A$2:$E$502,5,FALSE)*VALUE(MID(TRIM(MID(SUBSTITUTE($T65,";",REPT(" ",99)),397,99)),FIND(":",TRIM(MID(SUBSTITUTE($T65,";",REPT(" ",99)),397,99)))+1,99)),0) + IFERROR(VLOOKUP(LEFT(TRIM(MID(SUBSTITUTE($T65,";",REPT(" ",99)),496,99)),FIND(":",TRIM(MID(SUBSTITUTE($T65,";",REPT(" ",99)),496,99)))-1),Materiales!$A$2:$E$502,5,FALSE)*VALUE(MID(TRIM(MID(SUBSTITUTE($T65,";",REPT(" ",99)),496,99)),FIND(":",TRIM(MID(SUBSTITUTE($T65,";",REPT(" ",99)),496,99)))+1,99)),0) + IFERROR(VLOOKUP(LEFT(TRIM(MID(SUBSTITUTE($T65,";",REPT(" ",99)),595,99)),FIND(":",TRIM(MID(SUBSTITUTE($T65,";",REPT(" ",99)),595,99)))-1),Materiales!$A$2:$E$502,5,FALSE)*VALUE(MID(TRIM(MID(SUBSTITUTE($T65,";",REPT(" ",99)),595,99)),FIND(":",TRIM(MID(SUBSTITUTE($T65,";",REPT(" ",99)),595,99)))+1,99)),0) + IFERROR(VLOOKUP(LEFT(TRIM(MID(SUBSTITUTE($T65,";",REPT(" ",99)),694,99)),FIND(":",TRIM(MID(SUBSTITUTE($T65,";",REPT(" ",99)),694,99)))-1),Materiales!$A$2:$E$502,5,FALSE)*VALUE(MID(TRIM(MID(SUBSTITUTE($T65,";",REPT(" ",99)),694,99)),FIND(":",TRIM(MID(SUBSTITUTE($T65,";",REPT(" ",99)),694,99)))+1,99)),0) + IFERROR(VLOOKUP(LEFT(TRIM(MID(SUBSTITUTE($T65,";",REPT(" ",99)),793,99)),FIND(":",TRIM(MID(SUBSTITUTE($T65,";",REPT(" ",99)),793,99)))-1),Materiales!$A$2:$E$502,5,FALSE)*VALUE(MID(TRIM(MID(SUBSTITUTE($T65,";",REPT(" ",99)),793,99)),FIND(":",TRIM(MID(SUBSTITUTE($T65,";",REPT(" ",99)),793,99)))+1,99)),0) + IFERROR(VLOOKUP(LEFT(TRIM(MID(SUBSTITUTE($T65,";",REPT(" ",99)),892,99)),FIND(":",TRIM(MID(SUBSTITUTE($T65,";",REPT(" ",99)),892,99)))-1),Materiales!$A$2:$E$502,5,FALSE)*VALUE(MID(TRIM(MID(SUBSTITUTE($T65,";",REPT(" ",99)),892,99)),FIND(":",TRIM(MID(SUBSTITUTE($T65,";",REPT(" ",99)),892,99)))+1,99)),0)))</f>
        <v/>
      </c>
      <c r="V65" s="3"/>
      <c r="W65" s="5" t="str">
        <f t="array" ref="W65">IF($A65="","",IF($V65="",0,IFERROR(VLOOKUP(LEFT(TRIM(MID(SUBSTITUTE($V65,";",REPT(" ",99)),1,99)),FIND(":",TRIM(MID(SUBSTITUTE($V65,";",REPT(" ",99)),1,99)))-1),Materiales!$A$2:$E$502,5,FALSE)*VALUE(MID(TRIM(MID(SUBSTITUTE($V65,";",REPT(" ",99)),1,99)),FIND(":",TRIM(MID(SUBSTITUTE($V65,";",REPT(" ",99)),1,99)))+1,99)),0) + IFERROR(VLOOKUP(LEFT(TRIM(MID(SUBSTITUTE($V65,";",REPT(" ",99)),100,99)),FIND(":",TRIM(MID(SUBSTITUTE($V65,";",REPT(" ",99)),100,99)))-1),Materiales!$A$2:$E$502,5,FALSE)*VALUE(MID(TRIM(MID(SUBSTITUTE($V65,";",REPT(" ",99)),100,99)),FIND(":",TRIM(MID(SUBSTITUTE($V65,";",REPT(" ",99)),100,99)))+1,99)),0) + IFERROR(VLOOKUP(LEFT(TRIM(MID(SUBSTITUTE($V65,";",REPT(" ",99)),199,99)),FIND(":",TRIM(MID(SUBSTITUTE($V65,";",REPT(" ",99)),199,99)))-1),Materiales!$A$2:$E$502,5,FALSE)*VALUE(MID(TRIM(MID(SUBSTITUTE($V65,";",REPT(" ",99)),199,99)),FIND(":",TRIM(MID(SUBSTITUTE($V65,";",REPT(" ",99)),199,99)))+1,99)),0) + IFERROR(VLOOKUP(LEFT(TRIM(MID(SUBSTITUTE($V65,";",REPT(" ",99)),298,99)),FIND(":",TRIM(MID(SUBSTITUTE($V65,";",REPT(" ",99)),298,99)))-1),Materiales!$A$2:$E$502,5,FALSE)*VALUE(MID(TRIM(MID(SUBSTITUTE($V65,";",REPT(" ",99)),298,99)),FIND(":",TRIM(MID(SUBSTITUTE($V65,";",REPT(" ",99)),298,99)))+1,99)),0) + IFERROR(VLOOKUP(LEFT(TRIM(MID(SUBSTITUTE($V65,";",REPT(" ",99)),397,99)),FIND(":",TRIM(MID(SUBSTITUTE($V65,";",REPT(" ",99)),397,99)))-1),Materiales!$A$2:$E$502,5,FALSE)*VALUE(MID(TRIM(MID(SUBSTITUTE($V65,";",REPT(" ",99)),397,99)),FIND(":",TRIM(MID(SUBSTITUTE($V65,";",REPT(" ",99)),397,99)))+1,99)),0) + IFERROR(VLOOKUP(LEFT(TRIM(MID(SUBSTITUTE($V65,";",REPT(" ",99)),496,99)),FIND(":",TRIM(MID(SUBSTITUTE($V65,";",REPT(" ",99)),496,99)))-1),Materiales!$A$2:$E$502,5,FALSE)*VALUE(MID(TRIM(MID(SUBSTITUTE($V65,";",REPT(" ",99)),496,99)),FIND(":",TRIM(MID(SUBSTITUTE($V65,";",REPT(" ",99)),496,99)))+1,99)),0) + IFERROR(VLOOKUP(LEFT(TRIM(MID(SUBSTITUTE($V65,";",REPT(" ",99)),595,99)),FIND(":",TRIM(MID(SUBSTITUTE($V65,";",REPT(" ",99)),595,99)))-1),Materiales!$A$2:$E$502,5,FALSE)*VALUE(MID(TRIM(MID(SUBSTITUTE($V65,";",REPT(" ",99)),595,99)),FIND(":",TRIM(MID(SUBSTITUTE($V65,";",REPT(" ",99)),595,99)))+1,99)),0) + IFERROR(VLOOKUP(LEFT(TRIM(MID(SUBSTITUTE($V65,";",REPT(" ",99)),694,99)),FIND(":",TRIM(MID(SUBSTITUTE($V65,";",REPT(" ",99)),694,99)))-1),Materiales!$A$2:$E$502,5,FALSE)*VALUE(MID(TRIM(MID(SUBSTITUTE($V65,";",REPT(" ",99)),694,99)),FIND(":",TRIM(MID(SUBSTITUTE($V65,";",REPT(" ",99)),694,99)))+1,99)),0) + IFERROR(VLOOKUP(LEFT(TRIM(MID(SUBSTITUTE($V65,";",REPT(" ",99)),793,99)),FIND(":",TRIM(MID(SUBSTITUTE($V65,";",REPT(" ",99)),793,99)))-1),Materiales!$A$2:$E$502,5,FALSE)*VALUE(MID(TRIM(MID(SUBSTITUTE($V65,";",REPT(" ",99)),793,99)),FIND(":",TRIM(MID(SUBSTITUTE($V65,";",REPT(" ",99)),793,99)))+1,99)),0) + IFERROR(VLOOKUP(LEFT(TRIM(MID(SUBSTITUTE($V65,";",REPT(" ",99)),892,99)),FIND(":",TRIM(MID(SUBSTITUTE($V65,";",REPT(" ",99)),892,99)))-1),Materiales!$A$2:$E$502,5,FALSE)*VALUE(MID(TRIM(MID(SUBSTITUTE($V65,";",REPT(" ",99)),892,99)),FIND(":",TRIM(MID(SUBSTITUTE($V65,";",REPT(" ",99)),892,99)))+1,99)),0)))</f>
        <v/>
      </c>
      <c r="X65" s="39" t="str">
        <f t="shared" si="13"/>
        <v/>
      </c>
      <c r="Y65" s="64"/>
      <c r="Z65" s="41"/>
      <c r="AA65" s="65"/>
      <c r="AB65" s="14"/>
      <c r="AC65" s="66"/>
      <c r="AD65" s="65"/>
      <c r="AE65" s="44">
        <f t="shared" si="17"/>
        <v>0</v>
      </c>
      <c r="AF65" s="45" t="str">
        <f t="shared" si="18"/>
        <v>#DIV/0!</v>
      </c>
    </row>
    <row r="66" ht="15.75" customHeight="1">
      <c r="A66" s="3"/>
      <c r="B66" s="3"/>
      <c r="C66" s="38"/>
      <c r="D66" s="38"/>
      <c r="E66" s="38"/>
      <c r="F66" s="14"/>
      <c r="G66" s="5" t="str">
        <f t="array" ref="G66">IF($A66="","",IFERROR($F66*(N($C66)*XLOOKUP($B66,Ceras!$A$2:$A$500,Ceras!$G$2:$G$500,0)+IF($D66="",0,N($E66)*XLOOKUP($D66,Ceras!$A$2:$A$500,Ceras!$G$2:$G$500,0))),"Revisar cera"))</f>
        <v/>
      </c>
      <c r="H66" s="5"/>
      <c r="I66" s="3"/>
      <c r="J66" s="14"/>
      <c r="K66" s="5" t="str">
        <f t="array" ref="K66">IF($A66="","",IFERROR($J66*XLOOKUP($I66,Pabilos!$A$2:$A$500,Pabilos!$H$2:$H$500,0),"Revisar pabilo"))</f>
        <v/>
      </c>
      <c r="L66" s="3"/>
      <c r="M66" s="14"/>
      <c r="N66" s="5" t="str">
        <f t="array" ref="N66">IF($A66="","",IFERROR($M66*XLOOKUP($L66,Esencias!$A$2:$A$501,Esencias!$G$2:$G$501,0),"Revisar esencia"))</f>
        <v/>
      </c>
      <c r="O66" s="3"/>
      <c r="P66" s="14"/>
      <c r="Q66" s="5" t="str">
        <f t="array" ref="Q66">IF($A66="","",IFERROR(IF($P66="",1,$P66)*XLOOKUP($O66,Colores!$A$2:$A$500,Colores!$H$2:$H$500,0),"Revisar color"))</f>
        <v/>
      </c>
      <c r="R66" s="3"/>
      <c r="S66" s="5" t="str">
        <f t="array" ref="S66">IF($A66="","",IF($R66="",0,IFERROR(VLOOKUP(LEFT(TRIM(MID(SUBSTITUTE($R66,";",REPT(" ",99)),1,99)),FIND(":",TRIM(MID(SUBSTITUTE($R66,";",REPT(" ",99)),1,99)))-1),Materiales!$A$2:$E$502,5,FALSE)*VALUE(MID(TRIM(MID(SUBSTITUTE($R66,";",REPT(" ",99)),1,99)),FIND(":",TRIM(MID(SUBSTITUTE($R66,";",REPT(" ",99)),1,99)))+1,99)),0) + IFERROR(VLOOKUP(LEFT(TRIM(MID(SUBSTITUTE($R66,";",REPT(" ",99)),100,99)),FIND(":",TRIM(MID(SUBSTITUTE($R66,";",REPT(" ",99)),100,99)))-1),Materiales!$A$2:$E$502,5,FALSE)*VALUE(MID(TRIM(MID(SUBSTITUTE($R66,";",REPT(" ",99)),100,99)),FIND(":",TRIM(MID(SUBSTITUTE($R66,";",REPT(" ",99)),100,99)))+1,99)),0) + IFERROR(VLOOKUP(LEFT(TRIM(MID(SUBSTITUTE($R66,";",REPT(" ",99)),199,99)),FIND(":",TRIM(MID(SUBSTITUTE($R66,";",REPT(" ",99)),199,99)))-1),Materiales!$A$2:$E$502,5,FALSE)*VALUE(MID(TRIM(MID(SUBSTITUTE($R66,";",REPT(" ",99)),199,99)),FIND(":",TRIM(MID(SUBSTITUTE($R66,";",REPT(" ",99)),199,99)))+1,99)),0) + IFERROR(VLOOKUP(LEFT(TRIM(MID(SUBSTITUTE($R66,";",REPT(" ",99)),298,99)),FIND(":",TRIM(MID(SUBSTITUTE($R66,";",REPT(" ",99)),298,99)))-1),Materiales!$A$2:$E$502,5,FALSE)*VALUE(MID(TRIM(MID(SUBSTITUTE($R66,";",REPT(" ",99)),298,99)),FIND(":",TRIM(MID(SUBSTITUTE($R66,";",REPT(" ",99)),298,99)))+1,99)),0) + IFERROR(VLOOKUP(LEFT(TRIM(MID(SUBSTITUTE($R66,";",REPT(" ",99)),397,99)),FIND(":",TRIM(MID(SUBSTITUTE($R66,";",REPT(" ",99)),397,99)))-1),Materiales!$A$2:$E$502,5,FALSE)*VALUE(MID(TRIM(MID(SUBSTITUTE($R66,";",REPT(" ",99)),397,99)),FIND(":",TRIM(MID(SUBSTITUTE($R66,";",REPT(" ",99)),397,99)))+1,99)),0) + IFERROR(VLOOKUP(LEFT(TRIM(MID(SUBSTITUTE($R66,";",REPT(" ",99)),496,99)),FIND(":",TRIM(MID(SUBSTITUTE($R66,";",REPT(" ",99)),496,99)))-1),Materiales!$A$2:$E$502,5,FALSE)*VALUE(MID(TRIM(MID(SUBSTITUTE($R66,";",REPT(" ",99)),496,99)),FIND(":",TRIM(MID(SUBSTITUTE($R66,";",REPT(" ",99)),496,99)))+1,99)),0) + IFERROR(VLOOKUP(LEFT(TRIM(MID(SUBSTITUTE($R66,";",REPT(" ",99)),595,99)),FIND(":",TRIM(MID(SUBSTITUTE($R66,";",REPT(" ",99)),595,99)))-1),Materiales!$A$2:$E$502,5,FALSE)*VALUE(MID(TRIM(MID(SUBSTITUTE($R66,";",REPT(" ",99)),595,99)),FIND(":",TRIM(MID(SUBSTITUTE($R66,";",REPT(" ",99)),595,99)))+1,99)),0) + IFERROR(VLOOKUP(LEFT(TRIM(MID(SUBSTITUTE($R66,";",REPT(" ",99)),694,99)),FIND(":",TRIM(MID(SUBSTITUTE($R66,";",REPT(" ",99)),694,99)))-1),Materiales!$A$2:$E$502,5,FALSE)*VALUE(MID(TRIM(MID(SUBSTITUTE($R66,";",REPT(" ",99)),694,99)),FIND(":",TRIM(MID(SUBSTITUTE($R66,";",REPT(" ",99)),694,99)))+1,99)),0) + IFERROR(VLOOKUP(LEFT(TRIM(MID(SUBSTITUTE($R66,";",REPT(" ",99)),793,99)),FIND(":",TRIM(MID(SUBSTITUTE($R66,";",REPT(" ",99)),793,99)))-1),Materiales!$A$2:$E$502,5,FALSE)*VALUE(MID(TRIM(MID(SUBSTITUTE($R66,";",REPT(" ",99)),793,99)),FIND(":",TRIM(MID(SUBSTITUTE($R66,";",REPT(" ",99)),793,99)))+1,99)),0) + IFERROR(VLOOKUP(LEFT(TRIM(MID(SUBSTITUTE($R66,";",REPT(" ",99)),892,99)),FIND(":",TRIM(MID(SUBSTITUTE($R66,";",REPT(" ",99)),892,99)))-1),Materiales!$A$2:$E$502,5,FALSE)*VALUE(MID(TRIM(MID(SUBSTITUTE($R66,";",REPT(" ",99)),892,99)),FIND(":",TRIM(MID(SUBSTITUTE($R66,";",REPT(" ",99)),892,99)))+1,99)),0)))</f>
        <v/>
      </c>
      <c r="T66" s="3"/>
      <c r="U66" s="5" t="str">
        <f t="array" ref="U66">IF($A66="","",IF($T66="",0,IFERROR(VLOOKUP(LEFT(TRIM(MID(SUBSTITUTE($T66,";",REPT(" ",99)),1,99)),FIND(":",TRIM(MID(SUBSTITUTE($T66,";",REPT(" ",99)),1,99)))-1),Materiales!$A$2:$E$502,5,FALSE)*VALUE(MID(TRIM(MID(SUBSTITUTE($T66,";",REPT(" ",99)),1,99)),FIND(":",TRIM(MID(SUBSTITUTE($T66,";",REPT(" ",99)),1,99)))+1,99)),0) + IFERROR(VLOOKUP(LEFT(TRIM(MID(SUBSTITUTE($T66,";",REPT(" ",99)),100,99)),FIND(":",TRIM(MID(SUBSTITUTE($T66,";",REPT(" ",99)),100,99)))-1),Materiales!$A$2:$E$502,5,FALSE)*VALUE(MID(TRIM(MID(SUBSTITUTE($T66,";",REPT(" ",99)),100,99)),FIND(":",TRIM(MID(SUBSTITUTE($T66,";",REPT(" ",99)),100,99)))+1,99)),0) + IFERROR(VLOOKUP(LEFT(TRIM(MID(SUBSTITUTE($T66,";",REPT(" ",99)),199,99)),FIND(":",TRIM(MID(SUBSTITUTE($T66,";",REPT(" ",99)),199,99)))-1),Materiales!$A$2:$E$502,5,FALSE)*VALUE(MID(TRIM(MID(SUBSTITUTE($T66,";",REPT(" ",99)),199,99)),FIND(":",TRIM(MID(SUBSTITUTE($T66,";",REPT(" ",99)),199,99)))+1,99)),0) + IFERROR(VLOOKUP(LEFT(TRIM(MID(SUBSTITUTE($T66,";",REPT(" ",99)),298,99)),FIND(":",TRIM(MID(SUBSTITUTE($T66,";",REPT(" ",99)),298,99)))-1),Materiales!$A$2:$E$502,5,FALSE)*VALUE(MID(TRIM(MID(SUBSTITUTE($T66,";",REPT(" ",99)),298,99)),FIND(":",TRIM(MID(SUBSTITUTE($T66,";",REPT(" ",99)),298,99)))+1,99)),0) + IFERROR(VLOOKUP(LEFT(TRIM(MID(SUBSTITUTE($T66,";",REPT(" ",99)),397,99)),FIND(":",TRIM(MID(SUBSTITUTE($T66,";",REPT(" ",99)),397,99)))-1),Materiales!$A$2:$E$502,5,FALSE)*VALUE(MID(TRIM(MID(SUBSTITUTE($T66,";",REPT(" ",99)),397,99)),FIND(":",TRIM(MID(SUBSTITUTE($T66,";",REPT(" ",99)),397,99)))+1,99)),0) + IFERROR(VLOOKUP(LEFT(TRIM(MID(SUBSTITUTE($T66,";",REPT(" ",99)),496,99)),FIND(":",TRIM(MID(SUBSTITUTE($T66,";",REPT(" ",99)),496,99)))-1),Materiales!$A$2:$E$502,5,FALSE)*VALUE(MID(TRIM(MID(SUBSTITUTE($T66,";",REPT(" ",99)),496,99)),FIND(":",TRIM(MID(SUBSTITUTE($T66,";",REPT(" ",99)),496,99)))+1,99)),0) + IFERROR(VLOOKUP(LEFT(TRIM(MID(SUBSTITUTE($T66,";",REPT(" ",99)),595,99)),FIND(":",TRIM(MID(SUBSTITUTE($T66,";",REPT(" ",99)),595,99)))-1),Materiales!$A$2:$E$502,5,FALSE)*VALUE(MID(TRIM(MID(SUBSTITUTE($T66,";",REPT(" ",99)),595,99)),FIND(":",TRIM(MID(SUBSTITUTE($T66,";",REPT(" ",99)),595,99)))+1,99)),0) + IFERROR(VLOOKUP(LEFT(TRIM(MID(SUBSTITUTE($T66,";",REPT(" ",99)),694,99)),FIND(":",TRIM(MID(SUBSTITUTE($T66,";",REPT(" ",99)),694,99)))-1),Materiales!$A$2:$E$502,5,FALSE)*VALUE(MID(TRIM(MID(SUBSTITUTE($T66,";",REPT(" ",99)),694,99)),FIND(":",TRIM(MID(SUBSTITUTE($T66,";",REPT(" ",99)),694,99)))+1,99)),0) + IFERROR(VLOOKUP(LEFT(TRIM(MID(SUBSTITUTE($T66,";",REPT(" ",99)),793,99)),FIND(":",TRIM(MID(SUBSTITUTE($T66,";",REPT(" ",99)),793,99)))-1),Materiales!$A$2:$E$502,5,FALSE)*VALUE(MID(TRIM(MID(SUBSTITUTE($T66,";",REPT(" ",99)),793,99)),FIND(":",TRIM(MID(SUBSTITUTE($T66,";",REPT(" ",99)),793,99)))+1,99)),0) + IFERROR(VLOOKUP(LEFT(TRIM(MID(SUBSTITUTE($T66,";",REPT(" ",99)),892,99)),FIND(":",TRIM(MID(SUBSTITUTE($T66,";",REPT(" ",99)),892,99)))-1),Materiales!$A$2:$E$502,5,FALSE)*VALUE(MID(TRIM(MID(SUBSTITUTE($T66,";",REPT(" ",99)),892,99)),FIND(":",TRIM(MID(SUBSTITUTE($T66,";",REPT(" ",99)),892,99)))+1,99)),0)))</f>
        <v/>
      </c>
      <c r="V66" s="3"/>
      <c r="W66" s="5" t="str">
        <f t="array" ref="W66">IF($A66="","",IF($V66="",0,IFERROR(VLOOKUP(LEFT(TRIM(MID(SUBSTITUTE($V66,";",REPT(" ",99)),1,99)),FIND(":",TRIM(MID(SUBSTITUTE($V66,";",REPT(" ",99)),1,99)))-1),Materiales!$A$2:$E$502,5,FALSE)*VALUE(MID(TRIM(MID(SUBSTITUTE($V66,";",REPT(" ",99)),1,99)),FIND(":",TRIM(MID(SUBSTITUTE($V66,";",REPT(" ",99)),1,99)))+1,99)),0) + IFERROR(VLOOKUP(LEFT(TRIM(MID(SUBSTITUTE($V66,";",REPT(" ",99)),100,99)),FIND(":",TRIM(MID(SUBSTITUTE($V66,";",REPT(" ",99)),100,99)))-1),Materiales!$A$2:$E$502,5,FALSE)*VALUE(MID(TRIM(MID(SUBSTITUTE($V66,";",REPT(" ",99)),100,99)),FIND(":",TRIM(MID(SUBSTITUTE($V66,";",REPT(" ",99)),100,99)))+1,99)),0) + IFERROR(VLOOKUP(LEFT(TRIM(MID(SUBSTITUTE($V66,";",REPT(" ",99)),199,99)),FIND(":",TRIM(MID(SUBSTITUTE($V66,";",REPT(" ",99)),199,99)))-1),Materiales!$A$2:$E$502,5,FALSE)*VALUE(MID(TRIM(MID(SUBSTITUTE($V66,";",REPT(" ",99)),199,99)),FIND(":",TRIM(MID(SUBSTITUTE($V66,";",REPT(" ",99)),199,99)))+1,99)),0) + IFERROR(VLOOKUP(LEFT(TRIM(MID(SUBSTITUTE($V66,";",REPT(" ",99)),298,99)),FIND(":",TRIM(MID(SUBSTITUTE($V66,";",REPT(" ",99)),298,99)))-1),Materiales!$A$2:$E$502,5,FALSE)*VALUE(MID(TRIM(MID(SUBSTITUTE($V66,";",REPT(" ",99)),298,99)),FIND(":",TRIM(MID(SUBSTITUTE($V66,";",REPT(" ",99)),298,99)))+1,99)),0) + IFERROR(VLOOKUP(LEFT(TRIM(MID(SUBSTITUTE($V66,";",REPT(" ",99)),397,99)),FIND(":",TRIM(MID(SUBSTITUTE($V66,";",REPT(" ",99)),397,99)))-1),Materiales!$A$2:$E$502,5,FALSE)*VALUE(MID(TRIM(MID(SUBSTITUTE($V66,";",REPT(" ",99)),397,99)),FIND(":",TRIM(MID(SUBSTITUTE($V66,";",REPT(" ",99)),397,99)))+1,99)),0) + IFERROR(VLOOKUP(LEFT(TRIM(MID(SUBSTITUTE($V66,";",REPT(" ",99)),496,99)),FIND(":",TRIM(MID(SUBSTITUTE($V66,";",REPT(" ",99)),496,99)))-1),Materiales!$A$2:$E$502,5,FALSE)*VALUE(MID(TRIM(MID(SUBSTITUTE($V66,";",REPT(" ",99)),496,99)),FIND(":",TRIM(MID(SUBSTITUTE($V66,";",REPT(" ",99)),496,99)))+1,99)),0) + IFERROR(VLOOKUP(LEFT(TRIM(MID(SUBSTITUTE($V66,";",REPT(" ",99)),595,99)),FIND(":",TRIM(MID(SUBSTITUTE($V66,";",REPT(" ",99)),595,99)))-1),Materiales!$A$2:$E$502,5,FALSE)*VALUE(MID(TRIM(MID(SUBSTITUTE($V66,";",REPT(" ",99)),595,99)),FIND(":",TRIM(MID(SUBSTITUTE($V66,";",REPT(" ",99)),595,99)))+1,99)),0) + IFERROR(VLOOKUP(LEFT(TRIM(MID(SUBSTITUTE($V66,";",REPT(" ",99)),694,99)),FIND(":",TRIM(MID(SUBSTITUTE($V66,";",REPT(" ",99)),694,99)))-1),Materiales!$A$2:$E$502,5,FALSE)*VALUE(MID(TRIM(MID(SUBSTITUTE($V66,";",REPT(" ",99)),694,99)),FIND(":",TRIM(MID(SUBSTITUTE($V66,";",REPT(" ",99)),694,99)))+1,99)),0) + IFERROR(VLOOKUP(LEFT(TRIM(MID(SUBSTITUTE($V66,";",REPT(" ",99)),793,99)),FIND(":",TRIM(MID(SUBSTITUTE($V66,";",REPT(" ",99)),793,99)))-1),Materiales!$A$2:$E$502,5,FALSE)*VALUE(MID(TRIM(MID(SUBSTITUTE($V66,";",REPT(" ",99)),793,99)),FIND(":",TRIM(MID(SUBSTITUTE($V66,";",REPT(" ",99)),793,99)))+1,99)),0) + IFERROR(VLOOKUP(LEFT(TRIM(MID(SUBSTITUTE($V66,";",REPT(" ",99)),892,99)),FIND(":",TRIM(MID(SUBSTITUTE($V66,";",REPT(" ",99)),892,99)))-1),Materiales!$A$2:$E$502,5,FALSE)*VALUE(MID(TRIM(MID(SUBSTITUTE($V66,";",REPT(" ",99)),892,99)),FIND(":",TRIM(MID(SUBSTITUTE($V66,";",REPT(" ",99)),892,99)))+1,99)),0)))</f>
        <v/>
      </c>
      <c r="X66" s="39" t="str">
        <f t="shared" si="13"/>
        <v/>
      </c>
      <c r="Y66" s="64"/>
      <c r="Z66" s="41"/>
      <c r="AA66" s="65"/>
      <c r="AB66" s="14"/>
      <c r="AC66" s="66"/>
      <c r="AD66" s="65"/>
      <c r="AE66" s="44">
        <f t="shared" si="17"/>
        <v>0</v>
      </c>
      <c r="AF66" s="45" t="str">
        <f t="shared" si="18"/>
        <v>#DIV/0!</v>
      </c>
    </row>
    <row r="67" ht="15.75" customHeight="1">
      <c r="A67" s="3"/>
      <c r="B67" s="3"/>
      <c r="C67" s="38"/>
      <c r="D67" s="38"/>
      <c r="E67" s="38"/>
      <c r="F67" s="14"/>
      <c r="G67" s="5" t="str">
        <f t="array" ref="G67">IF($A67="","",IFERROR($F67*(N($C67)*XLOOKUP($B67,Ceras!$A$2:$A$500,Ceras!$G$2:$G$500,0)+IF($D67="",0,N($E67)*XLOOKUP($D67,Ceras!$A$2:$A$500,Ceras!$G$2:$G$500,0))),"Revisar cera"))</f>
        <v/>
      </c>
      <c r="H67" s="5"/>
      <c r="I67" s="3"/>
      <c r="J67" s="14"/>
      <c r="K67" s="5" t="str">
        <f t="array" ref="K67">IF($A67="","",IFERROR($J67*XLOOKUP($I67,Pabilos!$A$2:$A$500,Pabilos!$H$2:$H$500,0),"Revisar pabilo"))</f>
        <v/>
      </c>
      <c r="L67" s="3"/>
      <c r="M67" s="14"/>
      <c r="N67" s="5" t="str">
        <f t="array" ref="N67">IF($A67="","",IFERROR($M67*XLOOKUP($L67,Esencias!$A$2:$A$501,Esencias!$G$2:$G$501,0),"Revisar esencia"))</f>
        <v/>
      </c>
      <c r="O67" s="3"/>
      <c r="P67" s="14"/>
      <c r="Q67" s="5" t="str">
        <f t="array" ref="Q67">IF($A67="","",IFERROR(IF($P67="",1,$P67)*XLOOKUP($O67,Colores!$A$2:$A$500,Colores!$H$2:$H$500,0),"Revisar color"))</f>
        <v/>
      </c>
      <c r="R67" s="3"/>
      <c r="S67" s="5" t="str">
        <f t="array" ref="S67">IF($A67="","",IF($R67="",0,IFERROR(VLOOKUP(LEFT(TRIM(MID(SUBSTITUTE($R67,";",REPT(" ",99)),1,99)),FIND(":",TRIM(MID(SUBSTITUTE($R67,";",REPT(" ",99)),1,99)))-1),Materiales!$A$2:$E$502,5,FALSE)*VALUE(MID(TRIM(MID(SUBSTITUTE($R67,";",REPT(" ",99)),1,99)),FIND(":",TRIM(MID(SUBSTITUTE($R67,";",REPT(" ",99)),1,99)))+1,99)),0) + IFERROR(VLOOKUP(LEFT(TRIM(MID(SUBSTITUTE($R67,";",REPT(" ",99)),100,99)),FIND(":",TRIM(MID(SUBSTITUTE($R67,";",REPT(" ",99)),100,99)))-1),Materiales!$A$2:$E$502,5,FALSE)*VALUE(MID(TRIM(MID(SUBSTITUTE($R67,";",REPT(" ",99)),100,99)),FIND(":",TRIM(MID(SUBSTITUTE($R67,";",REPT(" ",99)),100,99)))+1,99)),0) + IFERROR(VLOOKUP(LEFT(TRIM(MID(SUBSTITUTE($R67,";",REPT(" ",99)),199,99)),FIND(":",TRIM(MID(SUBSTITUTE($R67,";",REPT(" ",99)),199,99)))-1),Materiales!$A$2:$E$502,5,FALSE)*VALUE(MID(TRIM(MID(SUBSTITUTE($R67,";",REPT(" ",99)),199,99)),FIND(":",TRIM(MID(SUBSTITUTE($R67,";",REPT(" ",99)),199,99)))+1,99)),0) + IFERROR(VLOOKUP(LEFT(TRIM(MID(SUBSTITUTE($R67,";",REPT(" ",99)),298,99)),FIND(":",TRIM(MID(SUBSTITUTE($R67,";",REPT(" ",99)),298,99)))-1),Materiales!$A$2:$E$502,5,FALSE)*VALUE(MID(TRIM(MID(SUBSTITUTE($R67,";",REPT(" ",99)),298,99)),FIND(":",TRIM(MID(SUBSTITUTE($R67,";",REPT(" ",99)),298,99)))+1,99)),0) + IFERROR(VLOOKUP(LEFT(TRIM(MID(SUBSTITUTE($R67,";",REPT(" ",99)),397,99)),FIND(":",TRIM(MID(SUBSTITUTE($R67,";",REPT(" ",99)),397,99)))-1),Materiales!$A$2:$E$502,5,FALSE)*VALUE(MID(TRIM(MID(SUBSTITUTE($R67,";",REPT(" ",99)),397,99)),FIND(":",TRIM(MID(SUBSTITUTE($R67,";",REPT(" ",99)),397,99)))+1,99)),0) + IFERROR(VLOOKUP(LEFT(TRIM(MID(SUBSTITUTE($R67,";",REPT(" ",99)),496,99)),FIND(":",TRIM(MID(SUBSTITUTE($R67,";",REPT(" ",99)),496,99)))-1),Materiales!$A$2:$E$502,5,FALSE)*VALUE(MID(TRIM(MID(SUBSTITUTE($R67,";",REPT(" ",99)),496,99)),FIND(":",TRIM(MID(SUBSTITUTE($R67,";",REPT(" ",99)),496,99)))+1,99)),0) + IFERROR(VLOOKUP(LEFT(TRIM(MID(SUBSTITUTE($R67,";",REPT(" ",99)),595,99)),FIND(":",TRIM(MID(SUBSTITUTE($R67,";",REPT(" ",99)),595,99)))-1),Materiales!$A$2:$E$502,5,FALSE)*VALUE(MID(TRIM(MID(SUBSTITUTE($R67,";",REPT(" ",99)),595,99)),FIND(":",TRIM(MID(SUBSTITUTE($R67,";",REPT(" ",99)),595,99)))+1,99)),0) + IFERROR(VLOOKUP(LEFT(TRIM(MID(SUBSTITUTE($R67,";",REPT(" ",99)),694,99)),FIND(":",TRIM(MID(SUBSTITUTE($R67,";",REPT(" ",99)),694,99)))-1),Materiales!$A$2:$E$502,5,FALSE)*VALUE(MID(TRIM(MID(SUBSTITUTE($R67,";",REPT(" ",99)),694,99)),FIND(":",TRIM(MID(SUBSTITUTE($R67,";",REPT(" ",99)),694,99)))+1,99)),0) + IFERROR(VLOOKUP(LEFT(TRIM(MID(SUBSTITUTE($R67,";",REPT(" ",99)),793,99)),FIND(":",TRIM(MID(SUBSTITUTE($R67,";",REPT(" ",99)),793,99)))-1),Materiales!$A$2:$E$502,5,FALSE)*VALUE(MID(TRIM(MID(SUBSTITUTE($R67,";",REPT(" ",99)),793,99)),FIND(":",TRIM(MID(SUBSTITUTE($R67,";",REPT(" ",99)),793,99)))+1,99)),0) + IFERROR(VLOOKUP(LEFT(TRIM(MID(SUBSTITUTE($R67,";",REPT(" ",99)),892,99)),FIND(":",TRIM(MID(SUBSTITUTE($R67,";",REPT(" ",99)),892,99)))-1),Materiales!$A$2:$E$502,5,FALSE)*VALUE(MID(TRIM(MID(SUBSTITUTE($R67,";",REPT(" ",99)),892,99)),FIND(":",TRIM(MID(SUBSTITUTE($R67,";",REPT(" ",99)),892,99)))+1,99)),0)))</f>
        <v/>
      </c>
      <c r="T67" s="3"/>
      <c r="U67" s="5" t="str">
        <f t="array" ref="U67">IF($A67="","",IF($T67="",0,IFERROR(VLOOKUP(LEFT(TRIM(MID(SUBSTITUTE($T67,";",REPT(" ",99)),1,99)),FIND(":",TRIM(MID(SUBSTITUTE($T67,";",REPT(" ",99)),1,99)))-1),Materiales!$A$2:$E$502,5,FALSE)*VALUE(MID(TRIM(MID(SUBSTITUTE($T67,";",REPT(" ",99)),1,99)),FIND(":",TRIM(MID(SUBSTITUTE($T67,";",REPT(" ",99)),1,99)))+1,99)),0) + IFERROR(VLOOKUP(LEFT(TRIM(MID(SUBSTITUTE($T67,";",REPT(" ",99)),100,99)),FIND(":",TRIM(MID(SUBSTITUTE($T67,";",REPT(" ",99)),100,99)))-1),Materiales!$A$2:$E$502,5,FALSE)*VALUE(MID(TRIM(MID(SUBSTITUTE($T67,";",REPT(" ",99)),100,99)),FIND(":",TRIM(MID(SUBSTITUTE($T67,";",REPT(" ",99)),100,99)))+1,99)),0) + IFERROR(VLOOKUP(LEFT(TRIM(MID(SUBSTITUTE($T67,";",REPT(" ",99)),199,99)),FIND(":",TRIM(MID(SUBSTITUTE($T67,";",REPT(" ",99)),199,99)))-1),Materiales!$A$2:$E$502,5,FALSE)*VALUE(MID(TRIM(MID(SUBSTITUTE($T67,";",REPT(" ",99)),199,99)),FIND(":",TRIM(MID(SUBSTITUTE($T67,";",REPT(" ",99)),199,99)))+1,99)),0) + IFERROR(VLOOKUP(LEFT(TRIM(MID(SUBSTITUTE($T67,";",REPT(" ",99)),298,99)),FIND(":",TRIM(MID(SUBSTITUTE($T67,";",REPT(" ",99)),298,99)))-1),Materiales!$A$2:$E$502,5,FALSE)*VALUE(MID(TRIM(MID(SUBSTITUTE($T67,";",REPT(" ",99)),298,99)),FIND(":",TRIM(MID(SUBSTITUTE($T67,";",REPT(" ",99)),298,99)))+1,99)),0) + IFERROR(VLOOKUP(LEFT(TRIM(MID(SUBSTITUTE($T67,";",REPT(" ",99)),397,99)),FIND(":",TRIM(MID(SUBSTITUTE($T67,";",REPT(" ",99)),397,99)))-1),Materiales!$A$2:$E$502,5,FALSE)*VALUE(MID(TRIM(MID(SUBSTITUTE($T67,";",REPT(" ",99)),397,99)),FIND(":",TRIM(MID(SUBSTITUTE($T67,";",REPT(" ",99)),397,99)))+1,99)),0) + IFERROR(VLOOKUP(LEFT(TRIM(MID(SUBSTITUTE($T67,";",REPT(" ",99)),496,99)),FIND(":",TRIM(MID(SUBSTITUTE($T67,";",REPT(" ",99)),496,99)))-1),Materiales!$A$2:$E$502,5,FALSE)*VALUE(MID(TRIM(MID(SUBSTITUTE($T67,";",REPT(" ",99)),496,99)),FIND(":",TRIM(MID(SUBSTITUTE($T67,";",REPT(" ",99)),496,99)))+1,99)),0) + IFERROR(VLOOKUP(LEFT(TRIM(MID(SUBSTITUTE($T67,";",REPT(" ",99)),595,99)),FIND(":",TRIM(MID(SUBSTITUTE($T67,";",REPT(" ",99)),595,99)))-1),Materiales!$A$2:$E$502,5,FALSE)*VALUE(MID(TRIM(MID(SUBSTITUTE($T67,";",REPT(" ",99)),595,99)),FIND(":",TRIM(MID(SUBSTITUTE($T67,";",REPT(" ",99)),595,99)))+1,99)),0) + IFERROR(VLOOKUP(LEFT(TRIM(MID(SUBSTITUTE($T67,";",REPT(" ",99)),694,99)),FIND(":",TRIM(MID(SUBSTITUTE($T67,";",REPT(" ",99)),694,99)))-1),Materiales!$A$2:$E$502,5,FALSE)*VALUE(MID(TRIM(MID(SUBSTITUTE($T67,";",REPT(" ",99)),694,99)),FIND(":",TRIM(MID(SUBSTITUTE($T67,";",REPT(" ",99)),694,99)))+1,99)),0) + IFERROR(VLOOKUP(LEFT(TRIM(MID(SUBSTITUTE($T67,";",REPT(" ",99)),793,99)),FIND(":",TRIM(MID(SUBSTITUTE($T67,";",REPT(" ",99)),793,99)))-1),Materiales!$A$2:$E$502,5,FALSE)*VALUE(MID(TRIM(MID(SUBSTITUTE($T67,";",REPT(" ",99)),793,99)),FIND(":",TRIM(MID(SUBSTITUTE($T67,";",REPT(" ",99)),793,99)))+1,99)),0) + IFERROR(VLOOKUP(LEFT(TRIM(MID(SUBSTITUTE($T67,";",REPT(" ",99)),892,99)),FIND(":",TRIM(MID(SUBSTITUTE($T67,";",REPT(" ",99)),892,99)))-1),Materiales!$A$2:$E$502,5,FALSE)*VALUE(MID(TRIM(MID(SUBSTITUTE($T67,";",REPT(" ",99)),892,99)),FIND(":",TRIM(MID(SUBSTITUTE($T67,";",REPT(" ",99)),892,99)))+1,99)),0)))</f>
        <v/>
      </c>
      <c r="V67" s="3"/>
      <c r="W67" s="5" t="str">
        <f t="array" ref="W67">IF($A67="","",IF($V67="",0,IFERROR(VLOOKUP(LEFT(TRIM(MID(SUBSTITUTE($V67,";",REPT(" ",99)),1,99)),FIND(":",TRIM(MID(SUBSTITUTE($V67,";",REPT(" ",99)),1,99)))-1),Materiales!$A$2:$E$502,5,FALSE)*VALUE(MID(TRIM(MID(SUBSTITUTE($V67,";",REPT(" ",99)),1,99)),FIND(":",TRIM(MID(SUBSTITUTE($V67,";",REPT(" ",99)),1,99)))+1,99)),0) + IFERROR(VLOOKUP(LEFT(TRIM(MID(SUBSTITUTE($V67,";",REPT(" ",99)),100,99)),FIND(":",TRIM(MID(SUBSTITUTE($V67,";",REPT(" ",99)),100,99)))-1),Materiales!$A$2:$E$502,5,FALSE)*VALUE(MID(TRIM(MID(SUBSTITUTE($V67,";",REPT(" ",99)),100,99)),FIND(":",TRIM(MID(SUBSTITUTE($V67,";",REPT(" ",99)),100,99)))+1,99)),0) + IFERROR(VLOOKUP(LEFT(TRIM(MID(SUBSTITUTE($V67,";",REPT(" ",99)),199,99)),FIND(":",TRIM(MID(SUBSTITUTE($V67,";",REPT(" ",99)),199,99)))-1),Materiales!$A$2:$E$502,5,FALSE)*VALUE(MID(TRIM(MID(SUBSTITUTE($V67,";",REPT(" ",99)),199,99)),FIND(":",TRIM(MID(SUBSTITUTE($V67,";",REPT(" ",99)),199,99)))+1,99)),0) + IFERROR(VLOOKUP(LEFT(TRIM(MID(SUBSTITUTE($V67,";",REPT(" ",99)),298,99)),FIND(":",TRIM(MID(SUBSTITUTE($V67,";",REPT(" ",99)),298,99)))-1),Materiales!$A$2:$E$502,5,FALSE)*VALUE(MID(TRIM(MID(SUBSTITUTE($V67,";",REPT(" ",99)),298,99)),FIND(":",TRIM(MID(SUBSTITUTE($V67,";",REPT(" ",99)),298,99)))+1,99)),0) + IFERROR(VLOOKUP(LEFT(TRIM(MID(SUBSTITUTE($V67,";",REPT(" ",99)),397,99)),FIND(":",TRIM(MID(SUBSTITUTE($V67,";",REPT(" ",99)),397,99)))-1),Materiales!$A$2:$E$502,5,FALSE)*VALUE(MID(TRIM(MID(SUBSTITUTE($V67,";",REPT(" ",99)),397,99)),FIND(":",TRIM(MID(SUBSTITUTE($V67,";",REPT(" ",99)),397,99)))+1,99)),0) + IFERROR(VLOOKUP(LEFT(TRIM(MID(SUBSTITUTE($V67,";",REPT(" ",99)),496,99)),FIND(":",TRIM(MID(SUBSTITUTE($V67,";",REPT(" ",99)),496,99)))-1),Materiales!$A$2:$E$502,5,FALSE)*VALUE(MID(TRIM(MID(SUBSTITUTE($V67,";",REPT(" ",99)),496,99)),FIND(":",TRIM(MID(SUBSTITUTE($V67,";",REPT(" ",99)),496,99)))+1,99)),0) + IFERROR(VLOOKUP(LEFT(TRIM(MID(SUBSTITUTE($V67,";",REPT(" ",99)),595,99)),FIND(":",TRIM(MID(SUBSTITUTE($V67,";",REPT(" ",99)),595,99)))-1),Materiales!$A$2:$E$502,5,FALSE)*VALUE(MID(TRIM(MID(SUBSTITUTE($V67,";",REPT(" ",99)),595,99)),FIND(":",TRIM(MID(SUBSTITUTE($V67,";",REPT(" ",99)),595,99)))+1,99)),0) + IFERROR(VLOOKUP(LEFT(TRIM(MID(SUBSTITUTE($V67,";",REPT(" ",99)),694,99)),FIND(":",TRIM(MID(SUBSTITUTE($V67,";",REPT(" ",99)),694,99)))-1),Materiales!$A$2:$E$502,5,FALSE)*VALUE(MID(TRIM(MID(SUBSTITUTE($V67,";",REPT(" ",99)),694,99)),FIND(":",TRIM(MID(SUBSTITUTE($V67,";",REPT(" ",99)),694,99)))+1,99)),0) + IFERROR(VLOOKUP(LEFT(TRIM(MID(SUBSTITUTE($V67,";",REPT(" ",99)),793,99)),FIND(":",TRIM(MID(SUBSTITUTE($V67,";",REPT(" ",99)),793,99)))-1),Materiales!$A$2:$E$502,5,FALSE)*VALUE(MID(TRIM(MID(SUBSTITUTE($V67,";",REPT(" ",99)),793,99)),FIND(":",TRIM(MID(SUBSTITUTE($V67,";",REPT(" ",99)),793,99)))+1,99)),0) + IFERROR(VLOOKUP(LEFT(TRIM(MID(SUBSTITUTE($V67,";",REPT(" ",99)),892,99)),FIND(":",TRIM(MID(SUBSTITUTE($V67,";",REPT(" ",99)),892,99)))-1),Materiales!$A$2:$E$502,5,FALSE)*VALUE(MID(TRIM(MID(SUBSTITUTE($V67,";",REPT(" ",99)),892,99)),FIND(":",TRIM(MID(SUBSTITUTE($V67,";",REPT(" ",99)),892,99)))+1,99)),0)))</f>
        <v/>
      </c>
      <c r="X67" s="39" t="str">
        <f t="shared" si="13"/>
        <v/>
      </c>
      <c r="Y67" s="64"/>
      <c r="Z67" s="41"/>
      <c r="AA67" s="65"/>
      <c r="AB67" s="14"/>
      <c r="AC67" s="66"/>
      <c r="AD67" s="65"/>
      <c r="AE67" s="44">
        <f t="shared" si="17"/>
        <v>0</v>
      </c>
      <c r="AF67" s="45" t="str">
        <f t="shared" si="18"/>
        <v>#DIV/0!</v>
      </c>
    </row>
    <row r="68" ht="15.75" customHeight="1">
      <c r="A68" s="3"/>
      <c r="B68" s="3"/>
      <c r="C68" s="38"/>
      <c r="D68" s="38"/>
      <c r="E68" s="38"/>
      <c r="F68" s="14"/>
      <c r="G68" s="5" t="str">
        <f t="array" ref="G68">IF($A68="","",IFERROR($F68*(N($C68)*XLOOKUP($B68,Ceras!$A$2:$A$500,Ceras!$G$2:$G$500,0)+IF($D68="",0,N($E68)*XLOOKUP($D68,Ceras!$A$2:$A$500,Ceras!$G$2:$G$500,0))),"Revisar cera"))</f>
        <v/>
      </c>
      <c r="H68" s="5"/>
      <c r="I68" s="3"/>
      <c r="J68" s="14"/>
      <c r="K68" s="5" t="str">
        <f t="array" ref="K68">IF($A68="","",IFERROR($J68*XLOOKUP($I68,Pabilos!$A$2:$A$500,Pabilos!$H$2:$H$500,0),"Revisar pabilo"))</f>
        <v/>
      </c>
      <c r="L68" s="3"/>
      <c r="M68" s="14"/>
      <c r="N68" s="5" t="str">
        <f t="array" ref="N68">IF($A68="","",IFERROR($M68*XLOOKUP($L68,Esencias!$A$2:$A$501,Esencias!$G$2:$G$501,0),"Revisar esencia"))</f>
        <v/>
      </c>
      <c r="O68" s="3"/>
      <c r="P68" s="14"/>
      <c r="Q68" s="5" t="str">
        <f t="array" ref="Q68">IF($A68="","",IFERROR(IF($P68="",1,$P68)*XLOOKUP($O68,Colores!$A$2:$A$500,Colores!$H$2:$H$500,0),"Revisar color"))</f>
        <v/>
      </c>
      <c r="R68" s="3"/>
      <c r="S68" s="5" t="str">
        <f t="array" ref="S68">IF($A68="","",IF($R68="",0,IFERROR(VLOOKUP(LEFT(TRIM(MID(SUBSTITUTE($R68,";",REPT(" ",99)),1,99)),FIND(":",TRIM(MID(SUBSTITUTE($R68,";",REPT(" ",99)),1,99)))-1),Materiales!$A$2:$E$502,5,FALSE)*VALUE(MID(TRIM(MID(SUBSTITUTE($R68,";",REPT(" ",99)),1,99)),FIND(":",TRIM(MID(SUBSTITUTE($R68,";",REPT(" ",99)),1,99)))+1,99)),0) + IFERROR(VLOOKUP(LEFT(TRIM(MID(SUBSTITUTE($R68,";",REPT(" ",99)),100,99)),FIND(":",TRIM(MID(SUBSTITUTE($R68,";",REPT(" ",99)),100,99)))-1),Materiales!$A$2:$E$502,5,FALSE)*VALUE(MID(TRIM(MID(SUBSTITUTE($R68,";",REPT(" ",99)),100,99)),FIND(":",TRIM(MID(SUBSTITUTE($R68,";",REPT(" ",99)),100,99)))+1,99)),0) + IFERROR(VLOOKUP(LEFT(TRIM(MID(SUBSTITUTE($R68,";",REPT(" ",99)),199,99)),FIND(":",TRIM(MID(SUBSTITUTE($R68,";",REPT(" ",99)),199,99)))-1),Materiales!$A$2:$E$502,5,FALSE)*VALUE(MID(TRIM(MID(SUBSTITUTE($R68,";",REPT(" ",99)),199,99)),FIND(":",TRIM(MID(SUBSTITUTE($R68,";",REPT(" ",99)),199,99)))+1,99)),0) + IFERROR(VLOOKUP(LEFT(TRIM(MID(SUBSTITUTE($R68,";",REPT(" ",99)),298,99)),FIND(":",TRIM(MID(SUBSTITUTE($R68,";",REPT(" ",99)),298,99)))-1),Materiales!$A$2:$E$502,5,FALSE)*VALUE(MID(TRIM(MID(SUBSTITUTE($R68,";",REPT(" ",99)),298,99)),FIND(":",TRIM(MID(SUBSTITUTE($R68,";",REPT(" ",99)),298,99)))+1,99)),0) + IFERROR(VLOOKUP(LEFT(TRIM(MID(SUBSTITUTE($R68,";",REPT(" ",99)),397,99)),FIND(":",TRIM(MID(SUBSTITUTE($R68,";",REPT(" ",99)),397,99)))-1),Materiales!$A$2:$E$502,5,FALSE)*VALUE(MID(TRIM(MID(SUBSTITUTE($R68,";",REPT(" ",99)),397,99)),FIND(":",TRIM(MID(SUBSTITUTE($R68,";",REPT(" ",99)),397,99)))+1,99)),0) + IFERROR(VLOOKUP(LEFT(TRIM(MID(SUBSTITUTE($R68,";",REPT(" ",99)),496,99)),FIND(":",TRIM(MID(SUBSTITUTE($R68,";",REPT(" ",99)),496,99)))-1),Materiales!$A$2:$E$502,5,FALSE)*VALUE(MID(TRIM(MID(SUBSTITUTE($R68,";",REPT(" ",99)),496,99)),FIND(":",TRIM(MID(SUBSTITUTE($R68,";",REPT(" ",99)),496,99)))+1,99)),0) + IFERROR(VLOOKUP(LEFT(TRIM(MID(SUBSTITUTE($R68,";",REPT(" ",99)),595,99)),FIND(":",TRIM(MID(SUBSTITUTE($R68,";",REPT(" ",99)),595,99)))-1),Materiales!$A$2:$E$502,5,FALSE)*VALUE(MID(TRIM(MID(SUBSTITUTE($R68,";",REPT(" ",99)),595,99)),FIND(":",TRIM(MID(SUBSTITUTE($R68,";",REPT(" ",99)),595,99)))+1,99)),0) + IFERROR(VLOOKUP(LEFT(TRIM(MID(SUBSTITUTE($R68,";",REPT(" ",99)),694,99)),FIND(":",TRIM(MID(SUBSTITUTE($R68,";",REPT(" ",99)),694,99)))-1),Materiales!$A$2:$E$502,5,FALSE)*VALUE(MID(TRIM(MID(SUBSTITUTE($R68,";",REPT(" ",99)),694,99)),FIND(":",TRIM(MID(SUBSTITUTE($R68,";",REPT(" ",99)),694,99)))+1,99)),0) + IFERROR(VLOOKUP(LEFT(TRIM(MID(SUBSTITUTE($R68,";",REPT(" ",99)),793,99)),FIND(":",TRIM(MID(SUBSTITUTE($R68,";",REPT(" ",99)),793,99)))-1),Materiales!$A$2:$E$502,5,FALSE)*VALUE(MID(TRIM(MID(SUBSTITUTE($R68,";",REPT(" ",99)),793,99)),FIND(":",TRIM(MID(SUBSTITUTE($R68,";",REPT(" ",99)),793,99)))+1,99)),0) + IFERROR(VLOOKUP(LEFT(TRIM(MID(SUBSTITUTE($R68,";",REPT(" ",99)),892,99)),FIND(":",TRIM(MID(SUBSTITUTE($R68,";",REPT(" ",99)),892,99)))-1),Materiales!$A$2:$E$502,5,FALSE)*VALUE(MID(TRIM(MID(SUBSTITUTE($R68,";",REPT(" ",99)),892,99)),FIND(":",TRIM(MID(SUBSTITUTE($R68,";",REPT(" ",99)),892,99)))+1,99)),0)))</f>
        <v/>
      </c>
      <c r="T68" s="3"/>
      <c r="U68" s="5" t="str">
        <f t="array" ref="U68">IF($A68="","",IF($T68="",0,IFERROR(VLOOKUP(LEFT(TRIM(MID(SUBSTITUTE($T68,";",REPT(" ",99)),1,99)),FIND(":",TRIM(MID(SUBSTITUTE($T68,";",REPT(" ",99)),1,99)))-1),Materiales!$A$2:$E$502,5,FALSE)*VALUE(MID(TRIM(MID(SUBSTITUTE($T68,";",REPT(" ",99)),1,99)),FIND(":",TRIM(MID(SUBSTITUTE($T68,";",REPT(" ",99)),1,99)))+1,99)),0) + IFERROR(VLOOKUP(LEFT(TRIM(MID(SUBSTITUTE($T68,";",REPT(" ",99)),100,99)),FIND(":",TRIM(MID(SUBSTITUTE($T68,";",REPT(" ",99)),100,99)))-1),Materiales!$A$2:$E$502,5,FALSE)*VALUE(MID(TRIM(MID(SUBSTITUTE($T68,";",REPT(" ",99)),100,99)),FIND(":",TRIM(MID(SUBSTITUTE($T68,";",REPT(" ",99)),100,99)))+1,99)),0) + IFERROR(VLOOKUP(LEFT(TRIM(MID(SUBSTITUTE($T68,";",REPT(" ",99)),199,99)),FIND(":",TRIM(MID(SUBSTITUTE($T68,";",REPT(" ",99)),199,99)))-1),Materiales!$A$2:$E$502,5,FALSE)*VALUE(MID(TRIM(MID(SUBSTITUTE($T68,";",REPT(" ",99)),199,99)),FIND(":",TRIM(MID(SUBSTITUTE($T68,";",REPT(" ",99)),199,99)))+1,99)),0) + IFERROR(VLOOKUP(LEFT(TRIM(MID(SUBSTITUTE($T68,";",REPT(" ",99)),298,99)),FIND(":",TRIM(MID(SUBSTITUTE($T68,";",REPT(" ",99)),298,99)))-1),Materiales!$A$2:$E$502,5,FALSE)*VALUE(MID(TRIM(MID(SUBSTITUTE($T68,";",REPT(" ",99)),298,99)),FIND(":",TRIM(MID(SUBSTITUTE($T68,";",REPT(" ",99)),298,99)))+1,99)),0) + IFERROR(VLOOKUP(LEFT(TRIM(MID(SUBSTITUTE($T68,";",REPT(" ",99)),397,99)),FIND(":",TRIM(MID(SUBSTITUTE($T68,";",REPT(" ",99)),397,99)))-1),Materiales!$A$2:$E$502,5,FALSE)*VALUE(MID(TRIM(MID(SUBSTITUTE($T68,";",REPT(" ",99)),397,99)),FIND(":",TRIM(MID(SUBSTITUTE($T68,";",REPT(" ",99)),397,99)))+1,99)),0) + IFERROR(VLOOKUP(LEFT(TRIM(MID(SUBSTITUTE($T68,";",REPT(" ",99)),496,99)),FIND(":",TRIM(MID(SUBSTITUTE($T68,";",REPT(" ",99)),496,99)))-1),Materiales!$A$2:$E$502,5,FALSE)*VALUE(MID(TRIM(MID(SUBSTITUTE($T68,";",REPT(" ",99)),496,99)),FIND(":",TRIM(MID(SUBSTITUTE($T68,";",REPT(" ",99)),496,99)))+1,99)),0) + IFERROR(VLOOKUP(LEFT(TRIM(MID(SUBSTITUTE($T68,";",REPT(" ",99)),595,99)),FIND(":",TRIM(MID(SUBSTITUTE($T68,";",REPT(" ",99)),595,99)))-1),Materiales!$A$2:$E$502,5,FALSE)*VALUE(MID(TRIM(MID(SUBSTITUTE($T68,";",REPT(" ",99)),595,99)),FIND(":",TRIM(MID(SUBSTITUTE($T68,";",REPT(" ",99)),595,99)))+1,99)),0) + IFERROR(VLOOKUP(LEFT(TRIM(MID(SUBSTITUTE($T68,";",REPT(" ",99)),694,99)),FIND(":",TRIM(MID(SUBSTITUTE($T68,";",REPT(" ",99)),694,99)))-1),Materiales!$A$2:$E$502,5,FALSE)*VALUE(MID(TRIM(MID(SUBSTITUTE($T68,";",REPT(" ",99)),694,99)),FIND(":",TRIM(MID(SUBSTITUTE($T68,";",REPT(" ",99)),694,99)))+1,99)),0) + IFERROR(VLOOKUP(LEFT(TRIM(MID(SUBSTITUTE($T68,";",REPT(" ",99)),793,99)),FIND(":",TRIM(MID(SUBSTITUTE($T68,";",REPT(" ",99)),793,99)))-1),Materiales!$A$2:$E$502,5,FALSE)*VALUE(MID(TRIM(MID(SUBSTITUTE($T68,";",REPT(" ",99)),793,99)),FIND(":",TRIM(MID(SUBSTITUTE($T68,";",REPT(" ",99)),793,99)))+1,99)),0) + IFERROR(VLOOKUP(LEFT(TRIM(MID(SUBSTITUTE($T68,";",REPT(" ",99)),892,99)),FIND(":",TRIM(MID(SUBSTITUTE($T68,";",REPT(" ",99)),892,99)))-1),Materiales!$A$2:$E$502,5,FALSE)*VALUE(MID(TRIM(MID(SUBSTITUTE($T68,";",REPT(" ",99)),892,99)),FIND(":",TRIM(MID(SUBSTITUTE($T68,";",REPT(" ",99)),892,99)))+1,99)),0)))</f>
        <v/>
      </c>
      <c r="V68" s="3"/>
      <c r="W68" s="5" t="str">
        <f t="array" ref="W68">IF($A68="","",IF($V68="",0,IFERROR(VLOOKUP(LEFT(TRIM(MID(SUBSTITUTE($V68,";",REPT(" ",99)),1,99)),FIND(":",TRIM(MID(SUBSTITUTE($V68,";",REPT(" ",99)),1,99)))-1),Materiales!$A$2:$E$502,5,FALSE)*VALUE(MID(TRIM(MID(SUBSTITUTE($V68,";",REPT(" ",99)),1,99)),FIND(":",TRIM(MID(SUBSTITUTE($V68,";",REPT(" ",99)),1,99)))+1,99)),0) + IFERROR(VLOOKUP(LEFT(TRIM(MID(SUBSTITUTE($V68,";",REPT(" ",99)),100,99)),FIND(":",TRIM(MID(SUBSTITUTE($V68,";",REPT(" ",99)),100,99)))-1),Materiales!$A$2:$E$502,5,FALSE)*VALUE(MID(TRIM(MID(SUBSTITUTE($V68,";",REPT(" ",99)),100,99)),FIND(":",TRIM(MID(SUBSTITUTE($V68,";",REPT(" ",99)),100,99)))+1,99)),0) + IFERROR(VLOOKUP(LEFT(TRIM(MID(SUBSTITUTE($V68,";",REPT(" ",99)),199,99)),FIND(":",TRIM(MID(SUBSTITUTE($V68,";",REPT(" ",99)),199,99)))-1),Materiales!$A$2:$E$502,5,FALSE)*VALUE(MID(TRIM(MID(SUBSTITUTE($V68,";",REPT(" ",99)),199,99)),FIND(":",TRIM(MID(SUBSTITUTE($V68,";",REPT(" ",99)),199,99)))+1,99)),0) + IFERROR(VLOOKUP(LEFT(TRIM(MID(SUBSTITUTE($V68,";",REPT(" ",99)),298,99)),FIND(":",TRIM(MID(SUBSTITUTE($V68,";",REPT(" ",99)),298,99)))-1),Materiales!$A$2:$E$502,5,FALSE)*VALUE(MID(TRIM(MID(SUBSTITUTE($V68,";",REPT(" ",99)),298,99)),FIND(":",TRIM(MID(SUBSTITUTE($V68,";",REPT(" ",99)),298,99)))+1,99)),0) + IFERROR(VLOOKUP(LEFT(TRIM(MID(SUBSTITUTE($V68,";",REPT(" ",99)),397,99)),FIND(":",TRIM(MID(SUBSTITUTE($V68,";",REPT(" ",99)),397,99)))-1),Materiales!$A$2:$E$502,5,FALSE)*VALUE(MID(TRIM(MID(SUBSTITUTE($V68,";",REPT(" ",99)),397,99)),FIND(":",TRIM(MID(SUBSTITUTE($V68,";",REPT(" ",99)),397,99)))+1,99)),0) + IFERROR(VLOOKUP(LEFT(TRIM(MID(SUBSTITUTE($V68,";",REPT(" ",99)),496,99)),FIND(":",TRIM(MID(SUBSTITUTE($V68,";",REPT(" ",99)),496,99)))-1),Materiales!$A$2:$E$502,5,FALSE)*VALUE(MID(TRIM(MID(SUBSTITUTE($V68,";",REPT(" ",99)),496,99)),FIND(":",TRIM(MID(SUBSTITUTE($V68,";",REPT(" ",99)),496,99)))+1,99)),0) + IFERROR(VLOOKUP(LEFT(TRIM(MID(SUBSTITUTE($V68,";",REPT(" ",99)),595,99)),FIND(":",TRIM(MID(SUBSTITUTE($V68,";",REPT(" ",99)),595,99)))-1),Materiales!$A$2:$E$502,5,FALSE)*VALUE(MID(TRIM(MID(SUBSTITUTE($V68,";",REPT(" ",99)),595,99)),FIND(":",TRIM(MID(SUBSTITUTE($V68,";",REPT(" ",99)),595,99)))+1,99)),0) + IFERROR(VLOOKUP(LEFT(TRIM(MID(SUBSTITUTE($V68,";",REPT(" ",99)),694,99)),FIND(":",TRIM(MID(SUBSTITUTE($V68,";",REPT(" ",99)),694,99)))-1),Materiales!$A$2:$E$502,5,FALSE)*VALUE(MID(TRIM(MID(SUBSTITUTE($V68,";",REPT(" ",99)),694,99)),FIND(":",TRIM(MID(SUBSTITUTE($V68,";",REPT(" ",99)),694,99)))+1,99)),0) + IFERROR(VLOOKUP(LEFT(TRIM(MID(SUBSTITUTE($V68,";",REPT(" ",99)),793,99)),FIND(":",TRIM(MID(SUBSTITUTE($V68,";",REPT(" ",99)),793,99)))-1),Materiales!$A$2:$E$502,5,FALSE)*VALUE(MID(TRIM(MID(SUBSTITUTE($V68,";",REPT(" ",99)),793,99)),FIND(":",TRIM(MID(SUBSTITUTE($V68,";",REPT(" ",99)),793,99)))+1,99)),0) + IFERROR(VLOOKUP(LEFT(TRIM(MID(SUBSTITUTE($V68,";",REPT(" ",99)),892,99)),FIND(":",TRIM(MID(SUBSTITUTE($V68,";",REPT(" ",99)),892,99)))-1),Materiales!$A$2:$E$502,5,FALSE)*VALUE(MID(TRIM(MID(SUBSTITUTE($V68,";",REPT(" ",99)),892,99)),FIND(":",TRIM(MID(SUBSTITUTE($V68,";",REPT(" ",99)),892,99)))+1,99)),0)))</f>
        <v/>
      </c>
      <c r="X68" s="39" t="str">
        <f t="shared" si="13"/>
        <v/>
      </c>
      <c r="Y68" s="64"/>
      <c r="Z68" s="41"/>
      <c r="AA68" s="65"/>
      <c r="AB68" s="14"/>
      <c r="AC68" s="66"/>
      <c r="AD68" s="65"/>
      <c r="AE68" s="44">
        <f t="shared" si="17"/>
        <v>0</v>
      </c>
      <c r="AF68" s="45" t="str">
        <f t="shared" si="18"/>
        <v>#DIV/0!</v>
      </c>
    </row>
    <row r="69" ht="15.75" customHeight="1">
      <c r="A69" s="3"/>
      <c r="B69" s="3"/>
      <c r="C69" s="38"/>
      <c r="D69" s="38"/>
      <c r="E69" s="38"/>
      <c r="F69" s="14"/>
      <c r="G69" s="5" t="str">
        <f t="array" ref="G69">IF($A69="","",IFERROR($F69*(N($C69)*XLOOKUP($B69,Ceras!$A$2:$A$500,Ceras!$G$2:$G$500,0)+IF($D69="",0,N($E69)*XLOOKUP($D69,Ceras!$A$2:$A$500,Ceras!$G$2:$G$500,0))),"Revisar cera"))</f>
        <v/>
      </c>
      <c r="H69" s="5"/>
      <c r="I69" s="3"/>
      <c r="J69" s="14"/>
      <c r="K69" s="5" t="str">
        <f t="array" ref="K69">IF($A69="","",IFERROR($J69*XLOOKUP($I69,Pabilos!$A$2:$A$500,Pabilos!$H$2:$H$500,0),"Revisar pabilo"))</f>
        <v/>
      </c>
      <c r="L69" s="3"/>
      <c r="M69" s="14"/>
      <c r="N69" s="5" t="str">
        <f t="array" ref="N69">IF($A69="","",IFERROR($M69*XLOOKUP($L69,Esencias!$A$2:$A$501,Esencias!$G$2:$G$501,0),"Revisar esencia"))</f>
        <v/>
      </c>
      <c r="O69" s="3"/>
      <c r="P69" s="14"/>
      <c r="Q69" s="5" t="str">
        <f t="array" ref="Q69">IF($A69="","",IFERROR(IF($P69="",1,$P69)*XLOOKUP($O69,Colores!$A$2:$A$500,Colores!$H$2:$H$500,0),"Revisar color"))</f>
        <v/>
      </c>
      <c r="R69" s="3"/>
      <c r="S69" s="5" t="str">
        <f t="array" ref="S69">IF($A69="","",IF($R69="",0,IFERROR(VLOOKUP(LEFT(TRIM(MID(SUBSTITUTE($R69,";",REPT(" ",99)),1,99)),FIND(":",TRIM(MID(SUBSTITUTE($R69,";",REPT(" ",99)),1,99)))-1),Materiales!$A$2:$E$502,5,FALSE)*VALUE(MID(TRIM(MID(SUBSTITUTE($R69,";",REPT(" ",99)),1,99)),FIND(":",TRIM(MID(SUBSTITUTE($R69,";",REPT(" ",99)),1,99)))+1,99)),0) + IFERROR(VLOOKUP(LEFT(TRIM(MID(SUBSTITUTE($R69,";",REPT(" ",99)),100,99)),FIND(":",TRIM(MID(SUBSTITUTE($R69,";",REPT(" ",99)),100,99)))-1),Materiales!$A$2:$E$502,5,FALSE)*VALUE(MID(TRIM(MID(SUBSTITUTE($R69,";",REPT(" ",99)),100,99)),FIND(":",TRIM(MID(SUBSTITUTE($R69,";",REPT(" ",99)),100,99)))+1,99)),0) + IFERROR(VLOOKUP(LEFT(TRIM(MID(SUBSTITUTE($R69,";",REPT(" ",99)),199,99)),FIND(":",TRIM(MID(SUBSTITUTE($R69,";",REPT(" ",99)),199,99)))-1),Materiales!$A$2:$E$502,5,FALSE)*VALUE(MID(TRIM(MID(SUBSTITUTE($R69,";",REPT(" ",99)),199,99)),FIND(":",TRIM(MID(SUBSTITUTE($R69,";",REPT(" ",99)),199,99)))+1,99)),0) + IFERROR(VLOOKUP(LEFT(TRIM(MID(SUBSTITUTE($R69,";",REPT(" ",99)),298,99)),FIND(":",TRIM(MID(SUBSTITUTE($R69,";",REPT(" ",99)),298,99)))-1),Materiales!$A$2:$E$502,5,FALSE)*VALUE(MID(TRIM(MID(SUBSTITUTE($R69,";",REPT(" ",99)),298,99)),FIND(":",TRIM(MID(SUBSTITUTE($R69,";",REPT(" ",99)),298,99)))+1,99)),0) + IFERROR(VLOOKUP(LEFT(TRIM(MID(SUBSTITUTE($R69,";",REPT(" ",99)),397,99)),FIND(":",TRIM(MID(SUBSTITUTE($R69,";",REPT(" ",99)),397,99)))-1),Materiales!$A$2:$E$502,5,FALSE)*VALUE(MID(TRIM(MID(SUBSTITUTE($R69,";",REPT(" ",99)),397,99)),FIND(":",TRIM(MID(SUBSTITUTE($R69,";",REPT(" ",99)),397,99)))+1,99)),0) + IFERROR(VLOOKUP(LEFT(TRIM(MID(SUBSTITUTE($R69,";",REPT(" ",99)),496,99)),FIND(":",TRIM(MID(SUBSTITUTE($R69,";",REPT(" ",99)),496,99)))-1),Materiales!$A$2:$E$502,5,FALSE)*VALUE(MID(TRIM(MID(SUBSTITUTE($R69,";",REPT(" ",99)),496,99)),FIND(":",TRIM(MID(SUBSTITUTE($R69,";",REPT(" ",99)),496,99)))+1,99)),0) + IFERROR(VLOOKUP(LEFT(TRIM(MID(SUBSTITUTE($R69,";",REPT(" ",99)),595,99)),FIND(":",TRIM(MID(SUBSTITUTE($R69,";",REPT(" ",99)),595,99)))-1),Materiales!$A$2:$E$502,5,FALSE)*VALUE(MID(TRIM(MID(SUBSTITUTE($R69,";",REPT(" ",99)),595,99)),FIND(":",TRIM(MID(SUBSTITUTE($R69,";",REPT(" ",99)),595,99)))+1,99)),0) + IFERROR(VLOOKUP(LEFT(TRIM(MID(SUBSTITUTE($R69,";",REPT(" ",99)),694,99)),FIND(":",TRIM(MID(SUBSTITUTE($R69,";",REPT(" ",99)),694,99)))-1),Materiales!$A$2:$E$502,5,FALSE)*VALUE(MID(TRIM(MID(SUBSTITUTE($R69,";",REPT(" ",99)),694,99)),FIND(":",TRIM(MID(SUBSTITUTE($R69,";",REPT(" ",99)),694,99)))+1,99)),0) + IFERROR(VLOOKUP(LEFT(TRIM(MID(SUBSTITUTE($R69,";",REPT(" ",99)),793,99)),FIND(":",TRIM(MID(SUBSTITUTE($R69,";",REPT(" ",99)),793,99)))-1),Materiales!$A$2:$E$502,5,FALSE)*VALUE(MID(TRIM(MID(SUBSTITUTE($R69,";",REPT(" ",99)),793,99)),FIND(":",TRIM(MID(SUBSTITUTE($R69,";",REPT(" ",99)),793,99)))+1,99)),0) + IFERROR(VLOOKUP(LEFT(TRIM(MID(SUBSTITUTE($R69,";",REPT(" ",99)),892,99)),FIND(":",TRIM(MID(SUBSTITUTE($R69,";",REPT(" ",99)),892,99)))-1),Materiales!$A$2:$E$502,5,FALSE)*VALUE(MID(TRIM(MID(SUBSTITUTE($R69,";",REPT(" ",99)),892,99)),FIND(":",TRIM(MID(SUBSTITUTE($R69,";",REPT(" ",99)),892,99)))+1,99)),0)))</f>
        <v/>
      </c>
      <c r="T69" s="3"/>
      <c r="U69" s="5" t="str">
        <f t="array" ref="U69">IF($A69="","",IF($T69="",0,IFERROR(VLOOKUP(LEFT(TRIM(MID(SUBSTITUTE($T69,";",REPT(" ",99)),1,99)),FIND(":",TRIM(MID(SUBSTITUTE($T69,";",REPT(" ",99)),1,99)))-1),Materiales!$A$2:$E$502,5,FALSE)*VALUE(MID(TRIM(MID(SUBSTITUTE($T69,";",REPT(" ",99)),1,99)),FIND(":",TRIM(MID(SUBSTITUTE($T69,";",REPT(" ",99)),1,99)))+1,99)),0) + IFERROR(VLOOKUP(LEFT(TRIM(MID(SUBSTITUTE($T69,";",REPT(" ",99)),100,99)),FIND(":",TRIM(MID(SUBSTITUTE($T69,";",REPT(" ",99)),100,99)))-1),Materiales!$A$2:$E$502,5,FALSE)*VALUE(MID(TRIM(MID(SUBSTITUTE($T69,";",REPT(" ",99)),100,99)),FIND(":",TRIM(MID(SUBSTITUTE($T69,";",REPT(" ",99)),100,99)))+1,99)),0) + IFERROR(VLOOKUP(LEFT(TRIM(MID(SUBSTITUTE($T69,";",REPT(" ",99)),199,99)),FIND(":",TRIM(MID(SUBSTITUTE($T69,";",REPT(" ",99)),199,99)))-1),Materiales!$A$2:$E$502,5,FALSE)*VALUE(MID(TRIM(MID(SUBSTITUTE($T69,";",REPT(" ",99)),199,99)),FIND(":",TRIM(MID(SUBSTITUTE($T69,";",REPT(" ",99)),199,99)))+1,99)),0) + IFERROR(VLOOKUP(LEFT(TRIM(MID(SUBSTITUTE($T69,";",REPT(" ",99)),298,99)),FIND(":",TRIM(MID(SUBSTITUTE($T69,";",REPT(" ",99)),298,99)))-1),Materiales!$A$2:$E$502,5,FALSE)*VALUE(MID(TRIM(MID(SUBSTITUTE($T69,";",REPT(" ",99)),298,99)),FIND(":",TRIM(MID(SUBSTITUTE($T69,";",REPT(" ",99)),298,99)))+1,99)),0) + IFERROR(VLOOKUP(LEFT(TRIM(MID(SUBSTITUTE($T69,";",REPT(" ",99)),397,99)),FIND(":",TRIM(MID(SUBSTITUTE($T69,";",REPT(" ",99)),397,99)))-1),Materiales!$A$2:$E$502,5,FALSE)*VALUE(MID(TRIM(MID(SUBSTITUTE($T69,";",REPT(" ",99)),397,99)),FIND(":",TRIM(MID(SUBSTITUTE($T69,";",REPT(" ",99)),397,99)))+1,99)),0) + IFERROR(VLOOKUP(LEFT(TRIM(MID(SUBSTITUTE($T69,";",REPT(" ",99)),496,99)),FIND(":",TRIM(MID(SUBSTITUTE($T69,";",REPT(" ",99)),496,99)))-1),Materiales!$A$2:$E$502,5,FALSE)*VALUE(MID(TRIM(MID(SUBSTITUTE($T69,";",REPT(" ",99)),496,99)),FIND(":",TRIM(MID(SUBSTITUTE($T69,";",REPT(" ",99)),496,99)))+1,99)),0) + IFERROR(VLOOKUP(LEFT(TRIM(MID(SUBSTITUTE($T69,";",REPT(" ",99)),595,99)),FIND(":",TRIM(MID(SUBSTITUTE($T69,";",REPT(" ",99)),595,99)))-1),Materiales!$A$2:$E$502,5,FALSE)*VALUE(MID(TRIM(MID(SUBSTITUTE($T69,";",REPT(" ",99)),595,99)),FIND(":",TRIM(MID(SUBSTITUTE($T69,";",REPT(" ",99)),595,99)))+1,99)),0) + IFERROR(VLOOKUP(LEFT(TRIM(MID(SUBSTITUTE($T69,";",REPT(" ",99)),694,99)),FIND(":",TRIM(MID(SUBSTITUTE($T69,";",REPT(" ",99)),694,99)))-1),Materiales!$A$2:$E$502,5,FALSE)*VALUE(MID(TRIM(MID(SUBSTITUTE($T69,";",REPT(" ",99)),694,99)),FIND(":",TRIM(MID(SUBSTITUTE($T69,";",REPT(" ",99)),694,99)))+1,99)),0) + IFERROR(VLOOKUP(LEFT(TRIM(MID(SUBSTITUTE($T69,";",REPT(" ",99)),793,99)),FIND(":",TRIM(MID(SUBSTITUTE($T69,";",REPT(" ",99)),793,99)))-1),Materiales!$A$2:$E$502,5,FALSE)*VALUE(MID(TRIM(MID(SUBSTITUTE($T69,";",REPT(" ",99)),793,99)),FIND(":",TRIM(MID(SUBSTITUTE($T69,";",REPT(" ",99)),793,99)))+1,99)),0) + IFERROR(VLOOKUP(LEFT(TRIM(MID(SUBSTITUTE($T69,";",REPT(" ",99)),892,99)),FIND(":",TRIM(MID(SUBSTITUTE($T69,";",REPT(" ",99)),892,99)))-1),Materiales!$A$2:$E$502,5,FALSE)*VALUE(MID(TRIM(MID(SUBSTITUTE($T69,";",REPT(" ",99)),892,99)),FIND(":",TRIM(MID(SUBSTITUTE($T69,";",REPT(" ",99)),892,99)))+1,99)),0)))</f>
        <v/>
      </c>
      <c r="V69" s="3"/>
      <c r="W69" s="5" t="str">
        <f t="array" ref="W69">IF($A69="","",IF($V69="",0,IFERROR(VLOOKUP(LEFT(TRIM(MID(SUBSTITUTE($V69,";",REPT(" ",99)),1,99)),FIND(":",TRIM(MID(SUBSTITUTE($V69,";",REPT(" ",99)),1,99)))-1),Materiales!$A$2:$E$502,5,FALSE)*VALUE(MID(TRIM(MID(SUBSTITUTE($V69,";",REPT(" ",99)),1,99)),FIND(":",TRIM(MID(SUBSTITUTE($V69,";",REPT(" ",99)),1,99)))+1,99)),0) + IFERROR(VLOOKUP(LEFT(TRIM(MID(SUBSTITUTE($V69,";",REPT(" ",99)),100,99)),FIND(":",TRIM(MID(SUBSTITUTE($V69,";",REPT(" ",99)),100,99)))-1),Materiales!$A$2:$E$502,5,FALSE)*VALUE(MID(TRIM(MID(SUBSTITUTE($V69,";",REPT(" ",99)),100,99)),FIND(":",TRIM(MID(SUBSTITUTE($V69,";",REPT(" ",99)),100,99)))+1,99)),0) + IFERROR(VLOOKUP(LEFT(TRIM(MID(SUBSTITUTE($V69,";",REPT(" ",99)),199,99)),FIND(":",TRIM(MID(SUBSTITUTE($V69,";",REPT(" ",99)),199,99)))-1),Materiales!$A$2:$E$502,5,FALSE)*VALUE(MID(TRIM(MID(SUBSTITUTE($V69,";",REPT(" ",99)),199,99)),FIND(":",TRIM(MID(SUBSTITUTE($V69,";",REPT(" ",99)),199,99)))+1,99)),0) + IFERROR(VLOOKUP(LEFT(TRIM(MID(SUBSTITUTE($V69,";",REPT(" ",99)),298,99)),FIND(":",TRIM(MID(SUBSTITUTE($V69,";",REPT(" ",99)),298,99)))-1),Materiales!$A$2:$E$502,5,FALSE)*VALUE(MID(TRIM(MID(SUBSTITUTE($V69,";",REPT(" ",99)),298,99)),FIND(":",TRIM(MID(SUBSTITUTE($V69,";",REPT(" ",99)),298,99)))+1,99)),0) + IFERROR(VLOOKUP(LEFT(TRIM(MID(SUBSTITUTE($V69,";",REPT(" ",99)),397,99)),FIND(":",TRIM(MID(SUBSTITUTE($V69,";",REPT(" ",99)),397,99)))-1),Materiales!$A$2:$E$502,5,FALSE)*VALUE(MID(TRIM(MID(SUBSTITUTE($V69,";",REPT(" ",99)),397,99)),FIND(":",TRIM(MID(SUBSTITUTE($V69,";",REPT(" ",99)),397,99)))+1,99)),0) + IFERROR(VLOOKUP(LEFT(TRIM(MID(SUBSTITUTE($V69,";",REPT(" ",99)),496,99)),FIND(":",TRIM(MID(SUBSTITUTE($V69,";",REPT(" ",99)),496,99)))-1),Materiales!$A$2:$E$502,5,FALSE)*VALUE(MID(TRIM(MID(SUBSTITUTE($V69,";",REPT(" ",99)),496,99)),FIND(":",TRIM(MID(SUBSTITUTE($V69,";",REPT(" ",99)),496,99)))+1,99)),0) + IFERROR(VLOOKUP(LEFT(TRIM(MID(SUBSTITUTE($V69,";",REPT(" ",99)),595,99)),FIND(":",TRIM(MID(SUBSTITUTE($V69,";",REPT(" ",99)),595,99)))-1),Materiales!$A$2:$E$502,5,FALSE)*VALUE(MID(TRIM(MID(SUBSTITUTE($V69,";",REPT(" ",99)),595,99)),FIND(":",TRIM(MID(SUBSTITUTE($V69,";",REPT(" ",99)),595,99)))+1,99)),0) + IFERROR(VLOOKUP(LEFT(TRIM(MID(SUBSTITUTE($V69,";",REPT(" ",99)),694,99)),FIND(":",TRIM(MID(SUBSTITUTE($V69,";",REPT(" ",99)),694,99)))-1),Materiales!$A$2:$E$502,5,FALSE)*VALUE(MID(TRIM(MID(SUBSTITUTE($V69,";",REPT(" ",99)),694,99)),FIND(":",TRIM(MID(SUBSTITUTE($V69,";",REPT(" ",99)),694,99)))+1,99)),0) + IFERROR(VLOOKUP(LEFT(TRIM(MID(SUBSTITUTE($V69,";",REPT(" ",99)),793,99)),FIND(":",TRIM(MID(SUBSTITUTE($V69,";",REPT(" ",99)),793,99)))-1),Materiales!$A$2:$E$502,5,FALSE)*VALUE(MID(TRIM(MID(SUBSTITUTE($V69,";",REPT(" ",99)),793,99)),FIND(":",TRIM(MID(SUBSTITUTE($V69,";",REPT(" ",99)),793,99)))+1,99)),0) + IFERROR(VLOOKUP(LEFT(TRIM(MID(SUBSTITUTE($V69,";",REPT(" ",99)),892,99)),FIND(":",TRIM(MID(SUBSTITUTE($V69,";",REPT(" ",99)),892,99)))-1),Materiales!$A$2:$E$502,5,FALSE)*VALUE(MID(TRIM(MID(SUBSTITUTE($V69,";",REPT(" ",99)),892,99)),FIND(":",TRIM(MID(SUBSTITUTE($V69,";",REPT(" ",99)),892,99)))+1,99)),0)))</f>
        <v/>
      </c>
      <c r="X69" s="39" t="str">
        <f t="shared" si="13"/>
        <v/>
      </c>
      <c r="Y69" s="64"/>
      <c r="Z69" s="41"/>
      <c r="AA69" s="65"/>
      <c r="AB69" s="14"/>
      <c r="AC69" s="66"/>
      <c r="AD69" s="65"/>
      <c r="AE69" s="44">
        <f t="shared" si="17"/>
        <v>0</v>
      </c>
      <c r="AF69" s="45" t="str">
        <f t="shared" si="18"/>
        <v>#DIV/0!</v>
      </c>
    </row>
    <row r="70" ht="15.75" customHeight="1">
      <c r="A70" s="3"/>
      <c r="B70" s="3"/>
      <c r="C70" s="38"/>
      <c r="D70" s="38"/>
      <c r="E70" s="38"/>
      <c r="F70" s="14"/>
      <c r="G70" s="5" t="str">
        <f t="array" ref="G70">IF($A70="","",IFERROR($F70*(N($C70)*XLOOKUP($B70,Ceras!$A$2:$A$500,Ceras!$G$2:$G$500,0)+IF($D70="",0,N($E70)*XLOOKUP($D70,Ceras!$A$2:$A$500,Ceras!$G$2:$G$500,0))),"Revisar cera"))</f>
        <v/>
      </c>
      <c r="H70" s="5"/>
      <c r="I70" s="3"/>
      <c r="J70" s="14"/>
      <c r="K70" s="5" t="str">
        <f t="array" ref="K70">IF($A70="","",IFERROR($J70*XLOOKUP($I70,Pabilos!$A$2:$A$500,Pabilos!$H$2:$H$500,0),"Revisar pabilo"))</f>
        <v/>
      </c>
      <c r="L70" s="3"/>
      <c r="M70" s="14"/>
      <c r="N70" s="5" t="str">
        <f t="array" ref="N70">IF($A70="","",IFERROR($M70*XLOOKUP($L70,Esencias!$A$2:$A$501,Esencias!$G$2:$G$501,0),"Revisar esencia"))</f>
        <v/>
      </c>
      <c r="O70" s="3"/>
      <c r="P70" s="14"/>
      <c r="Q70" s="5" t="str">
        <f t="array" ref="Q70">IF($A70="","",IFERROR(IF($P70="",1,$P70)*XLOOKUP($O70,Colores!$A$2:$A$500,Colores!$H$2:$H$500,0),"Revisar color"))</f>
        <v/>
      </c>
      <c r="R70" s="3"/>
      <c r="S70" s="5" t="str">
        <f t="array" ref="S70">IF($A70="","",IF($R70="",0,IFERROR(VLOOKUP(LEFT(TRIM(MID(SUBSTITUTE($R70,";",REPT(" ",99)),1,99)),FIND(":",TRIM(MID(SUBSTITUTE($R70,";",REPT(" ",99)),1,99)))-1),Materiales!$A$2:$E$502,5,FALSE)*VALUE(MID(TRIM(MID(SUBSTITUTE($R70,";",REPT(" ",99)),1,99)),FIND(":",TRIM(MID(SUBSTITUTE($R70,";",REPT(" ",99)),1,99)))+1,99)),0) + IFERROR(VLOOKUP(LEFT(TRIM(MID(SUBSTITUTE($R70,";",REPT(" ",99)),100,99)),FIND(":",TRIM(MID(SUBSTITUTE($R70,";",REPT(" ",99)),100,99)))-1),Materiales!$A$2:$E$502,5,FALSE)*VALUE(MID(TRIM(MID(SUBSTITUTE($R70,";",REPT(" ",99)),100,99)),FIND(":",TRIM(MID(SUBSTITUTE($R70,";",REPT(" ",99)),100,99)))+1,99)),0) + IFERROR(VLOOKUP(LEFT(TRIM(MID(SUBSTITUTE($R70,";",REPT(" ",99)),199,99)),FIND(":",TRIM(MID(SUBSTITUTE($R70,";",REPT(" ",99)),199,99)))-1),Materiales!$A$2:$E$502,5,FALSE)*VALUE(MID(TRIM(MID(SUBSTITUTE($R70,";",REPT(" ",99)),199,99)),FIND(":",TRIM(MID(SUBSTITUTE($R70,";",REPT(" ",99)),199,99)))+1,99)),0) + IFERROR(VLOOKUP(LEFT(TRIM(MID(SUBSTITUTE($R70,";",REPT(" ",99)),298,99)),FIND(":",TRIM(MID(SUBSTITUTE($R70,";",REPT(" ",99)),298,99)))-1),Materiales!$A$2:$E$502,5,FALSE)*VALUE(MID(TRIM(MID(SUBSTITUTE($R70,";",REPT(" ",99)),298,99)),FIND(":",TRIM(MID(SUBSTITUTE($R70,";",REPT(" ",99)),298,99)))+1,99)),0) + IFERROR(VLOOKUP(LEFT(TRIM(MID(SUBSTITUTE($R70,";",REPT(" ",99)),397,99)),FIND(":",TRIM(MID(SUBSTITUTE($R70,";",REPT(" ",99)),397,99)))-1),Materiales!$A$2:$E$502,5,FALSE)*VALUE(MID(TRIM(MID(SUBSTITUTE($R70,";",REPT(" ",99)),397,99)),FIND(":",TRIM(MID(SUBSTITUTE($R70,";",REPT(" ",99)),397,99)))+1,99)),0) + IFERROR(VLOOKUP(LEFT(TRIM(MID(SUBSTITUTE($R70,";",REPT(" ",99)),496,99)),FIND(":",TRIM(MID(SUBSTITUTE($R70,";",REPT(" ",99)),496,99)))-1),Materiales!$A$2:$E$502,5,FALSE)*VALUE(MID(TRIM(MID(SUBSTITUTE($R70,";",REPT(" ",99)),496,99)),FIND(":",TRIM(MID(SUBSTITUTE($R70,";",REPT(" ",99)),496,99)))+1,99)),0) + IFERROR(VLOOKUP(LEFT(TRIM(MID(SUBSTITUTE($R70,";",REPT(" ",99)),595,99)),FIND(":",TRIM(MID(SUBSTITUTE($R70,";",REPT(" ",99)),595,99)))-1),Materiales!$A$2:$E$502,5,FALSE)*VALUE(MID(TRIM(MID(SUBSTITUTE($R70,";",REPT(" ",99)),595,99)),FIND(":",TRIM(MID(SUBSTITUTE($R70,";",REPT(" ",99)),595,99)))+1,99)),0) + IFERROR(VLOOKUP(LEFT(TRIM(MID(SUBSTITUTE($R70,";",REPT(" ",99)),694,99)),FIND(":",TRIM(MID(SUBSTITUTE($R70,";",REPT(" ",99)),694,99)))-1),Materiales!$A$2:$E$502,5,FALSE)*VALUE(MID(TRIM(MID(SUBSTITUTE($R70,";",REPT(" ",99)),694,99)),FIND(":",TRIM(MID(SUBSTITUTE($R70,";",REPT(" ",99)),694,99)))+1,99)),0) + IFERROR(VLOOKUP(LEFT(TRIM(MID(SUBSTITUTE($R70,";",REPT(" ",99)),793,99)),FIND(":",TRIM(MID(SUBSTITUTE($R70,";",REPT(" ",99)),793,99)))-1),Materiales!$A$2:$E$502,5,FALSE)*VALUE(MID(TRIM(MID(SUBSTITUTE($R70,";",REPT(" ",99)),793,99)),FIND(":",TRIM(MID(SUBSTITUTE($R70,";",REPT(" ",99)),793,99)))+1,99)),0) + IFERROR(VLOOKUP(LEFT(TRIM(MID(SUBSTITUTE($R70,";",REPT(" ",99)),892,99)),FIND(":",TRIM(MID(SUBSTITUTE($R70,";",REPT(" ",99)),892,99)))-1),Materiales!$A$2:$E$502,5,FALSE)*VALUE(MID(TRIM(MID(SUBSTITUTE($R70,";",REPT(" ",99)),892,99)),FIND(":",TRIM(MID(SUBSTITUTE($R70,";",REPT(" ",99)),892,99)))+1,99)),0)))</f>
        <v/>
      </c>
      <c r="T70" s="3"/>
      <c r="U70" s="5" t="str">
        <f t="array" ref="U70">IF($A70="","",IF($T70="",0,IFERROR(VLOOKUP(LEFT(TRIM(MID(SUBSTITUTE($T70,";",REPT(" ",99)),1,99)),FIND(":",TRIM(MID(SUBSTITUTE($T70,";",REPT(" ",99)),1,99)))-1),Materiales!$A$2:$E$502,5,FALSE)*VALUE(MID(TRIM(MID(SUBSTITUTE($T70,";",REPT(" ",99)),1,99)),FIND(":",TRIM(MID(SUBSTITUTE($T70,";",REPT(" ",99)),1,99)))+1,99)),0) + IFERROR(VLOOKUP(LEFT(TRIM(MID(SUBSTITUTE($T70,";",REPT(" ",99)),100,99)),FIND(":",TRIM(MID(SUBSTITUTE($T70,";",REPT(" ",99)),100,99)))-1),Materiales!$A$2:$E$502,5,FALSE)*VALUE(MID(TRIM(MID(SUBSTITUTE($T70,";",REPT(" ",99)),100,99)),FIND(":",TRIM(MID(SUBSTITUTE($T70,";",REPT(" ",99)),100,99)))+1,99)),0) + IFERROR(VLOOKUP(LEFT(TRIM(MID(SUBSTITUTE($T70,";",REPT(" ",99)),199,99)),FIND(":",TRIM(MID(SUBSTITUTE($T70,";",REPT(" ",99)),199,99)))-1),Materiales!$A$2:$E$502,5,FALSE)*VALUE(MID(TRIM(MID(SUBSTITUTE($T70,";",REPT(" ",99)),199,99)),FIND(":",TRIM(MID(SUBSTITUTE($T70,";",REPT(" ",99)),199,99)))+1,99)),0) + IFERROR(VLOOKUP(LEFT(TRIM(MID(SUBSTITUTE($T70,";",REPT(" ",99)),298,99)),FIND(":",TRIM(MID(SUBSTITUTE($T70,";",REPT(" ",99)),298,99)))-1),Materiales!$A$2:$E$502,5,FALSE)*VALUE(MID(TRIM(MID(SUBSTITUTE($T70,";",REPT(" ",99)),298,99)),FIND(":",TRIM(MID(SUBSTITUTE($T70,";",REPT(" ",99)),298,99)))+1,99)),0) + IFERROR(VLOOKUP(LEFT(TRIM(MID(SUBSTITUTE($T70,";",REPT(" ",99)),397,99)),FIND(":",TRIM(MID(SUBSTITUTE($T70,";",REPT(" ",99)),397,99)))-1),Materiales!$A$2:$E$502,5,FALSE)*VALUE(MID(TRIM(MID(SUBSTITUTE($T70,";",REPT(" ",99)),397,99)),FIND(":",TRIM(MID(SUBSTITUTE($T70,";",REPT(" ",99)),397,99)))+1,99)),0) + IFERROR(VLOOKUP(LEFT(TRIM(MID(SUBSTITUTE($T70,";",REPT(" ",99)),496,99)),FIND(":",TRIM(MID(SUBSTITUTE($T70,";",REPT(" ",99)),496,99)))-1),Materiales!$A$2:$E$502,5,FALSE)*VALUE(MID(TRIM(MID(SUBSTITUTE($T70,";",REPT(" ",99)),496,99)),FIND(":",TRIM(MID(SUBSTITUTE($T70,";",REPT(" ",99)),496,99)))+1,99)),0) + IFERROR(VLOOKUP(LEFT(TRIM(MID(SUBSTITUTE($T70,";",REPT(" ",99)),595,99)),FIND(":",TRIM(MID(SUBSTITUTE($T70,";",REPT(" ",99)),595,99)))-1),Materiales!$A$2:$E$502,5,FALSE)*VALUE(MID(TRIM(MID(SUBSTITUTE($T70,";",REPT(" ",99)),595,99)),FIND(":",TRIM(MID(SUBSTITUTE($T70,";",REPT(" ",99)),595,99)))+1,99)),0) + IFERROR(VLOOKUP(LEFT(TRIM(MID(SUBSTITUTE($T70,";",REPT(" ",99)),694,99)),FIND(":",TRIM(MID(SUBSTITUTE($T70,";",REPT(" ",99)),694,99)))-1),Materiales!$A$2:$E$502,5,FALSE)*VALUE(MID(TRIM(MID(SUBSTITUTE($T70,";",REPT(" ",99)),694,99)),FIND(":",TRIM(MID(SUBSTITUTE($T70,";",REPT(" ",99)),694,99)))+1,99)),0) + IFERROR(VLOOKUP(LEFT(TRIM(MID(SUBSTITUTE($T70,";",REPT(" ",99)),793,99)),FIND(":",TRIM(MID(SUBSTITUTE($T70,";",REPT(" ",99)),793,99)))-1),Materiales!$A$2:$E$502,5,FALSE)*VALUE(MID(TRIM(MID(SUBSTITUTE($T70,";",REPT(" ",99)),793,99)),FIND(":",TRIM(MID(SUBSTITUTE($T70,";",REPT(" ",99)),793,99)))+1,99)),0) + IFERROR(VLOOKUP(LEFT(TRIM(MID(SUBSTITUTE($T70,";",REPT(" ",99)),892,99)),FIND(":",TRIM(MID(SUBSTITUTE($T70,";",REPT(" ",99)),892,99)))-1),Materiales!$A$2:$E$502,5,FALSE)*VALUE(MID(TRIM(MID(SUBSTITUTE($T70,";",REPT(" ",99)),892,99)),FIND(":",TRIM(MID(SUBSTITUTE($T70,";",REPT(" ",99)),892,99)))+1,99)),0)))</f>
        <v/>
      </c>
      <c r="V70" s="3"/>
      <c r="W70" s="5" t="str">
        <f t="array" ref="W70">IF($A70="","",IF($V70="",0,IFERROR(VLOOKUP(LEFT(TRIM(MID(SUBSTITUTE($V70,";",REPT(" ",99)),1,99)),FIND(":",TRIM(MID(SUBSTITUTE($V70,";",REPT(" ",99)),1,99)))-1),Materiales!$A$2:$E$502,5,FALSE)*VALUE(MID(TRIM(MID(SUBSTITUTE($V70,";",REPT(" ",99)),1,99)),FIND(":",TRIM(MID(SUBSTITUTE($V70,";",REPT(" ",99)),1,99)))+1,99)),0) + IFERROR(VLOOKUP(LEFT(TRIM(MID(SUBSTITUTE($V70,";",REPT(" ",99)),100,99)),FIND(":",TRIM(MID(SUBSTITUTE($V70,";",REPT(" ",99)),100,99)))-1),Materiales!$A$2:$E$502,5,FALSE)*VALUE(MID(TRIM(MID(SUBSTITUTE($V70,";",REPT(" ",99)),100,99)),FIND(":",TRIM(MID(SUBSTITUTE($V70,";",REPT(" ",99)),100,99)))+1,99)),0) + IFERROR(VLOOKUP(LEFT(TRIM(MID(SUBSTITUTE($V70,";",REPT(" ",99)),199,99)),FIND(":",TRIM(MID(SUBSTITUTE($V70,";",REPT(" ",99)),199,99)))-1),Materiales!$A$2:$E$502,5,FALSE)*VALUE(MID(TRIM(MID(SUBSTITUTE($V70,";",REPT(" ",99)),199,99)),FIND(":",TRIM(MID(SUBSTITUTE($V70,";",REPT(" ",99)),199,99)))+1,99)),0) + IFERROR(VLOOKUP(LEFT(TRIM(MID(SUBSTITUTE($V70,";",REPT(" ",99)),298,99)),FIND(":",TRIM(MID(SUBSTITUTE($V70,";",REPT(" ",99)),298,99)))-1),Materiales!$A$2:$E$502,5,FALSE)*VALUE(MID(TRIM(MID(SUBSTITUTE($V70,";",REPT(" ",99)),298,99)),FIND(":",TRIM(MID(SUBSTITUTE($V70,";",REPT(" ",99)),298,99)))+1,99)),0) + IFERROR(VLOOKUP(LEFT(TRIM(MID(SUBSTITUTE($V70,";",REPT(" ",99)),397,99)),FIND(":",TRIM(MID(SUBSTITUTE($V70,";",REPT(" ",99)),397,99)))-1),Materiales!$A$2:$E$502,5,FALSE)*VALUE(MID(TRIM(MID(SUBSTITUTE($V70,";",REPT(" ",99)),397,99)),FIND(":",TRIM(MID(SUBSTITUTE($V70,";",REPT(" ",99)),397,99)))+1,99)),0) + IFERROR(VLOOKUP(LEFT(TRIM(MID(SUBSTITUTE($V70,";",REPT(" ",99)),496,99)),FIND(":",TRIM(MID(SUBSTITUTE($V70,";",REPT(" ",99)),496,99)))-1),Materiales!$A$2:$E$502,5,FALSE)*VALUE(MID(TRIM(MID(SUBSTITUTE($V70,";",REPT(" ",99)),496,99)),FIND(":",TRIM(MID(SUBSTITUTE($V70,";",REPT(" ",99)),496,99)))+1,99)),0) + IFERROR(VLOOKUP(LEFT(TRIM(MID(SUBSTITUTE($V70,";",REPT(" ",99)),595,99)),FIND(":",TRIM(MID(SUBSTITUTE($V70,";",REPT(" ",99)),595,99)))-1),Materiales!$A$2:$E$502,5,FALSE)*VALUE(MID(TRIM(MID(SUBSTITUTE($V70,";",REPT(" ",99)),595,99)),FIND(":",TRIM(MID(SUBSTITUTE($V70,";",REPT(" ",99)),595,99)))+1,99)),0) + IFERROR(VLOOKUP(LEFT(TRIM(MID(SUBSTITUTE($V70,";",REPT(" ",99)),694,99)),FIND(":",TRIM(MID(SUBSTITUTE($V70,";",REPT(" ",99)),694,99)))-1),Materiales!$A$2:$E$502,5,FALSE)*VALUE(MID(TRIM(MID(SUBSTITUTE($V70,";",REPT(" ",99)),694,99)),FIND(":",TRIM(MID(SUBSTITUTE($V70,";",REPT(" ",99)),694,99)))+1,99)),0) + IFERROR(VLOOKUP(LEFT(TRIM(MID(SUBSTITUTE($V70,";",REPT(" ",99)),793,99)),FIND(":",TRIM(MID(SUBSTITUTE($V70,";",REPT(" ",99)),793,99)))-1),Materiales!$A$2:$E$502,5,FALSE)*VALUE(MID(TRIM(MID(SUBSTITUTE($V70,";",REPT(" ",99)),793,99)),FIND(":",TRIM(MID(SUBSTITUTE($V70,";",REPT(" ",99)),793,99)))+1,99)),0) + IFERROR(VLOOKUP(LEFT(TRIM(MID(SUBSTITUTE($V70,";",REPT(" ",99)),892,99)),FIND(":",TRIM(MID(SUBSTITUTE($V70,";",REPT(" ",99)),892,99)))-1),Materiales!$A$2:$E$502,5,FALSE)*VALUE(MID(TRIM(MID(SUBSTITUTE($V70,";",REPT(" ",99)),892,99)),FIND(":",TRIM(MID(SUBSTITUTE($V70,";",REPT(" ",99)),892,99)))+1,99)),0)))</f>
        <v/>
      </c>
      <c r="X70" s="39" t="str">
        <f t="shared" si="13"/>
        <v/>
      </c>
      <c r="Y70" s="64"/>
      <c r="Z70" s="41"/>
      <c r="AA70" s="65"/>
      <c r="AB70" s="14"/>
      <c r="AC70" s="66"/>
      <c r="AD70" s="65"/>
      <c r="AE70" s="44">
        <f t="shared" si="17"/>
        <v>0</v>
      </c>
      <c r="AF70" s="45" t="str">
        <f t="shared" si="18"/>
        <v>#DIV/0!</v>
      </c>
    </row>
    <row r="71" ht="15.75" customHeight="1">
      <c r="A71" s="3"/>
      <c r="B71" s="3"/>
      <c r="C71" s="38"/>
      <c r="D71" s="38"/>
      <c r="E71" s="38"/>
      <c r="F71" s="14"/>
      <c r="G71" s="5" t="str">
        <f t="array" ref="G71">IF($A71="","",IFERROR($F71*(N($C71)*XLOOKUP($B71,Ceras!$A$2:$A$500,Ceras!$G$2:$G$500,0)+IF($D71="",0,N($E71)*XLOOKUP($D71,Ceras!$A$2:$A$500,Ceras!$G$2:$G$500,0))),"Revisar cera"))</f>
        <v/>
      </c>
      <c r="H71" s="5"/>
      <c r="I71" s="3"/>
      <c r="J71" s="14"/>
      <c r="K71" s="5" t="str">
        <f t="array" ref="K71">IF($A71="","",IFERROR($J71*XLOOKUP($I71,Pabilos!$A$2:$A$500,Pabilos!$H$2:$H$500,0),"Revisar pabilo"))</f>
        <v/>
      </c>
      <c r="L71" s="3"/>
      <c r="M71" s="14"/>
      <c r="N71" s="5" t="str">
        <f t="array" ref="N71">IF($A71="","",IFERROR($M71*XLOOKUP($L71,Esencias!$A$2:$A$501,Esencias!$G$2:$G$501,0),"Revisar esencia"))</f>
        <v/>
      </c>
      <c r="O71" s="3"/>
      <c r="P71" s="14"/>
      <c r="Q71" s="5" t="str">
        <f t="array" ref="Q71">IF($A71="","",IFERROR(IF($P71="",1,$P71)*XLOOKUP($O71,Colores!$A$2:$A$500,Colores!$H$2:$H$500,0),"Revisar color"))</f>
        <v/>
      </c>
      <c r="R71" s="3"/>
      <c r="S71" s="5" t="str">
        <f t="array" ref="S71">IF($A71="","",IF($R71="",0,IFERROR(VLOOKUP(LEFT(TRIM(MID(SUBSTITUTE($R71,";",REPT(" ",99)),1,99)),FIND(":",TRIM(MID(SUBSTITUTE($R71,";",REPT(" ",99)),1,99)))-1),Materiales!$A$2:$E$502,5,FALSE)*VALUE(MID(TRIM(MID(SUBSTITUTE($R71,";",REPT(" ",99)),1,99)),FIND(":",TRIM(MID(SUBSTITUTE($R71,";",REPT(" ",99)),1,99)))+1,99)),0) + IFERROR(VLOOKUP(LEFT(TRIM(MID(SUBSTITUTE($R71,";",REPT(" ",99)),100,99)),FIND(":",TRIM(MID(SUBSTITUTE($R71,";",REPT(" ",99)),100,99)))-1),Materiales!$A$2:$E$502,5,FALSE)*VALUE(MID(TRIM(MID(SUBSTITUTE($R71,";",REPT(" ",99)),100,99)),FIND(":",TRIM(MID(SUBSTITUTE($R71,";",REPT(" ",99)),100,99)))+1,99)),0) + IFERROR(VLOOKUP(LEFT(TRIM(MID(SUBSTITUTE($R71,";",REPT(" ",99)),199,99)),FIND(":",TRIM(MID(SUBSTITUTE($R71,";",REPT(" ",99)),199,99)))-1),Materiales!$A$2:$E$502,5,FALSE)*VALUE(MID(TRIM(MID(SUBSTITUTE($R71,";",REPT(" ",99)),199,99)),FIND(":",TRIM(MID(SUBSTITUTE($R71,";",REPT(" ",99)),199,99)))+1,99)),0) + IFERROR(VLOOKUP(LEFT(TRIM(MID(SUBSTITUTE($R71,";",REPT(" ",99)),298,99)),FIND(":",TRIM(MID(SUBSTITUTE($R71,";",REPT(" ",99)),298,99)))-1),Materiales!$A$2:$E$502,5,FALSE)*VALUE(MID(TRIM(MID(SUBSTITUTE($R71,";",REPT(" ",99)),298,99)),FIND(":",TRIM(MID(SUBSTITUTE($R71,";",REPT(" ",99)),298,99)))+1,99)),0) + IFERROR(VLOOKUP(LEFT(TRIM(MID(SUBSTITUTE($R71,";",REPT(" ",99)),397,99)),FIND(":",TRIM(MID(SUBSTITUTE($R71,";",REPT(" ",99)),397,99)))-1),Materiales!$A$2:$E$502,5,FALSE)*VALUE(MID(TRIM(MID(SUBSTITUTE($R71,";",REPT(" ",99)),397,99)),FIND(":",TRIM(MID(SUBSTITUTE($R71,";",REPT(" ",99)),397,99)))+1,99)),0) + IFERROR(VLOOKUP(LEFT(TRIM(MID(SUBSTITUTE($R71,";",REPT(" ",99)),496,99)),FIND(":",TRIM(MID(SUBSTITUTE($R71,";",REPT(" ",99)),496,99)))-1),Materiales!$A$2:$E$502,5,FALSE)*VALUE(MID(TRIM(MID(SUBSTITUTE($R71,";",REPT(" ",99)),496,99)),FIND(":",TRIM(MID(SUBSTITUTE($R71,";",REPT(" ",99)),496,99)))+1,99)),0) + IFERROR(VLOOKUP(LEFT(TRIM(MID(SUBSTITUTE($R71,";",REPT(" ",99)),595,99)),FIND(":",TRIM(MID(SUBSTITUTE($R71,";",REPT(" ",99)),595,99)))-1),Materiales!$A$2:$E$502,5,FALSE)*VALUE(MID(TRIM(MID(SUBSTITUTE($R71,";",REPT(" ",99)),595,99)),FIND(":",TRIM(MID(SUBSTITUTE($R71,";",REPT(" ",99)),595,99)))+1,99)),0) + IFERROR(VLOOKUP(LEFT(TRIM(MID(SUBSTITUTE($R71,";",REPT(" ",99)),694,99)),FIND(":",TRIM(MID(SUBSTITUTE($R71,";",REPT(" ",99)),694,99)))-1),Materiales!$A$2:$E$502,5,FALSE)*VALUE(MID(TRIM(MID(SUBSTITUTE($R71,";",REPT(" ",99)),694,99)),FIND(":",TRIM(MID(SUBSTITUTE($R71,";",REPT(" ",99)),694,99)))+1,99)),0) + IFERROR(VLOOKUP(LEFT(TRIM(MID(SUBSTITUTE($R71,";",REPT(" ",99)),793,99)),FIND(":",TRIM(MID(SUBSTITUTE($R71,";",REPT(" ",99)),793,99)))-1),Materiales!$A$2:$E$502,5,FALSE)*VALUE(MID(TRIM(MID(SUBSTITUTE($R71,";",REPT(" ",99)),793,99)),FIND(":",TRIM(MID(SUBSTITUTE($R71,";",REPT(" ",99)),793,99)))+1,99)),0) + IFERROR(VLOOKUP(LEFT(TRIM(MID(SUBSTITUTE($R71,";",REPT(" ",99)),892,99)),FIND(":",TRIM(MID(SUBSTITUTE($R71,";",REPT(" ",99)),892,99)))-1),Materiales!$A$2:$E$502,5,FALSE)*VALUE(MID(TRIM(MID(SUBSTITUTE($R71,";",REPT(" ",99)),892,99)),FIND(":",TRIM(MID(SUBSTITUTE($R71,";",REPT(" ",99)),892,99)))+1,99)),0)))</f>
        <v/>
      </c>
      <c r="T71" s="3"/>
      <c r="U71" s="5" t="str">
        <f t="array" ref="U71">IF($A71="","",IF($T71="",0,IFERROR(VLOOKUP(LEFT(TRIM(MID(SUBSTITUTE($T71,";",REPT(" ",99)),1,99)),FIND(":",TRIM(MID(SUBSTITUTE($T71,";",REPT(" ",99)),1,99)))-1),Materiales!$A$2:$E$502,5,FALSE)*VALUE(MID(TRIM(MID(SUBSTITUTE($T71,";",REPT(" ",99)),1,99)),FIND(":",TRIM(MID(SUBSTITUTE($T71,";",REPT(" ",99)),1,99)))+1,99)),0) + IFERROR(VLOOKUP(LEFT(TRIM(MID(SUBSTITUTE($T71,";",REPT(" ",99)),100,99)),FIND(":",TRIM(MID(SUBSTITUTE($T71,";",REPT(" ",99)),100,99)))-1),Materiales!$A$2:$E$502,5,FALSE)*VALUE(MID(TRIM(MID(SUBSTITUTE($T71,";",REPT(" ",99)),100,99)),FIND(":",TRIM(MID(SUBSTITUTE($T71,";",REPT(" ",99)),100,99)))+1,99)),0) + IFERROR(VLOOKUP(LEFT(TRIM(MID(SUBSTITUTE($T71,";",REPT(" ",99)),199,99)),FIND(":",TRIM(MID(SUBSTITUTE($T71,";",REPT(" ",99)),199,99)))-1),Materiales!$A$2:$E$502,5,FALSE)*VALUE(MID(TRIM(MID(SUBSTITUTE($T71,";",REPT(" ",99)),199,99)),FIND(":",TRIM(MID(SUBSTITUTE($T71,";",REPT(" ",99)),199,99)))+1,99)),0) + IFERROR(VLOOKUP(LEFT(TRIM(MID(SUBSTITUTE($T71,";",REPT(" ",99)),298,99)),FIND(":",TRIM(MID(SUBSTITUTE($T71,";",REPT(" ",99)),298,99)))-1),Materiales!$A$2:$E$502,5,FALSE)*VALUE(MID(TRIM(MID(SUBSTITUTE($T71,";",REPT(" ",99)),298,99)),FIND(":",TRIM(MID(SUBSTITUTE($T71,";",REPT(" ",99)),298,99)))+1,99)),0) + IFERROR(VLOOKUP(LEFT(TRIM(MID(SUBSTITUTE($T71,";",REPT(" ",99)),397,99)),FIND(":",TRIM(MID(SUBSTITUTE($T71,";",REPT(" ",99)),397,99)))-1),Materiales!$A$2:$E$502,5,FALSE)*VALUE(MID(TRIM(MID(SUBSTITUTE($T71,";",REPT(" ",99)),397,99)),FIND(":",TRIM(MID(SUBSTITUTE($T71,";",REPT(" ",99)),397,99)))+1,99)),0) + IFERROR(VLOOKUP(LEFT(TRIM(MID(SUBSTITUTE($T71,";",REPT(" ",99)),496,99)),FIND(":",TRIM(MID(SUBSTITUTE($T71,";",REPT(" ",99)),496,99)))-1),Materiales!$A$2:$E$502,5,FALSE)*VALUE(MID(TRIM(MID(SUBSTITUTE($T71,";",REPT(" ",99)),496,99)),FIND(":",TRIM(MID(SUBSTITUTE($T71,";",REPT(" ",99)),496,99)))+1,99)),0) + IFERROR(VLOOKUP(LEFT(TRIM(MID(SUBSTITUTE($T71,";",REPT(" ",99)),595,99)),FIND(":",TRIM(MID(SUBSTITUTE($T71,";",REPT(" ",99)),595,99)))-1),Materiales!$A$2:$E$502,5,FALSE)*VALUE(MID(TRIM(MID(SUBSTITUTE($T71,";",REPT(" ",99)),595,99)),FIND(":",TRIM(MID(SUBSTITUTE($T71,";",REPT(" ",99)),595,99)))+1,99)),0) + IFERROR(VLOOKUP(LEFT(TRIM(MID(SUBSTITUTE($T71,";",REPT(" ",99)),694,99)),FIND(":",TRIM(MID(SUBSTITUTE($T71,";",REPT(" ",99)),694,99)))-1),Materiales!$A$2:$E$502,5,FALSE)*VALUE(MID(TRIM(MID(SUBSTITUTE($T71,";",REPT(" ",99)),694,99)),FIND(":",TRIM(MID(SUBSTITUTE($T71,";",REPT(" ",99)),694,99)))+1,99)),0) + IFERROR(VLOOKUP(LEFT(TRIM(MID(SUBSTITUTE($T71,";",REPT(" ",99)),793,99)),FIND(":",TRIM(MID(SUBSTITUTE($T71,";",REPT(" ",99)),793,99)))-1),Materiales!$A$2:$E$502,5,FALSE)*VALUE(MID(TRIM(MID(SUBSTITUTE($T71,";",REPT(" ",99)),793,99)),FIND(":",TRIM(MID(SUBSTITUTE($T71,";",REPT(" ",99)),793,99)))+1,99)),0) + IFERROR(VLOOKUP(LEFT(TRIM(MID(SUBSTITUTE($T71,";",REPT(" ",99)),892,99)),FIND(":",TRIM(MID(SUBSTITUTE($T71,";",REPT(" ",99)),892,99)))-1),Materiales!$A$2:$E$502,5,FALSE)*VALUE(MID(TRIM(MID(SUBSTITUTE($T71,";",REPT(" ",99)),892,99)),FIND(":",TRIM(MID(SUBSTITUTE($T71,";",REPT(" ",99)),892,99)))+1,99)),0)))</f>
        <v/>
      </c>
      <c r="V71" s="3"/>
      <c r="W71" s="5" t="str">
        <f t="array" ref="W71">IF($A71="","",IF($V71="",0,IFERROR(VLOOKUP(LEFT(TRIM(MID(SUBSTITUTE($V71,";",REPT(" ",99)),1,99)),FIND(":",TRIM(MID(SUBSTITUTE($V71,";",REPT(" ",99)),1,99)))-1),Materiales!$A$2:$E$502,5,FALSE)*VALUE(MID(TRIM(MID(SUBSTITUTE($V71,";",REPT(" ",99)),1,99)),FIND(":",TRIM(MID(SUBSTITUTE($V71,";",REPT(" ",99)),1,99)))+1,99)),0) + IFERROR(VLOOKUP(LEFT(TRIM(MID(SUBSTITUTE($V71,";",REPT(" ",99)),100,99)),FIND(":",TRIM(MID(SUBSTITUTE($V71,";",REPT(" ",99)),100,99)))-1),Materiales!$A$2:$E$502,5,FALSE)*VALUE(MID(TRIM(MID(SUBSTITUTE($V71,";",REPT(" ",99)),100,99)),FIND(":",TRIM(MID(SUBSTITUTE($V71,";",REPT(" ",99)),100,99)))+1,99)),0) + IFERROR(VLOOKUP(LEFT(TRIM(MID(SUBSTITUTE($V71,";",REPT(" ",99)),199,99)),FIND(":",TRIM(MID(SUBSTITUTE($V71,";",REPT(" ",99)),199,99)))-1),Materiales!$A$2:$E$502,5,FALSE)*VALUE(MID(TRIM(MID(SUBSTITUTE($V71,";",REPT(" ",99)),199,99)),FIND(":",TRIM(MID(SUBSTITUTE($V71,";",REPT(" ",99)),199,99)))+1,99)),0) + IFERROR(VLOOKUP(LEFT(TRIM(MID(SUBSTITUTE($V71,";",REPT(" ",99)),298,99)),FIND(":",TRIM(MID(SUBSTITUTE($V71,";",REPT(" ",99)),298,99)))-1),Materiales!$A$2:$E$502,5,FALSE)*VALUE(MID(TRIM(MID(SUBSTITUTE($V71,";",REPT(" ",99)),298,99)),FIND(":",TRIM(MID(SUBSTITUTE($V71,";",REPT(" ",99)),298,99)))+1,99)),0) + IFERROR(VLOOKUP(LEFT(TRIM(MID(SUBSTITUTE($V71,";",REPT(" ",99)),397,99)),FIND(":",TRIM(MID(SUBSTITUTE($V71,";",REPT(" ",99)),397,99)))-1),Materiales!$A$2:$E$502,5,FALSE)*VALUE(MID(TRIM(MID(SUBSTITUTE($V71,";",REPT(" ",99)),397,99)),FIND(":",TRIM(MID(SUBSTITUTE($V71,";",REPT(" ",99)),397,99)))+1,99)),0) + IFERROR(VLOOKUP(LEFT(TRIM(MID(SUBSTITUTE($V71,";",REPT(" ",99)),496,99)),FIND(":",TRIM(MID(SUBSTITUTE($V71,";",REPT(" ",99)),496,99)))-1),Materiales!$A$2:$E$502,5,FALSE)*VALUE(MID(TRIM(MID(SUBSTITUTE($V71,";",REPT(" ",99)),496,99)),FIND(":",TRIM(MID(SUBSTITUTE($V71,";",REPT(" ",99)),496,99)))+1,99)),0) + IFERROR(VLOOKUP(LEFT(TRIM(MID(SUBSTITUTE($V71,";",REPT(" ",99)),595,99)),FIND(":",TRIM(MID(SUBSTITUTE($V71,";",REPT(" ",99)),595,99)))-1),Materiales!$A$2:$E$502,5,FALSE)*VALUE(MID(TRIM(MID(SUBSTITUTE($V71,";",REPT(" ",99)),595,99)),FIND(":",TRIM(MID(SUBSTITUTE($V71,";",REPT(" ",99)),595,99)))+1,99)),0) + IFERROR(VLOOKUP(LEFT(TRIM(MID(SUBSTITUTE($V71,";",REPT(" ",99)),694,99)),FIND(":",TRIM(MID(SUBSTITUTE($V71,";",REPT(" ",99)),694,99)))-1),Materiales!$A$2:$E$502,5,FALSE)*VALUE(MID(TRIM(MID(SUBSTITUTE($V71,";",REPT(" ",99)),694,99)),FIND(":",TRIM(MID(SUBSTITUTE($V71,";",REPT(" ",99)),694,99)))+1,99)),0) + IFERROR(VLOOKUP(LEFT(TRIM(MID(SUBSTITUTE($V71,";",REPT(" ",99)),793,99)),FIND(":",TRIM(MID(SUBSTITUTE($V71,";",REPT(" ",99)),793,99)))-1),Materiales!$A$2:$E$502,5,FALSE)*VALUE(MID(TRIM(MID(SUBSTITUTE($V71,";",REPT(" ",99)),793,99)),FIND(":",TRIM(MID(SUBSTITUTE($V71,";",REPT(" ",99)),793,99)))+1,99)),0) + IFERROR(VLOOKUP(LEFT(TRIM(MID(SUBSTITUTE($V71,";",REPT(" ",99)),892,99)),FIND(":",TRIM(MID(SUBSTITUTE($V71,";",REPT(" ",99)),892,99)))-1),Materiales!$A$2:$E$502,5,FALSE)*VALUE(MID(TRIM(MID(SUBSTITUTE($V71,";",REPT(" ",99)),892,99)),FIND(":",TRIM(MID(SUBSTITUTE($V71,";",REPT(" ",99)),892,99)))+1,99)),0)))</f>
        <v/>
      </c>
      <c r="X71" s="39" t="str">
        <f t="shared" si="13"/>
        <v/>
      </c>
      <c r="Y71" s="64"/>
      <c r="Z71" s="41"/>
      <c r="AA71" s="65"/>
      <c r="AB71" s="14"/>
      <c r="AC71" s="66"/>
      <c r="AD71" s="65"/>
      <c r="AE71" s="44">
        <f t="shared" si="17"/>
        <v>0</v>
      </c>
      <c r="AF71" s="45" t="str">
        <f t="shared" si="18"/>
        <v>#DIV/0!</v>
      </c>
    </row>
    <row r="72" ht="15.75" customHeight="1">
      <c r="A72" s="3"/>
      <c r="B72" s="3"/>
      <c r="C72" s="38"/>
      <c r="D72" s="38"/>
      <c r="E72" s="38"/>
      <c r="F72" s="14"/>
      <c r="G72" s="5" t="str">
        <f t="array" ref="G72">IF($A72="","",IFERROR($F72*(N($C72)*XLOOKUP($B72,Ceras!$A$2:$A$500,Ceras!$G$2:$G$500,0)+IF($D72="",0,N($E72)*XLOOKUP($D72,Ceras!$A$2:$A$500,Ceras!$G$2:$G$500,0))),"Revisar cera"))</f>
        <v/>
      </c>
      <c r="H72" s="5"/>
      <c r="I72" s="3"/>
      <c r="J72" s="14"/>
      <c r="K72" s="5" t="str">
        <f t="array" ref="K72">IF($A72="","",IFERROR($J72*XLOOKUP($I72,Pabilos!$A$2:$A$500,Pabilos!$H$2:$H$500,0),"Revisar pabilo"))</f>
        <v/>
      </c>
      <c r="L72" s="3"/>
      <c r="M72" s="14"/>
      <c r="N72" s="5" t="str">
        <f t="array" ref="N72">IF($A72="","",IFERROR($M72*XLOOKUP($L72,Esencias!$A$2:$A$501,Esencias!$G$2:$G$501,0),"Revisar esencia"))</f>
        <v/>
      </c>
      <c r="O72" s="3"/>
      <c r="P72" s="14"/>
      <c r="Q72" s="5" t="str">
        <f t="array" ref="Q72">IF($A72="","",IFERROR(IF($P72="",1,$P72)*XLOOKUP($O72,Colores!$A$2:$A$500,Colores!$H$2:$H$500,0),"Revisar color"))</f>
        <v/>
      </c>
      <c r="R72" s="3"/>
      <c r="S72" s="5" t="str">
        <f t="array" ref="S72">IF($A72="","",IF($R72="",0,IFERROR(VLOOKUP(LEFT(TRIM(MID(SUBSTITUTE($R72,";",REPT(" ",99)),1,99)),FIND(":",TRIM(MID(SUBSTITUTE($R72,";",REPT(" ",99)),1,99)))-1),Materiales!$A$2:$E$502,5,FALSE)*VALUE(MID(TRIM(MID(SUBSTITUTE($R72,";",REPT(" ",99)),1,99)),FIND(":",TRIM(MID(SUBSTITUTE($R72,";",REPT(" ",99)),1,99)))+1,99)),0) + IFERROR(VLOOKUP(LEFT(TRIM(MID(SUBSTITUTE($R72,";",REPT(" ",99)),100,99)),FIND(":",TRIM(MID(SUBSTITUTE($R72,";",REPT(" ",99)),100,99)))-1),Materiales!$A$2:$E$502,5,FALSE)*VALUE(MID(TRIM(MID(SUBSTITUTE($R72,";",REPT(" ",99)),100,99)),FIND(":",TRIM(MID(SUBSTITUTE($R72,";",REPT(" ",99)),100,99)))+1,99)),0) + IFERROR(VLOOKUP(LEFT(TRIM(MID(SUBSTITUTE($R72,";",REPT(" ",99)),199,99)),FIND(":",TRIM(MID(SUBSTITUTE($R72,";",REPT(" ",99)),199,99)))-1),Materiales!$A$2:$E$502,5,FALSE)*VALUE(MID(TRIM(MID(SUBSTITUTE($R72,";",REPT(" ",99)),199,99)),FIND(":",TRIM(MID(SUBSTITUTE($R72,";",REPT(" ",99)),199,99)))+1,99)),0) + IFERROR(VLOOKUP(LEFT(TRIM(MID(SUBSTITUTE($R72,";",REPT(" ",99)),298,99)),FIND(":",TRIM(MID(SUBSTITUTE($R72,";",REPT(" ",99)),298,99)))-1),Materiales!$A$2:$E$502,5,FALSE)*VALUE(MID(TRIM(MID(SUBSTITUTE($R72,";",REPT(" ",99)),298,99)),FIND(":",TRIM(MID(SUBSTITUTE($R72,";",REPT(" ",99)),298,99)))+1,99)),0) + IFERROR(VLOOKUP(LEFT(TRIM(MID(SUBSTITUTE($R72,";",REPT(" ",99)),397,99)),FIND(":",TRIM(MID(SUBSTITUTE($R72,";",REPT(" ",99)),397,99)))-1),Materiales!$A$2:$E$502,5,FALSE)*VALUE(MID(TRIM(MID(SUBSTITUTE($R72,";",REPT(" ",99)),397,99)),FIND(":",TRIM(MID(SUBSTITUTE($R72,";",REPT(" ",99)),397,99)))+1,99)),0) + IFERROR(VLOOKUP(LEFT(TRIM(MID(SUBSTITUTE($R72,";",REPT(" ",99)),496,99)),FIND(":",TRIM(MID(SUBSTITUTE($R72,";",REPT(" ",99)),496,99)))-1),Materiales!$A$2:$E$502,5,FALSE)*VALUE(MID(TRIM(MID(SUBSTITUTE($R72,";",REPT(" ",99)),496,99)),FIND(":",TRIM(MID(SUBSTITUTE($R72,";",REPT(" ",99)),496,99)))+1,99)),0) + IFERROR(VLOOKUP(LEFT(TRIM(MID(SUBSTITUTE($R72,";",REPT(" ",99)),595,99)),FIND(":",TRIM(MID(SUBSTITUTE($R72,";",REPT(" ",99)),595,99)))-1),Materiales!$A$2:$E$502,5,FALSE)*VALUE(MID(TRIM(MID(SUBSTITUTE($R72,";",REPT(" ",99)),595,99)),FIND(":",TRIM(MID(SUBSTITUTE($R72,";",REPT(" ",99)),595,99)))+1,99)),0) + IFERROR(VLOOKUP(LEFT(TRIM(MID(SUBSTITUTE($R72,";",REPT(" ",99)),694,99)),FIND(":",TRIM(MID(SUBSTITUTE($R72,";",REPT(" ",99)),694,99)))-1),Materiales!$A$2:$E$502,5,FALSE)*VALUE(MID(TRIM(MID(SUBSTITUTE($R72,";",REPT(" ",99)),694,99)),FIND(":",TRIM(MID(SUBSTITUTE($R72,";",REPT(" ",99)),694,99)))+1,99)),0) + IFERROR(VLOOKUP(LEFT(TRIM(MID(SUBSTITUTE($R72,";",REPT(" ",99)),793,99)),FIND(":",TRIM(MID(SUBSTITUTE($R72,";",REPT(" ",99)),793,99)))-1),Materiales!$A$2:$E$502,5,FALSE)*VALUE(MID(TRIM(MID(SUBSTITUTE($R72,";",REPT(" ",99)),793,99)),FIND(":",TRIM(MID(SUBSTITUTE($R72,";",REPT(" ",99)),793,99)))+1,99)),0) + IFERROR(VLOOKUP(LEFT(TRIM(MID(SUBSTITUTE($R72,";",REPT(" ",99)),892,99)),FIND(":",TRIM(MID(SUBSTITUTE($R72,";",REPT(" ",99)),892,99)))-1),Materiales!$A$2:$E$502,5,FALSE)*VALUE(MID(TRIM(MID(SUBSTITUTE($R72,";",REPT(" ",99)),892,99)),FIND(":",TRIM(MID(SUBSTITUTE($R72,";",REPT(" ",99)),892,99)))+1,99)),0)))</f>
        <v/>
      </c>
      <c r="T72" s="3"/>
      <c r="U72" s="5" t="str">
        <f t="array" ref="U72">IF($A72="","",IF($T72="",0,IFERROR(VLOOKUP(LEFT(TRIM(MID(SUBSTITUTE($T72,";",REPT(" ",99)),1,99)),FIND(":",TRIM(MID(SUBSTITUTE($T72,";",REPT(" ",99)),1,99)))-1),Materiales!$A$2:$E$502,5,FALSE)*VALUE(MID(TRIM(MID(SUBSTITUTE($T72,";",REPT(" ",99)),1,99)),FIND(":",TRIM(MID(SUBSTITUTE($T72,";",REPT(" ",99)),1,99)))+1,99)),0) + IFERROR(VLOOKUP(LEFT(TRIM(MID(SUBSTITUTE($T72,";",REPT(" ",99)),100,99)),FIND(":",TRIM(MID(SUBSTITUTE($T72,";",REPT(" ",99)),100,99)))-1),Materiales!$A$2:$E$502,5,FALSE)*VALUE(MID(TRIM(MID(SUBSTITUTE($T72,";",REPT(" ",99)),100,99)),FIND(":",TRIM(MID(SUBSTITUTE($T72,";",REPT(" ",99)),100,99)))+1,99)),0) + IFERROR(VLOOKUP(LEFT(TRIM(MID(SUBSTITUTE($T72,";",REPT(" ",99)),199,99)),FIND(":",TRIM(MID(SUBSTITUTE($T72,";",REPT(" ",99)),199,99)))-1),Materiales!$A$2:$E$502,5,FALSE)*VALUE(MID(TRIM(MID(SUBSTITUTE($T72,";",REPT(" ",99)),199,99)),FIND(":",TRIM(MID(SUBSTITUTE($T72,";",REPT(" ",99)),199,99)))+1,99)),0) + IFERROR(VLOOKUP(LEFT(TRIM(MID(SUBSTITUTE($T72,";",REPT(" ",99)),298,99)),FIND(":",TRIM(MID(SUBSTITUTE($T72,";",REPT(" ",99)),298,99)))-1),Materiales!$A$2:$E$502,5,FALSE)*VALUE(MID(TRIM(MID(SUBSTITUTE($T72,";",REPT(" ",99)),298,99)),FIND(":",TRIM(MID(SUBSTITUTE($T72,";",REPT(" ",99)),298,99)))+1,99)),0) + IFERROR(VLOOKUP(LEFT(TRIM(MID(SUBSTITUTE($T72,";",REPT(" ",99)),397,99)),FIND(":",TRIM(MID(SUBSTITUTE($T72,";",REPT(" ",99)),397,99)))-1),Materiales!$A$2:$E$502,5,FALSE)*VALUE(MID(TRIM(MID(SUBSTITUTE($T72,";",REPT(" ",99)),397,99)),FIND(":",TRIM(MID(SUBSTITUTE($T72,";",REPT(" ",99)),397,99)))+1,99)),0) + IFERROR(VLOOKUP(LEFT(TRIM(MID(SUBSTITUTE($T72,";",REPT(" ",99)),496,99)),FIND(":",TRIM(MID(SUBSTITUTE($T72,";",REPT(" ",99)),496,99)))-1),Materiales!$A$2:$E$502,5,FALSE)*VALUE(MID(TRIM(MID(SUBSTITUTE($T72,";",REPT(" ",99)),496,99)),FIND(":",TRIM(MID(SUBSTITUTE($T72,";",REPT(" ",99)),496,99)))+1,99)),0) + IFERROR(VLOOKUP(LEFT(TRIM(MID(SUBSTITUTE($T72,";",REPT(" ",99)),595,99)),FIND(":",TRIM(MID(SUBSTITUTE($T72,";",REPT(" ",99)),595,99)))-1),Materiales!$A$2:$E$502,5,FALSE)*VALUE(MID(TRIM(MID(SUBSTITUTE($T72,";",REPT(" ",99)),595,99)),FIND(":",TRIM(MID(SUBSTITUTE($T72,";",REPT(" ",99)),595,99)))+1,99)),0) + IFERROR(VLOOKUP(LEFT(TRIM(MID(SUBSTITUTE($T72,";",REPT(" ",99)),694,99)),FIND(":",TRIM(MID(SUBSTITUTE($T72,";",REPT(" ",99)),694,99)))-1),Materiales!$A$2:$E$502,5,FALSE)*VALUE(MID(TRIM(MID(SUBSTITUTE($T72,";",REPT(" ",99)),694,99)),FIND(":",TRIM(MID(SUBSTITUTE($T72,";",REPT(" ",99)),694,99)))+1,99)),0) + IFERROR(VLOOKUP(LEFT(TRIM(MID(SUBSTITUTE($T72,";",REPT(" ",99)),793,99)),FIND(":",TRIM(MID(SUBSTITUTE($T72,";",REPT(" ",99)),793,99)))-1),Materiales!$A$2:$E$502,5,FALSE)*VALUE(MID(TRIM(MID(SUBSTITUTE($T72,";",REPT(" ",99)),793,99)),FIND(":",TRIM(MID(SUBSTITUTE($T72,";",REPT(" ",99)),793,99)))+1,99)),0) + IFERROR(VLOOKUP(LEFT(TRIM(MID(SUBSTITUTE($T72,";",REPT(" ",99)),892,99)),FIND(":",TRIM(MID(SUBSTITUTE($T72,";",REPT(" ",99)),892,99)))-1),Materiales!$A$2:$E$502,5,FALSE)*VALUE(MID(TRIM(MID(SUBSTITUTE($T72,";",REPT(" ",99)),892,99)),FIND(":",TRIM(MID(SUBSTITUTE($T72,";",REPT(" ",99)),892,99)))+1,99)),0)))</f>
        <v/>
      </c>
      <c r="V72" s="3"/>
      <c r="W72" s="5" t="str">
        <f t="array" ref="W72">IF($A72="","",IF($V72="",0,IFERROR(VLOOKUP(LEFT(TRIM(MID(SUBSTITUTE($V72,";",REPT(" ",99)),1,99)),FIND(":",TRIM(MID(SUBSTITUTE($V72,";",REPT(" ",99)),1,99)))-1),Materiales!$A$2:$E$502,5,FALSE)*VALUE(MID(TRIM(MID(SUBSTITUTE($V72,";",REPT(" ",99)),1,99)),FIND(":",TRIM(MID(SUBSTITUTE($V72,";",REPT(" ",99)),1,99)))+1,99)),0) + IFERROR(VLOOKUP(LEFT(TRIM(MID(SUBSTITUTE($V72,";",REPT(" ",99)),100,99)),FIND(":",TRIM(MID(SUBSTITUTE($V72,";",REPT(" ",99)),100,99)))-1),Materiales!$A$2:$E$502,5,FALSE)*VALUE(MID(TRIM(MID(SUBSTITUTE($V72,";",REPT(" ",99)),100,99)),FIND(":",TRIM(MID(SUBSTITUTE($V72,";",REPT(" ",99)),100,99)))+1,99)),0) + IFERROR(VLOOKUP(LEFT(TRIM(MID(SUBSTITUTE($V72,";",REPT(" ",99)),199,99)),FIND(":",TRIM(MID(SUBSTITUTE($V72,";",REPT(" ",99)),199,99)))-1),Materiales!$A$2:$E$502,5,FALSE)*VALUE(MID(TRIM(MID(SUBSTITUTE($V72,";",REPT(" ",99)),199,99)),FIND(":",TRIM(MID(SUBSTITUTE($V72,";",REPT(" ",99)),199,99)))+1,99)),0) + IFERROR(VLOOKUP(LEFT(TRIM(MID(SUBSTITUTE($V72,";",REPT(" ",99)),298,99)),FIND(":",TRIM(MID(SUBSTITUTE($V72,";",REPT(" ",99)),298,99)))-1),Materiales!$A$2:$E$502,5,FALSE)*VALUE(MID(TRIM(MID(SUBSTITUTE($V72,";",REPT(" ",99)),298,99)),FIND(":",TRIM(MID(SUBSTITUTE($V72,";",REPT(" ",99)),298,99)))+1,99)),0) + IFERROR(VLOOKUP(LEFT(TRIM(MID(SUBSTITUTE($V72,";",REPT(" ",99)),397,99)),FIND(":",TRIM(MID(SUBSTITUTE($V72,";",REPT(" ",99)),397,99)))-1),Materiales!$A$2:$E$502,5,FALSE)*VALUE(MID(TRIM(MID(SUBSTITUTE($V72,";",REPT(" ",99)),397,99)),FIND(":",TRIM(MID(SUBSTITUTE($V72,";",REPT(" ",99)),397,99)))+1,99)),0) + IFERROR(VLOOKUP(LEFT(TRIM(MID(SUBSTITUTE($V72,";",REPT(" ",99)),496,99)),FIND(":",TRIM(MID(SUBSTITUTE($V72,";",REPT(" ",99)),496,99)))-1),Materiales!$A$2:$E$502,5,FALSE)*VALUE(MID(TRIM(MID(SUBSTITUTE($V72,";",REPT(" ",99)),496,99)),FIND(":",TRIM(MID(SUBSTITUTE($V72,";",REPT(" ",99)),496,99)))+1,99)),0) + IFERROR(VLOOKUP(LEFT(TRIM(MID(SUBSTITUTE($V72,";",REPT(" ",99)),595,99)),FIND(":",TRIM(MID(SUBSTITUTE($V72,";",REPT(" ",99)),595,99)))-1),Materiales!$A$2:$E$502,5,FALSE)*VALUE(MID(TRIM(MID(SUBSTITUTE($V72,";",REPT(" ",99)),595,99)),FIND(":",TRIM(MID(SUBSTITUTE($V72,";",REPT(" ",99)),595,99)))+1,99)),0) + IFERROR(VLOOKUP(LEFT(TRIM(MID(SUBSTITUTE($V72,";",REPT(" ",99)),694,99)),FIND(":",TRIM(MID(SUBSTITUTE($V72,";",REPT(" ",99)),694,99)))-1),Materiales!$A$2:$E$502,5,FALSE)*VALUE(MID(TRIM(MID(SUBSTITUTE($V72,";",REPT(" ",99)),694,99)),FIND(":",TRIM(MID(SUBSTITUTE($V72,";",REPT(" ",99)),694,99)))+1,99)),0) + IFERROR(VLOOKUP(LEFT(TRIM(MID(SUBSTITUTE($V72,";",REPT(" ",99)),793,99)),FIND(":",TRIM(MID(SUBSTITUTE($V72,";",REPT(" ",99)),793,99)))-1),Materiales!$A$2:$E$502,5,FALSE)*VALUE(MID(TRIM(MID(SUBSTITUTE($V72,";",REPT(" ",99)),793,99)),FIND(":",TRIM(MID(SUBSTITUTE($V72,";",REPT(" ",99)),793,99)))+1,99)),0) + IFERROR(VLOOKUP(LEFT(TRIM(MID(SUBSTITUTE($V72,";",REPT(" ",99)),892,99)),FIND(":",TRIM(MID(SUBSTITUTE($V72,";",REPT(" ",99)),892,99)))-1),Materiales!$A$2:$E$502,5,FALSE)*VALUE(MID(TRIM(MID(SUBSTITUTE($V72,";",REPT(" ",99)),892,99)),FIND(":",TRIM(MID(SUBSTITUTE($V72,";",REPT(" ",99)),892,99)))+1,99)),0)))</f>
        <v/>
      </c>
      <c r="X72" s="39" t="str">
        <f t="shared" si="13"/>
        <v/>
      </c>
      <c r="Y72" s="64"/>
      <c r="Z72" s="41"/>
      <c r="AA72" s="65"/>
      <c r="AB72" s="14"/>
      <c r="AC72" s="66"/>
      <c r="AD72" s="65"/>
      <c r="AE72" s="44">
        <f t="shared" si="17"/>
        <v>0</v>
      </c>
      <c r="AF72" s="45" t="str">
        <f t="shared" si="18"/>
        <v>#DIV/0!</v>
      </c>
    </row>
    <row r="73" ht="15.75" customHeight="1">
      <c r="A73" s="3"/>
      <c r="B73" s="3"/>
      <c r="C73" s="38"/>
      <c r="D73" s="38"/>
      <c r="E73" s="38"/>
      <c r="F73" s="14"/>
      <c r="G73" s="5" t="str">
        <f t="array" ref="G73">IF($A73="","",IFERROR($F73*(N($C73)*XLOOKUP($B73,Ceras!$A$2:$A$500,Ceras!$G$2:$G$500,0)+IF($D73="",0,N($E73)*XLOOKUP($D73,Ceras!$A$2:$A$500,Ceras!$G$2:$G$500,0))),"Revisar cera"))</f>
        <v/>
      </c>
      <c r="H73" s="5"/>
      <c r="I73" s="3"/>
      <c r="J73" s="14"/>
      <c r="K73" s="5" t="str">
        <f t="array" ref="K73">IF($A73="","",IFERROR($J73*XLOOKUP($I73,Pabilos!$A$2:$A$500,Pabilos!$H$2:$H$500,0),"Revisar pabilo"))</f>
        <v/>
      </c>
      <c r="L73" s="3"/>
      <c r="M73" s="14"/>
      <c r="N73" s="5" t="str">
        <f t="array" ref="N73">IF($A73="","",IFERROR($M73*XLOOKUP($L73,Esencias!$A$2:$A$501,Esencias!$G$2:$G$501,0),"Revisar esencia"))</f>
        <v/>
      </c>
      <c r="O73" s="3"/>
      <c r="P73" s="14"/>
      <c r="Q73" s="5" t="str">
        <f t="array" ref="Q73">IF($A73="","",IFERROR(IF($P73="",1,$P73)*XLOOKUP($O73,Colores!$A$2:$A$500,Colores!$H$2:$H$500,0),"Revisar color"))</f>
        <v/>
      </c>
      <c r="R73" s="3"/>
      <c r="S73" s="5" t="str">
        <f t="array" ref="S73">IF($A73="","",IF($R73="",0,IFERROR(VLOOKUP(LEFT(TRIM(MID(SUBSTITUTE($R73,";",REPT(" ",99)),1,99)),FIND(":",TRIM(MID(SUBSTITUTE($R73,";",REPT(" ",99)),1,99)))-1),Materiales!$A$2:$E$502,5,FALSE)*VALUE(MID(TRIM(MID(SUBSTITUTE($R73,";",REPT(" ",99)),1,99)),FIND(":",TRIM(MID(SUBSTITUTE($R73,";",REPT(" ",99)),1,99)))+1,99)),0) + IFERROR(VLOOKUP(LEFT(TRIM(MID(SUBSTITUTE($R73,";",REPT(" ",99)),100,99)),FIND(":",TRIM(MID(SUBSTITUTE($R73,";",REPT(" ",99)),100,99)))-1),Materiales!$A$2:$E$502,5,FALSE)*VALUE(MID(TRIM(MID(SUBSTITUTE($R73,";",REPT(" ",99)),100,99)),FIND(":",TRIM(MID(SUBSTITUTE($R73,";",REPT(" ",99)),100,99)))+1,99)),0) + IFERROR(VLOOKUP(LEFT(TRIM(MID(SUBSTITUTE($R73,";",REPT(" ",99)),199,99)),FIND(":",TRIM(MID(SUBSTITUTE($R73,";",REPT(" ",99)),199,99)))-1),Materiales!$A$2:$E$502,5,FALSE)*VALUE(MID(TRIM(MID(SUBSTITUTE($R73,";",REPT(" ",99)),199,99)),FIND(":",TRIM(MID(SUBSTITUTE($R73,";",REPT(" ",99)),199,99)))+1,99)),0) + IFERROR(VLOOKUP(LEFT(TRIM(MID(SUBSTITUTE($R73,";",REPT(" ",99)),298,99)),FIND(":",TRIM(MID(SUBSTITUTE($R73,";",REPT(" ",99)),298,99)))-1),Materiales!$A$2:$E$502,5,FALSE)*VALUE(MID(TRIM(MID(SUBSTITUTE($R73,";",REPT(" ",99)),298,99)),FIND(":",TRIM(MID(SUBSTITUTE($R73,";",REPT(" ",99)),298,99)))+1,99)),0) + IFERROR(VLOOKUP(LEFT(TRIM(MID(SUBSTITUTE($R73,";",REPT(" ",99)),397,99)),FIND(":",TRIM(MID(SUBSTITUTE($R73,";",REPT(" ",99)),397,99)))-1),Materiales!$A$2:$E$502,5,FALSE)*VALUE(MID(TRIM(MID(SUBSTITUTE($R73,";",REPT(" ",99)),397,99)),FIND(":",TRIM(MID(SUBSTITUTE($R73,";",REPT(" ",99)),397,99)))+1,99)),0) + IFERROR(VLOOKUP(LEFT(TRIM(MID(SUBSTITUTE($R73,";",REPT(" ",99)),496,99)),FIND(":",TRIM(MID(SUBSTITUTE($R73,";",REPT(" ",99)),496,99)))-1),Materiales!$A$2:$E$502,5,FALSE)*VALUE(MID(TRIM(MID(SUBSTITUTE($R73,";",REPT(" ",99)),496,99)),FIND(":",TRIM(MID(SUBSTITUTE($R73,";",REPT(" ",99)),496,99)))+1,99)),0) + IFERROR(VLOOKUP(LEFT(TRIM(MID(SUBSTITUTE($R73,";",REPT(" ",99)),595,99)),FIND(":",TRIM(MID(SUBSTITUTE($R73,";",REPT(" ",99)),595,99)))-1),Materiales!$A$2:$E$502,5,FALSE)*VALUE(MID(TRIM(MID(SUBSTITUTE($R73,";",REPT(" ",99)),595,99)),FIND(":",TRIM(MID(SUBSTITUTE($R73,";",REPT(" ",99)),595,99)))+1,99)),0) + IFERROR(VLOOKUP(LEFT(TRIM(MID(SUBSTITUTE($R73,";",REPT(" ",99)),694,99)),FIND(":",TRIM(MID(SUBSTITUTE($R73,";",REPT(" ",99)),694,99)))-1),Materiales!$A$2:$E$502,5,FALSE)*VALUE(MID(TRIM(MID(SUBSTITUTE($R73,";",REPT(" ",99)),694,99)),FIND(":",TRIM(MID(SUBSTITUTE($R73,";",REPT(" ",99)),694,99)))+1,99)),0) + IFERROR(VLOOKUP(LEFT(TRIM(MID(SUBSTITUTE($R73,";",REPT(" ",99)),793,99)),FIND(":",TRIM(MID(SUBSTITUTE($R73,";",REPT(" ",99)),793,99)))-1),Materiales!$A$2:$E$502,5,FALSE)*VALUE(MID(TRIM(MID(SUBSTITUTE($R73,";",REPT(" ",99)),793,99)),FIND(":",TRIM(MID(SUBSTITUTE($R73,";",REPT(" ",99)),793,99)))+1,99)),0) + IFERROR(VLOOKUP(LEFT(TRIM(MID(SUBSTITUTE($R73,";",REPT(" ",99)),892,99)),FIND(":",TRIM(MID(SUBSTITUTE($R73,";",REPT(" ",99)),892,99)))-1),Materiales!$A$2:$E$502,5,FALSE)*VALUE(MID(TRIM(MID(SUBSTITUTE($R73,";",REPT(" ",99)),892,99)),FIND(":",TRIM(MID(SUBSTITUTE($R73,";",REPT(" ",99)),892,99)))+1,99)),0)))</f>
        <v/>
      </c>
      <c r="T73" s="3"/>
      <c r="U73" s="5" t="str">
        <f t="array" ref="U73">IF($A73="","",IF($T73="",0,IFERROR(VLOOKUP(LEFT(TRIM(MID(SUBSTITUTE($T73,";",REPT(" ",99)),1,99)),FIND(":",TRIM(MID(SUBSTITUTE($T73,";",REPT(" ",99)),1,99)))-1),Materiales!$A$2:$E$502,5,FALSE)*VALUE(MID(TRIM(MID(SUBSTITUTE($T73,";",REPT(" ",99)),1,99)),FIND(":",TRIM(MID(SUBSTITUTE($T73,";",REPT(" ",99)),1,99)))+1,99)),0) + IFERROR(VLOOKUP(LEFT(TRIM(MID(SUBSTITUTE($T73,";",REPT(" ",99)),100,99)),FIND(":",TRIM(MID(SUBSTITUTE($T73,";",REPT(" ",99)),100,99)))-1),Materiales!$A$2:$E$502,5,FALSE)*VALUE(MID(TRIM(MID(SUBSTITUTE($T73,";",REPT(" ",99)),100,99)),FIND(":",TRIM(MID(SUBSTITUTE($T73,";",REPT(" ",99)),100,99)))+1,99)),0) + IFERROR(VLOOKUP(LEFT(TRIM(MID(SUBSTITUTE($T73,";",REPT(" ",99)),199,99)),FIND(":",TRIM(MID(SUBSTITUTE($T73,";",REPT(" ",99)),199,99)))-1),Materiales!$A$2:$E$502,5,FALSE)*VALUE(MID(TRIM(MID(SUBSTITUTE($T73,";",REPT(" ",99)),199,99)),FIND(":",TRIM(MID(SUBSTITUTE($T73,";",REPT(" ",99)),199,99)))+1,99)),0) + IFERROR(VLOOKUP(LEFT(TRIM(MID(SUBSTITUTE($T73,";",REPT(" ",99)),298,99)),FIND(":",TRIM(MID(SUBSTITUTE($T73,";",REPT(" ",99)),298,99)))-1),Materiales!$A$2:$E$502,5,FALSE)*VALUE(MID(TRIM(MID(SUBSTITUTE($T73,";",REPT(" ",99)),298,99)),FIND(":",TRIM(MID(SUBSTITUTE($T73,";",REPT(" ",99)),298,99)))+1,99)),0) + IFERROR(VLOOKUP(LEFT(TRIM(MID(SUBSTITUTE($T73,";",REPT(" ",99)),397,99)),FIND(":",TRIM(MID(SUBSTITUTE($T73,";",REPT(" ",99)),397,99)))-1),Materiales!$A$2:$E$502,5,FALSE)*VALUE(MID(TRIM(MID(SUBSTITUTE($T73,";",REPT(" ",99)),397,99)),FIND(":",TRIM(MID(SUBSTITUTE($T73,";",REPT(" ",99)),397,99)))+1,99)),0) + IFERROR(VLOOKUP(LEFT(TRIM(MID(SUBSTITUTE($T73,";",REPT(" ",99)),496,99)),FIND(":",TRIM(MID(SUBSTITUTE($T73,";",REPT(" ",99)),496,99)))-1),Materiales!$A$2:$E$502,5,FALSE)*VALUE(MID(TRIM(MID(SUBSTITUTE($T73,";",REPT(" ",99)),496,99)),FIND(":",TRIM(MID(SUBSTITUTE($T73,";",REPT(" ",99)),496,99)))+1,99)),0) + IFERROR(VLOOKUP(LEFT(TRIM(MID(SUBSTITUTE($T73,";",REPT(" ",99)),595,99)),FIND(":",TRIM(MID(SUBSTITUTE($T73,";",REPT(" ",99)),595,99)))-1),Materiales!$A$2:$E$502,5,FALSE)*VALUE(MID(TRIM(MID(SUBSTITUTE($T73,";",REPT(" ",99)),595,99)),FIND(":",TRIM(MID(SUBSTITUTE($T73,";",REPT(" ",99)),595,99)))+1,99)),0) + IFERROR(VLOOKUP(LEFT(TRIM(MID(SUBSTITUTE($T73,";",REPT(" ",99)),694,99)),FIND(":",TRIM(MID(SUBSTITUTE($T73,";",REPT(" ",99)),694,99)))-1),Materiales!$A$2:$E$502,5,FALSE)*VALUE(MID(TRIM(MID(SUBSTITUTE($T73,";",REPT(" ",99)),694,99)),FIND(":",TRIM(MID(SUBSTITUTE($T73,";",REPT(" ",99)),694,99)))+1,99)),0) + IFERROR(VLOOKUP(LEFT(TRIM(MID(SUBSTITUTE($T73,";",REPT(" ",99)),793,99)),FIND(":",TRIM(MID(SUBSTITUTE($T73,";",REPT(" ",99)),793,99)))-1),Materiales!$A$2:$E$502,5,FALSE)*VALUE(MID(TRIM(MID(SUBSTITUTE($T73,";",REPT(" ",99)),793,99)),FIND(":",TRIM(MID(SUBSTITUTE($T73,";",REPT(" ",99)),793,99)))+1,99)),0) + IFERROR(VLOOKUP(LEFT(TRIM(MID(SUBSTITUTE($T73,";",REPT(" ",99)),892,99)),FIND(":",TRIM(MID(SUBSTITUTE($T73,";",REPT(" ",99)),892,99)))-1),Materiales!$A$2:$E$502,5,FALSE)*VALUE(MID(TRIM(MID(SUBSTITUTE($T73,";",REPT(" ",99)),892,99)),FIND(":",TRIM(MID(SUBSTITUTE($T73,";",REPT(" ",99)),892,99)))+1,99)),0)))</f>
        <v/>
      </c>
      <c r="V73" s="3"/>
      <c r="W73" s="5" t="str">
        <f t="array" ref="W73">IF($A73="","",IF($V73="",0,IFERROR(VLOOKUP(LEFT(TRIM(MID(SUBSTITUTE($V73,";",REPT(" ",99)),1,99)),FIND(":",TRIM(MID(SUBSTITUTE($V73,";",REPT(" ",99)),1,99)))-1),Materiales!$A$2:$E$502,5,FALSE)*VALUE(MID(TRIM(MID(SUBSTITUTE($V73,";",REPT(" ",99)),1,99)),FIND(":",TRIM(MID(SUBSTITUTE($V73,";",REPT(" ",99)),1,99)))+1,99)),0) + IFERROR(VLOOKUP(LEFT(TRIM(MID(SUBSTITUTE($V73,";",REPT(" ",99)),100,99)),FIND(":",TRIM(MID(SUBSTITUTE($V73,";",REPT(" ",99)),100,99)))-1),Materiales!$A$2:$E$502,5,FALSE)*VALUE(MID(TRIM(MID(SUBSTITUTE($V73,";",REPT(" ",99)),100,99)),FIND(":",TRIM(MID(SUBSTITUTE($V73,";",REPT(" ",99)),100,99)))+1,99)),0) + IFERROR(VLOOKUP(LEFT(TRIM(MID(SUBSTITUTE($V73,";",REPT(" ",99)),199,99)),FIND(":",TRIM(MID(SUBSTITUTE($V73,";",REPT(" ",99)),199,99)))-1),Materiales!$A$2:$E$502,5,FALSE)*VALUE(MID(TRIM(MID(SUBSTITUTE($V73,";",REPT(" ",99)),199,99)),FIND(":",TRIM(MID(SUBSTITUTE($V73,";",REPT(" ",99)),199,99)))+1,99)),0) + IFERROR(VLOOKUP(LEFT(TRIM(MID(SUBSTITUTE($V73,";",REPT(" ",99)),298,99)),FIND(":",TRIM(MID(SUBSTITUTE($V73,";",REPT(" ",99)),298,99)))-1),Materiales!$A$2:$E$502,5,FALSE)*VALUE(MID(TRIM(MID(SUBSTITUTE($V73,";",REPT(" ",99)),298,99)),FIND(":",TRIM(MID(SUBSTITUTE($V73,";",REPT(" ",99)),298,99)))+1,99)),0) + IFERROR(VLOOKUP(LEFT(TRIM(MID(SUBSTITUTE($V73,";",REPT(" ",99)),397,99)),FIND(":",TRIM(MID(SUBSTITUTE($V73,";",REPT(" ",99)),397,99)))-1),Materiales!$A$2:$E$502,5,FALSE)*VALUE(MID(TRIM(MID(SUBSTITUTE($V73,";",REPT(" ",99)),397,99)),FIND(":",TRIM(MID(SUBSTITUTE($V73,";",REPT(" ",99)),397,99)))+1,99)),0) + IFERROR(VLOOKUP(LEFT(TRIM(MID(SUBSTITUTE($V73,";",REPT(" ",99)),496,99)),FIND(":",TRIM(MID(SUBSTITUTE($V73,";",REPT(" ",99)),496,99)))-1),Materiales!$A$2:$E$502,5,FALSE)*VALUE(MID(TRIM(MID(SUBSTITUTE($V73,";",REPT(" ",99)),496,99)),FIND(":",TRIM(MID(SUBSTITUTE($V73,";",REPT(" ",99)),496,99)))+1,99)),0) + IFERROR(VLOOKUP(LEFT(TRIM(MID(SUBSTITUTE($V73,";",REPT(" ",99)),595,99)),FIND(":",TRIM(MID(SUBSTITUTE($V73,";",REPT(" ",99)),595,99)))-1),Materiales!$A$2:$E$502,5,FALSE)*VALUE(MID(TRIM(MID(SUBSTITUTE($V73,";",REPT(" ",99)),595,99)),FIND(":",TRIM(MID(SUBSTITUTE($V73,";",REPT(" ",99)),595,99)))+1,99)),0) + IFERROR(VLOOKUP(LEFT(TRIM(MID(SUBSTITUTE($V73,";",REPT(" ",99)),694,99)),FIND(":",TRIM(MID(SUBSTITUTE($V73,";",REPT(" ",99)),694,99)))-1),Materiales!$A$2:$E$502,5,FALSE)*VALUE(MID(TRIM(MID(SUBSTITUTE($V73,";",REPT(" ",99)),694,99)),FIND(":",TRIM(MID(SUBSTITUTE($V73,";",REPT(" ",99)),694,99)))+1,99)),0) + IFERROR(VLOOKUP(LEFT(TRIM(MID(SUBSTITUTE($V73,";",REPT(" ",99)),793,99)),FIND(":",TRIM(MID(SUBSTITUTE($V73,";",REPT(" ",99)),793,99)))-1),Materiales!$A$2:$E$502,5,FALSE)*VALUE(MID(TRIM(MID(SUBSTITUTE($V73,";",REPT(" ",99)),793,99)),FIND(":",TRIM(MID(SUBSTITUTE($V73,";",REPT(" ",99)),793,99)))+1,99)),0) + IFERROR(VLOOKUP(LEFT(TRIM(MID(SUBSTITUTE($V73,";",REPT(" ",99)),892,99)),FIND(":",TRIM(MID(SUBSTITUTE($V73,";",REPT(" ",99)),892,99)))-1),Materiales!$A$2:$E$502,5,FALSE)*VALUE(MID(TRIM(MID(SUBSTITUTE($V73,";",REPT(" ",99)),892,99)),FIND(":",TRIM(MID(SUBSTITUTE($V73,";",REPT(" ",99)),892,99)))+1,99)),0)))</f>
        <v/>
      </c>
      <c r="X73" s="39" t="str">
        <f t="shared" si="13"/>
        <v/>
      </c>
      <c r="Y73" s="64"/>
      <c r="Z73" s="41"/>
      <c r="AA73" s="65"/>
      <c r="AB73" s="14"/>
      <c r="AC73" s="66"/>
      <c r="AD73" s="65"/>
      <c r="AE73" s="44">
        <f t="shared" si="17"/>
        <v>0</v>
      </c>
      <c r="AF73" s="45" t="str">
        <f t="shared" si="18"/>
        <v>#DIV/0!</v>
      </c>
    </row>
    <row r="74" ht="15.75" customHeight="1">
      <c r="A74" s="3"/>
      <c r="B74" s="3"/>
      <c r="C74" s="38"/>
      <c r="D74" s="38"/>
      <c r="E74" s="38"/>
      <c r="F74" s="14"/>
      <c r="G74" s="5" t="str">
        <f t="array" ref="G74">IF($A74="","",IFERROR($F74*(N($C74)*XLOOKUP($B74,Ceras!$A$2:$A$500,Ceras!$G$2:$G$500,0)+IF($D74="",0,N($E74)*XLOOKUP($D74,Ceras!$A$2:$A$500,Ceras!$G$2:$G$500,0))),"Revisar cera"))</f>
        <v/>
      </c>
      <c r="H74" s="5"/>
      <c r="I74" s="3"/>
      <c r="J74" s="14"/>
      <c r="K74" s="5" t="str">
        <f t="array" ref="K74">IF($A74="","",IFERROR($J74*XLOOKUP($I74,Pabilos!$A$2:$A$500,Pabilos!$H$2:$H$500,0),"Revisar pabilo"))</f>
        <v/>
      </c>
      <c r="L74" s="3"/>
      <c r="M74" s="14"/>
      <c r="N74" s="5" t="str">
        <f t="array" ref="N74">IF($A74="","",IFERROR($M74*XLOOKUP($L74,Esencias!$A$2:$A$501,Esencias!$G$2:$G$501,0),"Revisar esencia"))</f>
        <v/>
      </c>
      <c r="O74" s="3"/>
      <c r="P74" s="14"/>
      <c r="Q74" s="5" t="str">
        <f t="array" ref="Q74">IF($A74="","",IFERROR(IF($P74="",1,$P74)*XLOOKUP($O74,Colores!$A$2:$A$500,Colores!$H$2:$H$500,0),"Revisar color"))</f>
        <v/>
      </c>
      <c r="R74" s="3"/>
      <c r="S74" s="5" t="str">
        <f t="array" ref="S74">IF($A74="","",IF($R74="",0,IFERROR(VLOOKUP(LEFT(TRIM(MID(SUBSTITUTE($R74,";",REPT(" ",99)),1,99)),FIND(":",TRIM(MID(SUBSTITUTE($R74,";",REPT(" ",99)),1,99)))-1),Materiales!$A$2:$E$502,5,FALSE)*VALUE(MID(TRIM(MID(SUBSTITUTE($R74,";",REPT(" ",99)),1,99)),FIND(":",TRIM(MID(SUBSTITUTE($R74,";",REPT(" ",99)),1,99)))+1,99)),0) + IFERROR(VLOOKUP(LEFT(TRIM(MID(SUBSTITUTE($R74,";",REPT(" ",99)),100,99)),FIND(":",TRIM(MID(SUBSTITUTE($R74,";",REPT(" ",99)),100,99)))-1),Materiales!$A$2:$E$502,5,FALSE)*VALUE(MID(TRIM(MID(SUBSTITUTE($R74,";",REPT(" ",99)),100,99)),FIND(":",TRIM(MID(SUBSTITUTE($R74,";",REPT(" ",99)),100,99)))+1,99)),0) + IFERROR(VLOOKUP(LEFT(TRIM(MID(SUBSTITUTE($R74,";",REPT(" ",99)),199,99)),FIND(":",TRIM(MID(SUBSTITUTE($R74,";",REPT(" ",99)),199,99)))-1),Materiales!$A$2:$E$502,5,FALSE)*VALUE(MID(TRIM(MID(SUBSTITUTE($R74,";",REPT(" ",99)),199,99)),FIND(":",TRIM(MID(SUBSTITUTE($R74,";",REPT(" ",99)),199,99)))+1,99)),0) + IFERROR(VLOOKUP(LEFT(TRIM(MID(SUBSTITUTE($R74,";",REPT(" ",99)),298,99)),FIND(":",TRIM(MID(SUBSTITUTE($R74,";",REPT(" ",99)),298,99)))-1),Materiales!$A$2:$E$502,5,FALSE)*VALUE(MID(TRIM(MID(SUBSTITUTE($R74,";",REPT(" ",99)),298,99)),FIND(":",TRIM(MID(SUBSTITUTE($R74,";",REPT(" ",99)),298,99)))+1,99)),0) + IFERROR(VLOOKUP(LEFT(TRIM(MID(SUBSTITUTE($R74,";",REPT(" ",99)),397,99)),FIND(":",TRIM(MID(SUBSTITUTE($R74,";",REPT(" ",99)),397,99)))-1),Materiales!$A$2:$E$502,5,FALSE)*VALUE(MID(TRIM(MID(SUBSTITUTE($R74,";",REPT(" ",99)),397,99)),FIND(":",TRIM(MID(SUBSTITUTE($R74,";",REPT(" ",99)),397,99)))+1,99)),0) + IFERROR(VLOOKUP(LEFT(TRIM(MID(SUBSTITUTE($R74,";",REPT(" ",99)),496,99)),FIND(":",TRIM(MID(SUBSTITUTE($R74,";",REPT(" ",99)),496,99)))-1),Materiales!$A$2:$E$502,5,FALSE)*VALUE(MID(TRIM(MID(SUBSTITUTE($R74,";",REPT(" ",99)),496,99)),FIND(":",TRIM(MID(SUBSTITUTE($R74,";",REPT(" ",99)),496,99)))+1,99)),0) + IFERROR(VLOOKUP(LEFT(TRIM(MID(SUBSTITUTE($R74,";",REPT(" ",99)),595,99)),FIND(":",TRIM(MID(SUBSTITUTE($R74,";",REPT(" ",99)),595,99)))-1),Materiales!$A$2:$E$502,5,FALSE)*VALUE(MID(TRIM(MID(SUBSTITUTE($R74,";",REPT(" ",99)),595,99)),FIND(":",TRIM(MID(SUBSTITUTE($R74,";",REPT(" ",99)),595,99)))+1,99)),0) + IFERROR(VLOOKUP(LEFT(TRIM(MID(SUBSTITUTE($R74,";",REPT(" ",99)),694,99)),FIND(":",TRIM(MID(SUBSTITUTE($R74,";",REPT(" ",99)),694,99)))-1),Materiales!$A$2:$E$502,5,FALSE)*VALUE(MID(TRIM(MID(SUBSTITUTE($R74,";",REPT(" ",99)),694,99)),FIND(":",TRIM(MID(SUBSTITUTE($R74,";",REPT(" ",99)),694,99)))+1,99)),0) + IFERROR(VLOOKUP(LEFT(TRIM(MID(SUBSTITUTE($R74,";",REPT(" ",99)),793,99)),FIND(":",TRIM(MID(SUBSTITUTE($R74,";",REPT(" ",99)),793,99)))-1),Materiales!$A$2:$E$502,5,FALSE)*VALUE(MID(TRIM(MID(SUBSTITUTE($R74,";",REPT(" ",99)),793,99)),FIND(":",TRIM(MID(SUBSTITUTE($R74,";",REPT(" ",99)),793,99)))+1,99)),0) + IFERROR(VLOOKUP(LEFT(TRIM(MID(SUBSTITUTE($R74,";",REPT(" ",99)),892,99)),FIND(":",TRIM(MID(SUBSTITUTE($R74,";",REPT(" ",99)),892,99)))-1),Materiales!$A$2:$E$502,5,FALSE)*VALUE(MID(TRIM(MID(SUBSTITUTE($R74,";",REPT(" ",99)),892,99)),FIND(":",TRIM(MID(SUBSTITUTE($R74,";",REPT(" ",99)),892,99)))+1,99)),0)))</f>
        <v/>
      </c>
      <c r="T74" s="3"/>
      <c r="U74" s="5" t="str">
        <f t="array" ref="U74">IF($A74="","",IF($T74="",0,IFERROR(VLOOKUP(LEFT(TRIM(MID(SUBSTITUTE($T74,";",REPT(" ",99)),1,99)),FIND(":",TRIM(MID(SUBSTITUTE($T74,";",REPT(" ",99)),1,99)))-1),Materiales!$A$2:$E$502,5,FALSE)*VALUE(MID(TRIM(MID(SUBSTITUTE($T74,";",REPT(" ",99)),1,99)),FIND(":",TRIM(MID(SUBSTITUTE($T74,";",REPT(" ",99)),1,99)))+1,99)),0) + IFERROR(VLOOKUP(LEFT(TRIM(MID(SUBSTITUTE($T74,";",REPT(" ",99)),100,99)),FIND(":",TRIM(MID(SUBSTITUTE($T74,";",REPT(" ",99)),100,99)))-1),Materiales!$A$2:$E$502,5,FALSE)*VALUE(MID(TRIM(MID(SUBSTITUTE($T74,";",REPT(" ",99)),100,99)),FIND(":",TRIM(MID(SUBSTITUTE($T74,";",REPT(" ",99)),100,99)))+1,99)),0) + IFERROR(VLOOKUP(LEFT(TRIM(MID(SUBSTITUTE($T74,";",REPT(" ",99)),199,99)),FIND(":",TRIM(MID(SUBSTITUTE($T74,";",REPT(" ",99)),199,99)))-1),Materiales!$A$2:$E$502,5,FALSE)*VALUE(MID(TRIM(MID(SUBSTITUTE($T74,";",REPT(" ",99)),199,99)),FIND(":",TRIM(MID(SUBSTITUTE($T74,";",REPT(" ",99)),199,99)))+1,99)),0) + IFERROR(VLOOKUP(LEFT(TRIM(MID(SUBSTITUTE($T74,";",REPT(" ",99)),298,99)),FIND(":",TRIM(MID(SUBSTITUTE($T74,";",REPT(" ",99)),298,99)))-1),Materiales!$A$2:$E$502,5,FALSE)*VALUE(MID(TRIM(MID(SUBSTITUTE($T74,";",REPT(" ",99)),298,99)),FIND(":",TRIM(MID(SUBSTITUTE($T74,";",REPT(" ",99)),298,99)))+1,99)),0) + IFERROR(VLOOKUP(LEFT(TRIM(MID(SUBSTITUTE($T74,";",REPT(" ",99)),397,99)),FIND(":",TRIM(MID(SUBSTITUTE($T74,";",REPT(" ",99)),397,99)))-1),Materiales!$A$2:$E$502,5,FALSE)*VALUE(MID(TRIM(MID(SUBSTITUTE($T74,";",REPT(" ",99)),397,99)),FIND(":",TRIM(MID(SUBSTITUTE($T74,";",REPT(" ",99)),397,99)))+1,99)),0) + IFERROR(VLOOKUP(LEFT(TRIM(MID(SUBSTITUTE($T74,";",REPT(" ",99)),496,99)),FIND(":",TRIM(MID(SUBSTITUTE($T74,";",REPT(" ",99)),496,99)))-1),Materiales!$A$2:$E$502,5,FALSE)*VALUE(MID(TRIM(MID(SUBSTITUTE($T74,";",REPT(" ",99)),496,99)),FIND(":",TRIM(MID(SUBSTITUTE($T74,";",REPT(" ",99)),496,99)))+1,99)),0) + IFERROR(VLOOKUP(LEFT(TRIM(MID(SUBSTITUTE($T74,";",REPT(" ",99)),595,99)),FIND(":",TRIM(MID(SUBSTITUTE($T74,";",REPT(" ",99)),595,99)))-1),Materiales!$A$2:$E$502,5,FALSE)*VALUE(MID(TRIM(MID(SUBSTITUTE($T74,";",REPT(" ",99)),595,99)),FIND(":",TRIM(MID(SUBSTITUTE($T74,";",REPT(" ",99)),595,99)))+1,99)),0) + IFERROR(VLOOKUP(LEFT(TRIM(MID(SUBSTITUTE($T74,";",REPT(" ",99)),694,99)),FIND(":",TRIM(MID(SUBSTITUTE($T74,";",REPT(" ",99)),694,99)))-1),Materiales!$A$2:$E$502,5,FALSE)*VALUE(MID(TRIM(MID(SUBSTITUTE($T74,";",REPT(" ",99)),694,99)),FIND(":",TRIM(MID(SUBSTITUTE($T74,";",REPT(" ",99)),694,99)))+1,99)),0) + IFERROR(VLOOKUP(LEFT(TRIM(MID(SUBSTITUTE($T74,";",REPT(" ",99)),793,99)),FIND(":",TRIM(MID(SUBSTITUTE($T74,";",REPT(" ",99)),793,99)))-1),Materiales!$A$2:$E$502,5,FALSE)*VALUE(MID(TRIM(MID(SUBSTITUTE($T74,";",REPT(" ",99)),793,99)),FIND(":",TRIM(MID(SUBSTITUTE($T74,";",REPT(" ",99)),793,99)))+1,99)),0) + IFERROR(VLOOKUP(LEFT(TRIM(MID(SUBSTITUTE($T74,";",REPT(" ",99)),892,99)),FIND(":",TRIM(MID(SUBSTITUTE($T74,";",REPT(" ",99)),892,99)))-1),Materiales!$A$2:$E$502,5,FALSE)*VALUE(MID(TRIM(MID(SUBSTITUTE($T74,";",REPT(" ",99)),892,99)),FIND(":",TRIM(MID(SUBSTITUTE($T74,";",REPT(" ",99)),892,99)))+1,99)),0)))</f>
        <v/>
      </c>
      <c r="V74" s="3"/>
      <c r="W74" s="5" t="str">
        <f t="array" ref="W74">IF($A74="","",IF($V74="",0,IFERROR(VLOOKUP(LEFT(TRIM(MID(SUBSTITUTE($V74,";",REPT(" ",99)),1,99)),FIND(":",TRIM(MID(SUBSTITUTE($V74,";",REPT(" ",99)),1,99)))-1),Materiales!$A$2:$E$502,5,FALSE)*VALUE(MID(TRIM(MID(SUBSTITUTE($V74,";",REPT(" ",99)),1,99)),FIND(":",TRIM(MID(SUBSTITUTE($V74,";",REPT(" ",99)),1,99)))+1,99)),0) + IFERROR(VLOOKUP(LEFT(TRIM(MID(SUBSTITUTE($V74,";",REPT(" ",99)),100,99)),FIND(":",TRIM(MID(SUBSTITUTE($V74,";",REPT(" ",99)),100,99)))-1),Materiales!$A$2:$E$502,5,FALSE)*VALUE(MID(TRIM(MID(SUBSTITUTE($V74,";",REPT(" ",99)),100,99)),FIND(":",TRIM(MID(SUBSTITUTE($V74,";",REPT(" ",99)),100,99)))+1,99)),0) + IFERROR(VLOOKUP(LEFT(TRIM(MID(SUBSTITUTE($V74,";",REPT(" ",99)),199,99)),FIND(":",TRIM(MID(SUBSTITUTE($V74,";",REPT(" ",99)),199,99)))-1),Materiales!$A$2:$E$502,5,FALSE)*VALUE(MID(TRIM(MID(SUBSTITUTE($V74,";",REPT(" ",99)),199,99)),FIND(":",TRIM(MID(SUBSTITUTE($V74,";",REPT(" ",99)),199,99)))+1,99)),0) + IFERROR(VLOOKUP(LEFT(TRIM(MID(SUBSTITUTE($V74,";",REPT(" ",99)),298,99)),FIND(":",TRIM(MID(SUBSTITUTE($V74,";",REPT(" ",99)),298,99)))-1),Materiales!$A$2:$E$502,5,FALSE)*VALUE(MID(TRIM(MID(SUBSTITUTE($V74,";",REPT(" ",99)),298,99)),FIND(":",TRIM(MID(SUBSTITUTE($V74,";",REPT(" ",99)),298,99)))+1,99)),0) + IFERROR(VLOOKUP(LEFT(TRIM(MID(SUBSTITUTE($V74,";",REPT(" ",99)),397,99)),FIND(":",TRIM(MID(SUBSTITUTE($V74,";",REPT(" ",99)),397,99)))-1),Materiales!$A$2:$E$502,5,FALSE)*VALUE(MID(TRIM(MID(SUBSTITUTE($V74,";",REPT(" ",99)),397,99)),FIND(":",TRIM(MID(SUBSTITUTE($V74,";",REPT(" ",99)),397,99)))+1,99)),0) + IFERROR(VLOOKUP(LEFT(TRIM(MID(SUBSTITUTE($V74,";",REPT(" ",99)),496,99)),FIND(":",TRIM(MID(SUBSTITUTE($V74,";",REPT(" ",99)),496,99)))-1),Materiales!$A$2:$E$502,5,FALSE)*VALUE(MID(TRIM(MID(SUBSTITUTE($V74,";",REPT(" ",99)),496,99)),FIND(":",TRIM(MID(SUBSTITUTE($V74,";",REPT(" ",99)),496,99)))+1,99)),0) + IFERROR(VLOOKUP(LEFT(TRIM(MID(SUBSTITUTE($V74,";",REPT(" ",99)),595,99)),FIND(":",TRIM(MID(SUBSTITUTE($V74,";",REPT(" ",99)),595,99)))-1),Materiales!$A$2:$E$502,5,FALSE)*VALUE(MID(TRIM(MID(SUBSTITUTE($V74,";",REPT(" ",99)),595,99)),FIND(":",TRIM(MID(SUBSTITUTE($V74,";",REPT(" ",99)),595,99)))+1,99)),0) + IFERROR(VLOOKUP(LEFT(TRIM(MID(SUBSTITUTE($V74,";",REPT(" ",99)),694,99)),FIND(":",TRIM(MID(SUBSTITUTE($V74,";",REPT(" ",99)),694,99)))-1),Materiales!$A$2:$E$502,5,FALSE)*VALUE(MID(TRIM(MID(SUBSTITUTE($V74,";",REPT(" ",99)),694,99)),FIND(":",TRIM(MID(SUBSTITUTE($V74,";",REPT(" ",99)),694,99)))+1,99)),0) + IFERROR(VLOOKUP(LEFT(TRIM(MID(SUBSTITUTE($V74,";",REPT(" ",99)),793,99)),FIND(":",TRIM(MID(SUBSTITUTE($V74,";",REPT(" ",99)),793,99)))-1),Materiales!$A$2:$E$502,5,FALSE)*VALUE(MID(TRIM(MID(SUBSTITUTE($V74,";",REPT(" ",99)),793,99)),FIND(":",TRIM(MID(SUBSTITUTE($V74,";",REPT(" ",99)),793,99)))+1,99)),0) + IFERROR(VLOOKUP(LEFT(TRIM(MID(SUBSTITUTE($V74,";",REPT(" ",99)),892,99)),FIND(":",TRIM(MID(SUBSTITUTE($V74,";",REPT(" ",99)),892,99)))-1),Materiales!$A$2:$E$502,5,FALSE)*VALUE(MID(TRIM(MID(SUBSTITUTE($V74,";",REPT(" ",99)),892,99)),FIND(":",TRIM(MID(SUBSTITUTE($V74,";",REPT(" ",99)),892,99)))+1,99)),0)))</f>
        <v/>
      </c>
      <c r="X74" s="39" t="str">
        <f t="shared" si="13"/>
        <v/>
      </c>
      <c r="Y74" s="64"/>
      <c r="Z74" s="41"/>
      <c r="AA74" s="65"/>
      <c r="AB74" s="14"/>
      <c r="AC74" s="66"/>
      <c r="AD74" s="65"/>
      <c r="AE74" s="44">
        <f t="shared" si="17"/>
        <v>0</v>
      </c>
      <c r="AF74" s="45" t="str">
        <f t="shared" si="18"/>
        <v>#DIV/0!</v>
      </c>
    </row>
    <row r="75" ht="15.75" customHeight="1">
      <c r="A75" s="3"/>
      <c r="B75" s="3"/>
      <c r="C75" s="38"/>
      <c r="D75" s="38"/>
      <c r="E75" s="38"/>
      <c r="F75" s="14"/>
      <c r="G75" s="5" t="str">
        <f t="array" ref="G75">IF($A75="","",IFERROR($F75*(N($C75)*XLOOKUP($B75,Ceras!$A$2:$A$500,Ceras!$G$2:$G$500,0)+IF($D75="",0,N($E75)*XLOOKUP($D75,Ceras!$A$2:$A$500,Ceras!$G$2:$G$500,0))),"Revisar cera"))</f>
        <v/>
      </c>
      <c r="H75" s="5"/>
      <c r="I75" s="3"/>
      <c r="J75" s="14"/>
      <c r="K75" s="5" t="str">
        <f t="array" ref="K75">IF($A75="","",IFERROR($J75*XLOOKUP($I75,Pabilos!$A$2:$A$500,Pabilos!$H$2:$H$500,0),"Revisar pabilo"))</f>
        <v/>
      </c>
      <c r="L75" s="3"/>
      <c r="M75" s="14"/>
      <c r="N75" s="5" t="str">
        <f t="array" ref="N75">IF($A75="","",IFERROR($M75*XLOOKUP($L75,Esencias!$A$2:$A$501,Esencias!$G$2:$G$501,0),"Revisar esencia"))</f>
        <v/>
      </c>
      <c r="O75" s="3"/>
      <c r="P75" s="14"/>
      <c r="Q75" s="5" t="str">
        <f t="array" ref="Q75">IF($A75="","",IFERROR(IF($P75="",1,$P75)*XLOOKUP($O75,Colores!$A$2:$A$500,Colores!$H$2:$H$500,0),"Revisar color"))</f>
        <v/>
      </c>
      <c r="R75" s="3"/>
      <c r="S75" s="5" t="str">
        <f t="array" ref="S75">IF($A75="","",IF($R75="",0,IFERROR(VLOOKUP(LEFT(TRIM(MID(SUBSTITUTE($R75,";",REPT(" ",99)),1,99)),FIND(":",TRIM(MID(SUBSTITUTE($R75,";",REPT(" ",99)),1,99)))-1),Materiales!$A$2:$E$502,5,FALSE)*VALUE(MID(TRIM(MID(SUBSTITUTE($R75,";",REPT(" ",99)),1,99)),FIND(":",TRIM(MID(SUBSTITUTE($R75,";",REPT(" ",99)),1,99)))+1,99)),0) + IFERROR(VLOOKUP(LEFT(TRIM(MID(SUBSTITUTE($R75,";",REPT(" ",99)),100,99)),FIND(":",TRIM(MID(SUBSTITUTE($R75,";",REPT(" ",99)),100,99)))-1),Materiales!$A$2:$E$502,5,FALSE)*VALUE(MID(TRIM(MID(SUBSTITUTE($R75,";",REPT(" ",99)),100,99)),FIND(":",TRIM(MID(SUBSTITUTE($R75,";",REPT(" ",99)),100,99)))+1,99)),0) + IFERROR(VLOOKUP(LEFT(TRIM(MID(SUBSTITUTE($R75,";",REPT(" ",99)),199,99)),FIND(":",TRIM(MID(SUBSTITUTE($R75,";",REPT(" ",99)),199,99)))-1),Materiales!$A$2:$E$502,5,FALSE)*VALUE(MID(TRIM(MID(SUBSTITUTE($R75,";",REPT(" ",99)),199,99)),FIND(":",TRIM(MID(SUBSTITUTE($R75,";",REPT(" ",99)),199,99)))+1,99)),0) + IFERROR(VLOOKUP(LEFT(TRIM(MID(SUBSTITUTE($R75,";",REPT(" ",99)),298,99)),FIND(":",TRIM(MID(SUBSTITUTE($R75,";",REPT(" ",99)),298,99)))-1),Materiales!$A$2:$E$502,5,FALSE)*VALUE(MID(TRIM(MID(SUBSTITUTE($R75,";",REPT(" ",99)),298,99)),FIND(":",TRIM(MID(SUBSTITUTE($R75,";",REPT(" ",99)),298,99)))+1,99)),0) + IFERROR(VLOOKUP(LEFT(TRIM(MID(SUBSTITUTE($R75,";",REPT(" ",99)),397,99)),FIND(":",TRIM(MID(SUBSTITUTE($R75,";",REPT(" ",99)),397,99)))-1),Materiales!$A$2:$E$502,5,FALSE)*VALUE(MID(TRIM(MID(SUBSTITUTE($R75,";",REPT(" ",99)),397,99)),FIND(":",TRIM(MID(SUBSTITUTE($R75,";",REPT(" ",99)),397,99)))+1,99)),0) + IFERROR(VLOOKUP(LEFT(TRIM(MID(SUBSTITUTE($R75,";",REPT(" ",99)),496,99)),FIND(":",TRIM(MID(SUBSTITUTE($R75,";",REPT(" ",99)),496,99)))-1),Materiales!$A$2:$E$502,5,FALSE)*VALUE(MID(TRIM(MID(SUBSTITUTE($R75,";",REPT(" ",99)),496,99)),FIND(":",TRIM(MID(SUBSTITUTE($R75,";",REPT(" ",99)),496,99)))+1,99)),0) + IFERROR(VLOOKUP(LEFT(TRIM(MID(SUBSTITUTE($R75,";",REPT(" ",99)),595,99)),FIND(":",TRIM(MID(SUBSTITUTE($R75,";",REPT(" ",99)),595,99)))-1),Materiales!$A$2:$E$502,5,FALSE)*VALUE(MID(TRIM(MID(SUBSTITUTE($R75,";",REPT(" ",99)),595,99)),FIND(":",TRIM(MID(SUBSTITUTE($R75,";",REPT(" ",99)),595,99)))+1,99)),0) + IFERROR(VLOOKUP(LEFT(TRIM(MID(SUBSTITUTE($R75,";",REPT(" ",99)),694,99)),FIND(":",TRIM(MID(SUBSTITUTE($R75,";",REPT(" ",99)),694,99)))-1),Materiales!$A$2:$E$502,5,FALSE)*VALUE(MID(TRIM(MID(SUBSTITUTE($R75,";",REPT(" ",99)),694,99)),FIND(":",TRIM(MID(SUBSTITUTE($R75,";",REPT(" ",99)),694,99)))+1,99)),0) + IFERROR(VLOOKUP(LEFT(TRIM(MID(SUBSTITUTE($R75,";",REPT(" ",99)),793,99)),FIND(":",TRIM(MID(SUBSTITUTE($R75,";",REPT(" ",99)),793,99)))-1),Materiales!$A$2:$E$502,5,FALSE)*VALUE(MID(TRIM(MID(SUBSTITUTE($R75,";",REPT(" ",99)),793,99)),FIND(":",TRIM(MID(SUBSTITUTE($R75,";",REPT(" ",99)),793,99)))+1,99)),0) + IFERROR(VLOOKUP(LEFT(TRIM(MID(SUBSTITUTE($R75,";",REPT(" ",99)),892,99)),FIND(":",TRIM(MID(SUBSTITUTE($R75,";",REPT(" ",99)),892,99)))-1),Materiales!$A$2:$E$502,5,FALSE)*VALUE(MID(TRIM(MID(SUBSTITUTE($R75,";",REPT(" ",99)),892,99)),FIND(":",TRIM(MID(SUBSTITUTE($R75,";",REPT(" ",99)),892,99)))+1,99)),0)))</f>
        <v/>
      </c>
      <c r="T75" s="3"/>
      <c r="U75" s="5" t="str">
        <f t="array" ref="U75">IF($A75="","",IF($T75="",0,IFERROR(VLOOKUP(LEFT(TRIM(MID(SUBSTITUTE($T75,";",REPT(" ",99)),1,99)),FIND(":",TRIM(MID(SUBSTITUTE($T75,";",REPT(" ",99)),1,99)))-1),Materiales!$A$2:$E$502,5,FALSE)*VALUE(MID(TRIM(MID(SUBSTITUTE($T75,";",REPT(" ",99)),1,99)),FIND(":",TRIM(MID(SUBSTITUTE($T75,";",REPT(" ",99)),1,99)))+1,99)),0) + IFERROR(VLOOKUP(LEFT(TRIM(MID(SUBSTITUTE($T75,";",REPT(" ",99)),100,99)),FIND(":",TRIM(MID(SUBSTITUTE($T75,";",REPT(" ",99)),100,99)))-1),Materiales!$A$2:$E$502,5,FALSE)*VALUE(MID(TRIM(MID(SUBSTITUTE($T75,";",REPT(" ",99)),100,99)),FIND(":",TRIM(MID(SUBSTITUTE($T75,";",REPT(" ",99)),100,99)))+1,99)),0) + IFERROR(VLOOKUP(LEFT(TRIM(MID(SUBSTITUTE($T75,";",REPT(" ",99)),199,99)),FIND(":",TRIM(MID(SUBSTITUTE($T75,";",REPT(" ",99)),199,99)))-1),Materiales!$A$2:$E$502,5,FALSE)*VALUE(MID(TRIM(MID(SUBSTITUTE($T75,";",REPT(" ",99)),199,99)),FIND(":",TRIM(MID(SUBSTITUTE($T75,";",REPT(" ",99)),199,99)))+1,99)),0) + IFERROR(VLOOKUP(LEFT(TRIM(MID(SUBSTITUTE($T75,";",REPT(" ",99)),298,99)),FIND(":",TRIM(MID(SUBSTITUTE($T75,";",REPT(" ",99)),298,99)))-1),Materiales!$A$2:$E$502,5,FALSE)*VALUE(MID(TRIM(MID(SUBSTITUTE($T75,";",REPT(" ",99)),298,99)),FIND(":",TRIM(MID(SUBSTITUTE($T75,";",REPT(" ",99)),298,99)))+1,99)),0) + IFERROR(VLOOKUP(LEFT(TRIM(MID(SUBSTITUTE($T75,";",REPT(" ",99)),397,99)),FIND(":",TRIM(MID(SUBSTITUTE($T75,";",REPT(" ",99)),397,99)))-1),Materiales!$A$2:$E$502,5,FALSE)*VALUE(MID(TRIM(MID(SUBSTITUTE($T75,";",REPT(" ",99)),397,99)),FIND(":",TRIM(MID(SUBSTITUTE($T75,";",REPT(" ",99)),397,99)))+1,99)),0) + IFERROR(VLOOKUP(LEFT(TRIM(MID(SUBSTITUTE($T75,";",REPT(" ",99)),496,99)),FIND(":",TRIM(MID(SUBSTITUTE($T75,";",REPT(" ",99)),496,99)))-1),Materiales!$A$2:$E$502,5,FALSE)*VALUE(MID(TRIM(MID(SUBSTITUTE($T75,";",REPT(" ",99)),496,99)),FIND(":",TRIM(MID(SUBSTITUTE($T75,";",REPT(" ",99)),496,99)))+1,99)),0) + IFERROR(VLOOKUP(LEFT(TRIM(MID(SUBSTITUTE($T75,";",REPT(" ",99)),595,99)),FIND(":",TRIM(MID(SUBSTITUTE($T75,";",REPT(" ",99)),595,99)))-1),Materiales!$A$2:$E$502,5,FALSE)*VALUE(MID(TRIM(MID(SUBSTITUTE($T75,";",REPT(" ",99)),595,99)),FIND(":",TRIM(MID(SUBSTITUTE($T75,";",REPT(" ",99)),595,99)))+1,99)),0) + IFERROR(VLOOKUP(LEFT(TRIM(MID(SUBSTITUTE($T75,";",REPT(" ",99)),694,99)),FIND(":",TRIM(MID(SUBSTITUTE($T75,";",REPT(" ",99)),694,99)))-1),Materiales!$A$2:$E$502,5,FALSE)*VALUE(MID(TRIM(MID(SUBSTITUTE($T75,";",REPT(" ",99)),694,99)),FIND(":",TRIM(MID(SUBSTITUTE($T75,";",REPT(" ",99)),694,99)))+1,99)),0) + IFERROR(VLOOKUP(LEFT(TRIM(MID(SUBSTITUTE($T75,";",REPT(" ",99)),793,99)),FIND(":",TRIM(MID(SUBSTITUTE($T75,";",REPT(" ",99)),793,99)))-1),Materiales!$A$2:$E$502,5,FALSE)*VALUE(MID(TRIM(MID(SUBSTITUTE($T75,";",REPT(" ",99)),793,99)),FIND(":",TRIM(MID(SUBSTITUTE($T75,";",REPT(" ",99)),793,99)))+1,99)),0) + IFERROR(VLOOKUP(LEFT(TRIM(MID(SUBSTITUTE($T75,";",REPT(" ",99)),892,99)),FIND(":",TRIM(MID(SUBSTITUTE($T75,";",REPT(" ",99)),892,99)))-1),Materiales!$A$2:$E$502,5,FALSE)*VALUE(MID(TRIM(MID(SUBSTITUTE($T75,";",REPT(" ",99)),892,99)),FIND(":",TRIM(MID(SUBSTITUTE($T75,";",REPT(" ",99)),892,99)))+1,99)),0)))</f>
        <v/>
      </c>
      <c r="V75" s="3"/>
      <c r="W75" s="5" t="str">
        <f t="array" ref="W75">IF($A75="","",IF($V75="",0,IFERROR(VLOOKUP(LEFT(TRIM(MID(SUBSTITUTE($V75,";",REPT(" ",99)),1,99)),FIND(":",TRIM(MID(SUBSTITUTE($V75,";",REPT(" ",99)),1,99)))-1),Materiales!$A$2:$E$502,5,FALSE)*VALUE(MID(TRIM(MID(SUBSTITUTE($V75,";",REPT(" ",99)),1,99)),FIND(":",TRIM(MID(SUBSTITUTE($V75,";",REPT(" ",99)),1,99)))+1,99)),0) + IFERROR(VLOOKUP(LEFT(TRIM(MID(SUBSTITUTE($V75,";",REPT(" ",99)),100,99)),FIND(":",TRIM(MID(SUBSTITUTE($V75,";",REPT(" ",99)),100,99)))-1),Materiales!$A$2:$E$502,5,FALSE)*VALUE(MID(TRIM(MID(SUBSTITUTE($V75,";",REPT(" ",99)),100,99)),FIND(":",TRIM(MID(SUBSTITUTE($V75,";",REPT(" ",99)),100,99)))+1,99)),0) + IFERROR(VLOOKUP(LEFT(TRIM(MID(SUBSTITUTE($V75,";",REPT(" ",99)),199,99)),FIND(":",TRIM(MID(SUBSTITUTE($V75,";",REPT(" ",99)),199,99)))-1),Materiales!$A$2:$E$502,5,FALSE)*VALUE(MID(TRIM(MID(SUBSTITUTE($V75,";",REPT(" ",99)),199,99)),FIND(":",TRIM(MID(SUBSTITUTE($V75,";",REPT(" ",99)),199,99)))+1,99)),0) + IFERROR(VLOOKUP(LEFT(TRIM(MID(SUBSTITUTE($V75,";",REPT(" ",99)),298,99)),FIND(":",TRIM(MID(SUBSTITUTE($V75,";",REPT(" ",99)),298,99)))-1),Materiales!$A$2:$E$502,5,FALSE)*VALUE(MID(TRIM(MID(SUBSTITUTE($V75,";",REPT(" ",99)),298,99)),FIND(":",TRIM(MID(SUBSTITUTE($V75,";",REPT(" ",99)),298,99)))+1,99)),0) + IFERROR(VLOOKUP(LEFT(TRIM(MID(SUBSTITUTE($V75,";",REPT(" ",99)),397,99)),FIND(":",TRIM(MID(SUBSTITUTE($V75,";",REPT(" ",99)),397,99)))-1),Materiales!$A$2:$E$502,5,FALSE)*VALUE(MID(TRIM(MID(SUBSTITUTE($V75,";",REPT(" ",99)),397,99)),FIND(":",TRIM(MID(SUBSTITUTE($V75,";",REPT(" ",99)),397,99)))+1,99)),0) + IFERROR(VLOOKUP(LEFT(TRIM(MID(SUBSTITUTE($V75,";",REPT(" ",99)),496,99)),FIND(":",TRIM(MID(SUBSTITUTE($V75,";",REPT(" ",99)),496,99)))-1),Materiales!$A$2:$E$502,5,FALSE)*VALUE(MID(TRIM(MID(SUBSTITUTE($V75,";",REPT(" ",99)),496,99)),FIND(":",TRIM(MID(SUBSTITUTE($V75,";",REPT(" ",99)),496,99)))+1,99)),0) + IFERROR(VLOOKUP(LEFT(TRIM(MID(SUBSTITUTE($V75,";",REPT(" ",99)),595,99)),FIND(":",TRIM(MID(SUBSTITUTE($V75,";",REPT(" ",99)),595,99)))-1),Materiales!$A$2:$E$502,5,FALSE)*VALUE(MID(TRIM(MID(SUBSTITUTE($V75,";",REPT(" ",99)),595,99)),FIND(":",TRIM(MID(SUBSTITUTE($V75,";",REPT(" ",99)),595,99)))+1,99)),0) + IFERROR(VLOOKUP(LEFT(TRIM(MID(SUBSTITUTE($V75,";",REPT(" ",99)),694,99)),FIND(":",TRIM(MID(SUBSTITUTE($V75,";",REPT(" ",99)),694,99)))-1),Materiales!$A$2:$E$502,5,FALSE)*VALUE(MID(TRIM(MID(SUBSTITUTE($V75,";",REPT(" ",99)),694,99)),FIND(":",TRIM(MID(SUBSTITUTE($V75,";",REPT(" ",99)),694,99)))+1,99)),0) + IFERROR(VLOOKUP(LEFT(TRIM(MID(SUBSTITUTE($V75,";",REPT(" ",99)),793,99)),FIND(":",TRIM(MID(SUBSTITUTE($V75,";",REPT(" ",99)),793,99)))-1),Materiales!$A$2:$E$502,5,FALSE)*VALUE(MID(TRIM(MID(SUBSTITUTE($V75,";",REPT(" ",99)),793,99)),FIND(":",TRIM(MID(SUBSTITUTE($V75,";",REPT(" ",99)),793,99)))+1,99)),0) + IFERROR(VLOOKUP(LEFT(TRIM(MID(SUBSTITUTE($V75,";",REPT(" ",99)),892,99)),FIND(":",TRIM(MID(SUBSTITUTE($V75,";",REPT(" ",99)),892,99)))-1),Materiales!$A$2:$E$502,5,FALSE)*VALUE(MID(TRIM(MID(SUBSTITUTE($V75,";",REPT(" ",99)),892,99)),FIND(":",TRIM(MID(SUBSTITUTE($V75,";",REPT(" ",99)),892,99)))+1,99)),0)))</f>
        <v/>
      </c>
      <c r="X75" s="39" t="str">
        <f t="shared" si="13"/>
        <v/>
      </c>
      <c r="Y75" s="64"/>
      <c r="Z75" s="41"/>
      <c r="AA75" s="65"/>
      <c r="AB75" s="14"/>
      <c r="AC75" s="66"/>
      <c r="AD75" s="65"/>
      <c r="AE75" s="44">
        <f t="shared" si="17"/>
        <v>0</v>
      </c>
      <c r="AF75" s="45" t="str">
        <f t="shared" si="18"/>
        <v>#DIV/0!</v>
      </c>
    </row>
    <row r="76" ht="15.75" customHeight="1">
      <c r="A76" s="3"/>
      <c r="B76" s="3"/>
      <c r="C76" s="38"/>
      <c r="D76" s="38"/>
      <c r="E76" s="38"/>
      <c r="F76" s="14"/>
      <c r="G76" s="5" t="str">
        <f t="array" ref="G76">IF($A76="","",IFERROR($F76*(N($C76)*XLOOKUP($B76,Ceras!$A$2:$A$500,Ceras!$G$2:$G$500,0)+IF($D76="",0,N($E76)*XLOOKUP($D76,Ceras!$A$2:$A$500,Ceras!$G$2:$G$500,0))),"Revisar cera"))</f>
        <v/>
      </c>
      <c r="H76" s="5"/>
      <c r="I76" s="3"/>
      <c r="J76" s="14"/>
      <c r="K76" s="5" t="str">
        <f t="array" ref="K76">IF($A76="","",IFERROR($J76*XLOOKUP($I76,Pabilos!$A$2:$A$500,Pabilos!$H$2:$H$500,0),"Revisar pabilo"))</f>
        <v/>
      </c>
      <c r="L76" s="3"/>
      <c r="M76" s="14"/>
      <c r="N76" s="5" t="str">
        <f t="array" ref="N76">IF($A76="","",IFERROR($M76*XLOOKUP($L76,Esencias!$A$2:$A$501,Esencias!$G$2:$G$501,0),"Revisar esencia"))</f>
        <v/>
      </c>
      <c r="O76" s="3"/>
      <c r="P76" s="14"/>
      <c r="Q76" s="5" t="str">
        <f t="array" ref="Q76">IF($A76="","",IFERROR(IF($P76="",1,$P76)*XLOOKUP($O76,Colores!$A$2:$A$500,Colores!$H$2:$H$500,0),"Revisar color"))</f>
        <v/>
      </c>
      <c r="R76" s="3"/>
      <c r="S76" s="5" t="str">
        <f t="array" ref="S76">IF($A76="","",IF($R76="",0,IFERROR(VLOOKUP(LEFT(TRIM(MID(SUBSTITUTE($R76,";",REPT(" ",99)),1,99)),FIND(":",TRIM(MID(SUBSTITUTE($R76,";",REPT(" ",99)),1,99)))-1),Materiales!$A$2:$E$502,5,FALSE)*VALUE(MID(TRIM(MID(SUBSTITUTE($R76,";",REPT(" ",99)),1,99)),FIND(":",TRIM(MID(SUBSTITUTE($R76,";",REPT(" ",99)),1,99)))+1,99)),0) + IFERROR(VLOOKUP(LEFT(TRIM(MID(SUBSTITUTE($R76,";",REPT(" ",99)),100,99)),FIND(":",TRIM(MID(SUBSTITUTE($R76,";",REPT(" ",99)),100,99)))-1),Materiales!$A$2:$E$502,5,FALSE)*VALUE(MID(TRIM(MID(SUBSTITUTE($R76,";",REPT(" ",99)),100,99)),FIND(":",TRIM(MID(SUBSTITUTE($R76,";",REPT(" ",99)),100,99)))+1,99)),0) + IFERROR(VLOOKUP(LEFT(TRIM(MID(SUBSTITUTE($R76,";",REPT(" ",99)),199,99)),FIND(":",TRIM(MID(SUBSTITUTE($R76,";",REPT(" ",99)),199,99)))-1),Materiales!$A$2:$E$502,5,FALSE)*VALUE(MID(TRIM(MID(SUBSTITUTE($R76,";",REPT(" ",99)),199,99)),FIND(":",TRIM(MID(SUBSTITUTE($R76,";",REPT(" ",99)),199,99)))+1,99)),0) + IFERROR(VLOOKUP(LEFT(TRIM(MID(SUBSTITUTE($R76,";",REPT(" ",99)),298,99)),FIND(":",TRIM(MID(SUBSTITUTE($R76,";",REPT(" ",99)),298,99)))-1),Materiales!$A$2:$E$502,5,FALSE)*VALUE(MID(TRIM(MID(SUBSTITUTE($R76,";",REPT(" ",99)),298,99)),FIND(":",TRIM(MID(SUBSTITUTE($R76,";",REPT(" ",99)),298,99)))+1,99)),0) + IFERROR(VLOOKUP(LEFT(TRIM(MID(SUBSTITUTE($R76,";",REPT(" ",99)),397,99)),FIND(":",TRIM(MID(SUBSTITUTE($R76,";",REPT(" ",99)),397,99)))-1),Materiales!$A$2:$E$502,5,FALSE)*VALUE(MID(TRIM(MID(SUBSTITUTE($R76,";",REPT(" ",99)),397,99)),FIND(":",TRIM(MID(SUBSTITUTE($R76,";",REPT(" ",99)),397,99)))+1,99)),0) + IFERROR(VLOOKUP(LEFT(TRIM(MID(SUBSTITUTE($R76,";",REPT(" ",99)),496,99)),FIND(":",TRIM(MID(SUBSTITUTE($R76,";",REPT(" ",99)),496,99)))-1),Materiales!$A$2:$E$502,5,FALSE)*VALUE(MID(TRIM(MID(SUBSTITUTE($R76,";",REPT(" ",99)),496,99)),FIND(":",TRIM(MID(SUBSTITUTE($R76,";",REPT(" ",99)),496,99)))+1,99)),0) + IFERROR(VLOOKUP(LEFT(TRIM(MID(SUBSTITUTE($R76,";",REPT(" ",99)),595,99)),FIND(":",TRIM(MID(SUBSTITUTE($R76,";",REPT(" ",99)),595,99)))-1),Materiales!$A$2:$E$502,5,FALSE)*VALUE(MID(TRIM(MID(SUBSTITUTE($R76,";",REPT(" ",99)),595,99)),FIND(":",TRIM(MID(SUBSTITUTE($R76,";",REPT(" ",99)),595,99)))+1,99)),0) + IFERROR(VLOOKUP(LEFT(TRIM(MID(SUBSTITUTE($R76,";",REPT(" ",99)),694,99)),FIND(":",TRIM(MID(SUBSTITUTE($R76,";",REPT(" ",99)),694,99)))-1),Materiales!$A$2:$E$502,5,FALSE)*VALUE(MID(TRIM(MID(SUBSTITUTE($R76,";",REPT(" ",99)),694,99)),FIND(":",TRIM(MID(SUBSTITUTE($R76,";",REPT(" ",99)),694,99)))+1,99)),0) + IFERROR(VLOOKUP(LEFT(TRIM(MID(SUBSTITUTE($R76,";",REPT(" ",99)),793,99)),FIND(":",TRIM(MID(SUBSTITUTE($R76,";",REPT(" ",99)),793,99)))-1),Materiales!$A$2:$E$502,5,FALSE)*VALUE(MID(TRIM(MID(SUBSTITUTE($R76,";",REPT(" ",99)),793,99)),FIND(":",TRIM(MID(SUBSTITUTE($R76,";",REPT(" ",99)),793,99)))+1,99)),0) + IFERROR(VLOOKUP(LEFT(TRIM(MID(SUBSTITUTE($R76,";",REPT(" ",99)),892,99)),FIND(":",TRIM(MID(SUBSTITUTE($R76,";",REPT(" ",99)),892,99)))-1),Materiales!$A$2:$E$502,5,FALSE)*VALUE(MID(TRIM(MID(SUBSTITUTE($R76,";",REPT(" ",99)),892,99)),FIND(":",TRIM(MID(SUBSTITUTE($R76,";",REPT(" ",99)),892,99)))+1,99)),0)))</f>
        <v/>
      </c>
      <c r="T76" s="3"/>
      <c r="U76" s="5" t="str">
        <f t="array" ref="U76">IF($A76="","",IF($T76="",0,IFERROR(VLOOKUP(LEFT(TRIM(MID(SUBSTITUTE($T76,";",REPT(" ",99)),1,99)),FIND(":",TRIM(MID(SUBSTITUTE($T76,";",REPT(" ",99)),1,99)))-1),Materiales!$A$2:$E$502,5,FALSE)*VALUE(MID(TRIM(MID(SUBSTITUTE($T76,";",REPT(" ",99)),1,99)),FIND(":",TRIM(MID(SUBSTITUTE($T76,";",REPT(" ",99)),1,99)))+1,99)),0) + IFERROR(VLOOKUP(LEFT(TRIM(MID(SUBSTITUTE($T76,";",REPT(" ",99)),100,99)),FIND(":",TRIM(MID(SUBSTITUTE($T76,";",REPT(" ",99)),100,99)))-1),Materiales!$A$2:$E$502,5,FALSE)*VALUE(MID(TRIM(MID(SUBSTITUTE($T76,";",REPT(" ",99)),100,99)),FIND(":",TRIM(MID(SUBSTITUTE($T76,";",REPT(" ",99)),100,99)))+1,99)),0) + IFERROR(VLOOKUP(LEFT(TRIM(MID(SUBSTITUTE($T76,";",REPT(" ",99)),199,99)),FIND(":",TRIM(MID(SUBSTITUTE($T76,";",REPT(" ",99)),199,99)))-1),Materiales!$A$2:$E$502,5,FALSE)*VALUE(MID(TRIM(MID(SUBSTITUTE($T76,";",REPT(" ",99)),199,99)),FIND(":",TRIM(MID(SUBSTITUTE($T76,";",REPT(" ",99)),199,99)))+1,99)),0) + IFERROR(VLOOKUP(LEFT(TRIM(MID(SUBSTITUTE($T76,";",REPT(" ",99)),298,99)),FIND(":",TRIM(MID(SUBSTITUTE($T76,";",REPT(" ",99)),298,99)))-1),Materiales!$A$2:$E$502,5,FALSE)*VALUE(MID(TRIM(MID(SUBSTITUTE($T76,";",REPT(" ",99)),298,99)),FIND(":",TRIM(MID(SUBSTITUTE($T76,";",REPT(" ",99)),298,99)))+1,99)),0) + IFERROR(VLOOKUP(LEFT(TRIM(MID(SUBSTITUTE($T76,";",REPT(" ",99)),397,99)),FIND(":",TRIM(MID(SUBSTITUTE($T76,";",REPT(" ",99)),397,99)))-1),Materiales!$A$2:$E$502,5,FALSE)*VALUE(MID(TRIM(MID(SUBSTITUTE($T76,";",REPT(" ",99)),397,99)),FIND(":",TRIM(MID(SUBSTITUTE($T76,";",REPT(" ",99)),397,99)))+1,99)),0) + IFERROR(VLOOKUP(LEFT(TRIM(MID(SUBSTITUTE($T76,";",REPT(" ",99)),496,99)),FIND(":",TRIM(MID(SUBSTITUTE($T76,";",REPT(" ",99)),496,99)))-1),Materiales!$A$2:$E$502,5,FALSE)*VALUE(MID(TRIM(MID(SUBSTITUTE($T76,";",REPT(" ",99)),496,99)),FIND(":",TRIM(MID(SUBSTITUTE($T76,";",REPT(" ",99)),496,99)))+1,99)),0) + IFERROR(VLOOKUP(LEFT(TRIM(MID(SUBSTITUTE($T76,";",REPT(" ",99)),595,99)),FIND(":",TRIM(MID(SUBSTITUTE($T76,";",REPT(" ",99)),595,99)))-1),Materiales!$A$2:$E$502,5,FALSE)*VALUE(MID(TRIM(MID(SUBSTITUTE($T76,";",REPT(" ",99)),595,99)),FIND(":",TRIM(MID(SUBSTITUTE($T76,";",REPT(" ",99)),595,99)))+1,99)),0) + IFERROR(VLOOKUP(LEFT(TRIM(MID(SUBSTITUTE($T76,";",REPT(" ",99)),694,99)),FIND(":",TRIM(MID(SUBSTITUTE($T76,";",REPT(" ",99)),694,99)))-1),Materiales!$A$2:$E$502,5,FALSE)*VALUE(MID(TRIM(MID(SUBSTITUTE($T76,";",REPT(" ",99)),694,99)),FIND(":",TRIM(MID(SUBSTITUTE($T76,";",REPT(" ",99)),694,99)))+1,99)),0) + IFERROR(VLOOKUP(LEFT(TRIM(MID(SUBSTITUTE($T76,";",REPT(" ",99)),793,99)),FIND(":",TRIM(MID(SUBSTITUTE($T76,";",REPT(" ",99)),793,99)))-1),Materiales!$A$2:$E$502,5,FALSE)*VALUE(MID(TRIM(MID(SUBSTITUTE($T76,";",REPT(" ",99)),793,99)),FIND(":",TRIM(MID(SUBSTITUTE($T76,";",REPT(" ",99)),793,99)))+1,99)),0) + IFERROR(VLOOKUP(LEFT(TRIM(MID(SUBSTITUTE($T76,";",REPT(" ",99)),892,99)),FIND(":",TRIM(MID(SUBSTITUTE($T76,";",REPT(" ",99)),892,99)))-1),Materiales!$A$2:$E$502,5,FALSE)*VALUE(MID(TRIM(MID(SUBSTITUTE($T76,";",REPT(" ",99)),892,99)),FIND(":",TRIM(MID(SUBSTITUTE($T76,";",REPT(" ",99)),892,99)))+1,99)),0)))</f>
        <v/>
      </c>
      <c r="V76" s="3"/>
      <c r="W76" s="5" t="str">
        <f t="array" ref="W76">IF($A76="","",IF($V76="",0,IFERROR(VLOOKUP(LEFT(TRIM(MID(SUBSTITUTE($V76,";",REPT(" ",99)),1,99)),FIND(":",TRIM(MID(SUBSTITUTE($V76,";",REPT(" ",99)),1,99)))-1),Materiales!$A$2:$E$502,5,FALSE)*VALUE(MID(TRIM(MID(SUBSTITUTE($V76,";",REPT(" ",99)),1,99)),FIND(":",TRIM(MID(SUBSTITUTE($V76,";",REPT(" ",99)),1,99)))+1,99)),0) + IFERROR(VLOOKUP(LEFT(TRIM(MID(SUBSTITUTE($V76,";",REPT(" ",99)),100,99)),FIND(":",TRIM(MID(SUBSTITUTE($V76,";",REPT(" ",99)),100,99)))-1),Materiales!$A$2:$E$502,5,FALSE)*VALUE(MID(TRIM(MID(SUBSTITUTE($V76,";",REPT(" ",99)),100,99)),FIND(":",TRIM(MID(SUBSTITUTE($V76,";",REPT(" ",99)),100,99)))+1,99)),0) + IFERROR(VLOOKUP(LEFT(TRIM(MID(SUBSTITUTE($V76,";",REPT(" ",99)),199,99)),FIND(":",TRIM(MID(SUBSTITUTE($V76,";",REPT(" ",99)),199,99)))-1),Materiales!$A$2:$E$502,5,FALSE)*VALUE(MID(TRIM(MID(SUBSTITUTE($V76,";",REPT(" ",99)),199,99)),FIND(":",TRIM(MID(SUBSTITUTE($V76,";",REPT(" ",99)),199,99)))+1,99)),0) + IFERROR(VLOOKUP(LEFT(TRIM(MID(SUBSTITUTE($V76,";",REPT(" ",99)),298,99)),FIND(":",TRIM(MID(SUBSTITUTE($V76,";",REPT(" ",99)),298,99)))-1),Materiales!$A$2:$E$502,5,FALSE)*VALUE(MID(TRIM(MID(SUBSTITUTE($V76,";",REPT(" ",99)),298,99)),FIND(":",TRIM(MID(SUBSTITUTE($V76,";",REPT(" ",99)),298,99)))+1,99)),0) + IFERROR(VLOOKUP(LEFT(TRIM(MID(SUBSTITUTE($V76,";",REPT(" ",99)),397,99)),FIND(":",TRIM(MID(SUBSTITUTE($V76,";",REPT(" ",99)),397,99)))-1),Materiales!$A$2:$E$502,5,FALSE)*VALUE(MID(TRIM(MID(SUBSTITUTE($V76,";",REPT(" ",99)),397,99)),FIND(":",TRIM(MID(SUBSTITUTE($V76,";",REPT(" ",99)),397,99)))+1,99)),0) + IFERROR(VLOOKUP(LEFT(TRIM(MID(SUBSTITUTE($V76,";",REPT(" ",99)),496,99)),FIND(":",TRIM(MID(SUBSTITUTE($V76,";",REPT(" ",99)),496,99)))-1),Materiales!$A$2:$E$502,5,FALSE)*VALUE(MID(TRIM(MID(SUBSTITUTE($V76,";",REPT(" ",99)),496,99)),FIND(":",TRIM(MID(SUBSTITUTE($V76,";",REPT(" ",99)),496,99)))+1,99)),0) + IFERROR(VLOOKUP(LEFT(TRIM(MID(SUBSTITUTE($V76,";",REPT(" ",99)),595,99)),FIND(":",TRIM(MID(SUBSTITUTE($V76,";",REPT(" ",99)),595,99)))-1),Materiales!$A$2:$E$502,5,FALSE)*VALUE(MID(TRIM(MID(SUBSTITUTE($V76,";",REPT(" ",99)),595,99)),FIND(":",TRIM(MID(SUBSTITUTE($V76,";",REPT(" ",99)),595,99)))+1,99)),0) + IFERROR(VLOOKUP(LEFT(TRIM(MID(SUBSTITUTE($V76,";",REPT(" ",99)),694,99)),FIND(":",TRIM(MID(SUBSTITUTE($V76,";",REPT(" ",99)),694,99)))-1),Materiales!$A$2:$E$502,5,FALSE)*VALUE(MID(TRIM(MID(SUBSTITUTE($V76,";",REPT(" ",99)),694,99)),FIND(":",TRIM(MID(SUBSTITUTE($V76,";",REPT(" ",99)),694,99)))+1,99)),0) + IFERROR(VLOOKUP(LEFT(TRIM(MID(SUBSTITUTE($V76,";",REPT(" ",99)),793,99)),FIND(":",TRIM(MID(SUBSTITUTE($V76,";",REPT(" ",99)),793,99)))-1),Materiales!$A$2:$E$502,5,FALSE)*VALUE(MID(TRIM(MID(SUBSTITUTE($V76,";",REPT(" ",99)),793,99)),FIND(":",TRIM(MID(SUBSTITUTE($V76,";",REPT(" ",99)),793,99)))+1,99)),0) + IFERROR(VLOOKUP(LEFT(TRIM(MID(SUBSTITUTE($V76,";",REPT(" ",99)),892,99)),FIND(":",TRIM(MID(SUBSTITUTE($V76,";",REPT(" ",99)),892,99)))-1),Materiales!$A$2:$E$502,5,FALSE)*VALUE(MID(TRIM(MID(SUBSTITUTE($V76,";",REPT(" ",99)),892,99)),FIND(":",TRIM(MID(SUBSTITUTE($V76,";",REPT(" ",99)),892,99)))+1,99)),0)))</f>
        <v/>
      </c>
      <c r="X76" s="39" t="str">
        <f t="shared" si="13"/>
        <v/>
      </c>
      <c r="Y76" s="64"/>
      <c r="Z76" s="41"/>
      <c r="AA76" s="65"/>
      <c r="AB76" s="14"/>
      <c r="AC76" s="66"/>
      <c r="AD76" s="65"/>
      <c r="AE76" s="44">
        <f t="shared" si="17"/>
        <v>0</v>
      </c>
      <c r="AF76" s="45" t="str">
        <f t="shared" si="18"/>
        <v>#DIV/0!</v>
      </c>
    </row>
    <row r="77" ht="15.75" customHeight="1">
      <c r="A77" s="3"/>
      <c r="B77" s="3"/>
      <c r="C77" s="38"/>
      <c r="D77" s="38"/>
      <c r="E77" s="38"/>
      <c r="F77" s="14"/>
      <c r="G77" s="5" t="str">
        <f t="array" ref="G77">IF($A77="","",IFERROR($F77*(N($C77)*XLOOKUP($B77,Ceras!$A$2:$A$500,Ceras!$G$2:$G$500,0)+IF($D77="",0,N($E77)*XLOOKUP($D77,Ceras!$A$2:$A$500,Ceras!$G$2:$G$500,0))),"Revisar cera"))</f>
        <v/>
      </c>
      <c r="H77" s="5"/>
      <c r="I77" s="3"/>
      <c r="J77" s="14"/>
      <c r="K77" s="5" t="str">
        <f t="array" ref="K77">IF($A77="","",IFERROR($J77*XLOOKUP($I77,Pabilos!$A$2:$A$500,Pabilos!$H$2:$H$500,0),"Revisar pabilo"))</f>
        <v/>
      </c>
      <c r="L77" s="3"/>
      <c r="M77" s="14"/>
      <c r="N77" s="5" t="str">
        <f t="array" ref="N77">IF($A77="","",IFERROR($M77*XLOOKUP($L77,Esencias!$A$2:$A$501,Esencias!$G$2:$G$501,0),"Revisar esencia"))</f>
        <v/>
      </c>
      <c r="O77" s="3"/>
      <c r="P77" s="14"/>
      <c r="Q77" s="5" t="str">
        <f t="array" ref="Q77">IF($A77="","",IFERROR(IF($P77="",1,$P77)*XLOOKUP($O77,Colores!$A$2:$A$500,Colores!$H$2:$H$500,0),"Revisar color"))</f>
        <v/>
      </c>
      <c r="R77" s="3"/>
      <c r="S77" s="5" t="str">
        <f t="array" ref="S77">IF($A77="","",IF($R77="",0,IFERROR(VLOOKUP(LEFT(TRIM(MID(SUBSTITUTE($R77,";",REPT(" ",99)),1,99)),FIND(":",TRIM(MID(SUBSTITUTE($R77,";",REPT(" ",99)),1,99)))-1),Materiales!$A$2:$E$502,5,FALSE)*VALUE(MID(TRIM(MID(SUBSTITUTE($R77,";",REPT(" ",99)),1,99)),FIND(":",TRIM(MID(SUBSTITUTE($R77,";",REPT(" ",99)),1,99)))+1,99)),0) + IFERROR(VLOOKUP(LEFT(TRIM(MID(SUBSTITUTE($R77,";",REPT(" ",99)),100,99)),FIND(":",TRIM(MID(SUBSTITUTE($R77,";",REPT(" ",99)),100,99)))-1),Materiales!$A$2:$E$502,5,FALSE)*VALUE(MID(TRIM(MID(SUBSTITUTE($R77,";",REPT(" ",99)),100,99)),FIND(":",TRIM(MID(SUBSTITUTE($R77,";",REPT(" ",99)),100,99)))+1,99)),0) + IFERROR(VLOOKUP(LEFT(TRIM(MID(SUBSTITUTE($R77,";",REPT(" ",99)),199,99)),FIND(":",TRIM(MID(SUBSTITUTE($R77,";",REPT(" ",99)),199,99)))-1),Materiales!$A$2:$E$502,5,FALSE)*VALUE(MID(TRIM(MID(SUBSTITUTE($R77,";",REPT(" ",99)),199,99)),FIND(":",TRIM(MID(SUBSTITUTE($R77,";",REPT(" ",99)),199,99)))+1,99)),0) + IFERROR(VLOOKUP(LEFT(TRIM(MID(SUBSTITUTE($R77,";",REPT(" ",99)),298,99)),FIND(":",TRIM(MID(SUBSTITUTE($R77,";",REPT(" ",99)),298,99)))-1),Materiales!$A$2:$E$502,5,FALSE)*VALUE(MID(TRIM(MID(SUBSTITUTE($R77,";",REPT(" ",99)),298,99)),FIND(":",TRIM(MID(SUBSTITUTE($R77,";",REPT(" ",99)),298,99)))+1,99)),0) + IFERROR(VLOOKUP(LEFT(TRIM(MID(SUBSTITUTE($R77,";",REPT(" ",99)),397,99)),FIND(":",TRIM(MID(SUBSTITUTE($R77,";",REPT(" ",99)),397,99)))-1),Materiales!$A$2:$E$502,5,FALSE)*VALUE(MID(TRIM(MID(SUBSTITUTE($R77,";",REPT(" ",99)),397,99)),FIND(":",TRIM(MID(SUBSTITUTE($R77,";",REPT(" ",99)),397,99)))+1,99)),0) + IFERROR(VLOOKUP(LEFT(TRIM(MID(SUBSTITUTE($R77,";",REPT(" ",99)),496,99)),FIND(":",TRIM(MID(SUBSTITUTE($R77,";",REPT(" ",99)),496,99)))-1),Materiales!$A$2:$E$502,5,FALSE)*VALUE(MID(TRIM(MID(SUBSTITUTE($R77,";",REPT(" ",99)),496,99)),FIND(":",TRIM(MID(SUBSTITUTE($R77,";",REPT(" ",99)),496,99)))+1,99)),0) + IFERROR(VLOOKUP(LEFT(TRIM(MID(SUBSTITUTE($R77,";",REPT(" ",99)),595,99)),FIND(":",TRIM(MID(SUBSTITUTE($R77,";",REPT(" ",99)),595,99)))-1),Materiales!$A$2:$E$502,5,FALSE)*VALUE(MID(TRIM(MID(SUBSTITUTE($R77,";",REPT(" ",99)),595,99)),FIND(":",TRIM(MID(SUBSTITUTE($R77,";",REPT(" ",99)),595,99)))+1,99)),0) + IFERROR(VLOOKUP(LEFT(TRIM(MID(SUBSTITUTE($R77,";",REPT(" ",99)),694,99)),FIND(":",TRIM(MID(SUBSTITUTE($R77,";",REPT(" ",99)),694,99)))-1),Materiales!$A$2:$E$502,5,FALSE)*VALUE(MID(TRIM(MID(SUBSTITUTE($R77,";",REPT(" ",99)),694,99)),FIND(":",TRIM(MID(SUBSTITUTE($R77,";",REPT(" ",99)),694,99)))+1,99)),0) + IFERROR(VLOOKUP(LEFT(TRIM(MID(SUBSTITUTE($R77,";",REPT(" ",99)),793,99)),FIND(":",TRIM(MID(SUBSTITUTE($R77,";",REPT(" ",99)),793,99)))-1),Materiales!$A$2:$E$502,5,FALSE)*VALUE(MID(TRIM(MID(SUBSTITUTE($R77,";",REPT(" ",99)),793,99)),FIND(":",TRIM(MID(SUBSTITUTE($R77,";",REPT(" ",99)),793,99)))+1,99)),0) + IFERROR(VLOOKUP(LEFT(TRIM(MID(SUBSTITUTE($R77,";",REPT(" ",99)),892,99)),FIND(":",TRIM(MID(SUBSTITUTE($R77,";",REPT(" ",99)),892,99)))-1),Materiales!$A$2:$E$502,5,FALSE)*VALUE(MID(TRIM(MID(SUBSTITUTE($R77,";",REPT(" ",99)),892,99)),FIND(":",TRIM(MID(SUBSTITUTE($R77,";",REPT(" ",99)),892,99)))+1,99)),0)))</f>
        <v/>
      </c>
      <c r="T77" s="3"/>
      <c r="U77" s="5" t="str">
        <f t="array" ref="U77">IF($A77="","",IF($T77="",0,IFERROR(VLOOKUP(LEFT(TRIM(MID(SUBSTITUTE($T77,";",REPT(" ",99)),1,99)),FIND(":",TRIM(MID(SUBSTITUTE($T77,";",REPT(" ",99)),1,99)))-1),Materiales!$A$2:$E$502,5,FALSE)*VALUE(MID(TRIM(MID(SUBSTITUTE($T77,";",REPT(" ",99)),1,99)),FIND(":",TRIM(MID(SUBSTITUTE($T77,";",REPT(" ",99)),1,99)))+1,99)),0) + IFERROR(VLOOKUP(LEFT(TRIM(MID(SUBSTITUTE($T77,";",REPT(" ",99)),100,99)),FIND(":",TRIM(MID(SUBSTITUTE($T77,";",REPT(" ",99)),100,99)))-1),Materiales!$A$2:$E$502,5,FALSE)*VALUE(MID(TRIM(MID(SUBSTITUTE($T77,";",REPT(" ",99)),100,99)),FIND(":",TRIM(MID(SUBSTITUTE($T77,";",REPT(" ",99)),100,99)))+1,99)),0) + IFERROR(VLOOKUP(LEFT(TRIM(MID(SUBSTITUTE($T77,";",REPT(" ",99)),199,99)),FIND(":",TRIM(MID(SUBSTITUTE($T77,";",REPT(" ",99)),199,99)))-1),Materiales!$A$2:$E$502,5,FALSE)*VALUE(MID(TRIM(MID(SUBSTITUTE($T77,";",REPT(" ",99)),199,99)),FIND(":",TRIM(MID(SUBSTITUTE($T77,";",REPT(" ",99)),199,99)))+1,99)),0) + IFERROR(VLOOKUP(LEFT(TRIM(MID(SUBSTITUTE($T77,";",REPT(" ",99)),298,99)),FIND(":",TRIM(MID(SUBSTITUTE($T77,";",REPT(" ",99)),298,99)))-1),Materiales!$A$2:$E$502,5,FALSE)*VALUE(MID(TRIM(MID(SUBSTITUTE($T77,";",REPT(" ",99)),298,99)),FIND(":",TRIM(MID(SUBSTITUTE($T77,";",REPT(" ",99)),298,99)))+1,99)),0) + IFERROR(VLOOKUP(LEFT(TRIM(MID(SUBSTITUTE($T77,";",REPT(" ",99)),397,99)),FIND(":",TRIM(MID(SUBSTITUTE($T77,";",REPT(" ",99)),397,99)))-1),Materiales!$A$2:$E$502,5,FALSE)*VALUE(MID(TRIM(MID(SUBSTITUTE($T77,";",REPT(" ",99)),397,99)),FIND(":",TRIM(MID(SUBSTITUTE($T77,";",REPT(" ",99)),397,99)))+1,99)),0) + IFERROR(VLOOKUP(LEFT(TRIM(MID(SUBSTITUTE($T77,";",REPT(" ",99)),496,99)),FIND(":",TRIM(MID(SUBSTITUTE($T77,";",REPT(" ",99)),496,99)))-1),Materiales!$A$2:$E$502,5,FALSE)*VALUE(MID(TRIM(MID(SUBSTITUTE($T77,";",REPT(" ",99)),496,99)),FIND(":",TRIM(MID(SUBSTITUTE($T77,";",REPT(" ",99)),496,99)))+1,99)),0) + IFERROR(VLOOKUP(LEFT(TRIM(MID(SUBSTITUTE($T77,";",REPT(" ",99)),595,99)),FIND(":",TRIM(MID(SUBSTITUTE($T77,";",REPT(" ",99)),595,99)))-1),Materiales!$A$2:$E$502,5,FALSE)*VALUE(MID(TRIM(MID(SUBSTITUTE($T77,";",REPT(" ",99)),595,99)),FIND(":",TRIM(MID(SUBSTITUTE($T77,";",REPT(" ",99)),595,99)))+1,99)),0) + IFERROR(VLOOKUP(LEFT(TRIM(MID(SUBSTITUTE($T77,";",REPT(" ",99)),694,99)),FIND(":",TRIM(MID(SUBSTITUTE($T77,";",REPT(" ",99)),694,99)))-1),Materiales!$A$2:$E$502,5,FALSE)*VALUE(MID(TRIM(MID(SUBSTITUTE($T77,";",REPT(" ",99)),694,99)),FIND(":",TRIM(MID(SUBSTITUTE($T77,";",REPT(" ",99)),694,99)))+1,99)),0) + IFERROR(VLOOKUP(LEFT(TRIM(MID(SUBSTITUTE($T77,";",REPT(" ",99)),793,99)),FIND(":",TRIM(MID(SUBSTITUTE($T77,";",REPT(" ",99)),793,99)))-1),Materiales!$A$2:$E$502,5,FALSE)*VALUE(MID(TRIM(MID(SUBSTITUTE($T77,";",REPT(" ",99)),793,99)),FIND(":",TRIM(MID(SUBSTITUTE($T77,";",REPT(" ",99)),793,99)))+1,99)),0) + IFERROR(VLOOKUP(LEFT(TRIM(MID(SUBSTITUTE($T77,";",REPT(" ",99)),892,99)),FIND(":",TRIM(MID(SUBSTITUTE($T77,";",REPT(" ",99)),892,99)))-1),Materiales!$A$2:$E$502,5,FALSE)*VALUE(MID(TRIM(MID(SUBSTITUTE($T77,";",REPT(" ",99)),892,99)),FIND(":",TRIM(MID(SUBSTITUTE($T77,";",REPT(" ",99)),892,99)))+1,99)),0)))</f>
        <v/>
      </c>
      <c r="V77" s="3"/>
      <c r="W77" s="5" t="str">
        <f t="array" ref="W77">IF($A77="","",IF($V77="",0,IFERROR(VLOOKUP(LEFT(TRIM(MID(SUBSTITUTE($V77,";",REPT(" ",99)),1,99)),FIND(":",TRIM(MID(SUBSTITUTE($V77,";",REPT(" ",99)),1,99)))-1),Materiales!$A$2:$E$502,5,FALSE)*VALUE(MID(TRIM(MID(SUBSTITUTE($V77,";",REPT(" ",99)),1,99)),FIND(":",TRIM(MID(SUBSTITUTE($V77,";",REPT(" ",99)),1,99)))+1,99)),0) + IFERROR(VLOOKUP(LEFT(TRIM(MID(SUBSTITUTE($V77,";",REPT(" ",99)),100,99)),FIND(":",TRIM(MID(SUBSTITUTE($V77,";",REPT(" ",99)),100,99)))-1),Materiales!$A$2:$E$502,5,FALSE)*VALUE(MID(TRIM(MID(SUBSTITUTE($V77,";",REPT(" ",99)),100,99)),FIND(":",TRIM(MID(SUBSTITUTE($V77,";",REPT(" ",99)),100,99)))+1,99)),0) + IFERROR(VLOOKUP(LEFT(TRIM(MID(SUBSTITUTE($V77,";",REPT(" ",99)),199,99)),FIND(":",TRIM(MID(SUBSTITUTE($V77,";",REPT(" ",99)),199,99)))-1),Materiales!$A$2:$E$502,5,FALSE)*VALUE(MID(TRIM(MID(SUBSTITUTE($V77,";",REPT(" ",99)),199,99)),FIND(":",TRIM(MID(SUBSTITUTE($V77,";",REPT(" ",99)),199,99)))+1,99)),0) + IFERROR(VLOOKUP(LEFT(TRIM(MID(SUBSTITUTE($V77,";",REPT(" ",99)),298,99)),FIND(":",TRIM(MID(SUBSTITUTE($V77,";",REPT(" ",99)),298,99)))-1),Materiales!$A$2:$E$502,5,FALSE)*VALUE(MID(TRIM(MID(SUBSTITUTE($V77,";",REPT(" ",99)),298,99)),FIND(":",TRIM(MID(SUBSTITUTE($V77,";",REPT(" ",99)),298,99)))+1,99)),0) + IFERROR(VLOOKUP(LEFT(TRIM(MID(SUBSTITUTE($V77,";",REPT(" ",99)),397,99)),FIND(":",TRIM(MID(SUBSTITUTE($V77,";",REPT(" ",99)),397,99)))-1),Materiales!$A$2:$E$502,5,FALSE)*VALUE(MID(TRIM(MID(SUBSTITUTE($V77,";",REPT(" ",99)),397,99)),FIND(":",TRIM(MID(SUBSTITUTE($V77,";",REPT(" ",99)),397,99)))+1,99)),0) + IFERROR(VLOOKUP(LEFT(TRIM(MID(SUBSTITUTE($V77,";",REPT(" ",99)),496,99)),FIND(":",TRIM(MID(SUBSTITUTE($V77,";",REPT(" ",99)),496,99)))-1),Materiales!$A$2:$E$502,5,FALSE)*VALUE(MID(TRIM(MID(SUBSTITUTE($V77,";",REPT(" ",99)),496,99)),FIND(":",TRIM(MID(SUBSTITUTE($V77,";",REPT(" ",99)),496,99)))+1,99)),0) + IFERROR(VLOOKUP(LEFT(TRIM(MID(SUBSTITUTE($V77,";",REPT(" ",99)),595,99)),FIND(":",TRIM(MID(SUBSTITUTE($V77,";",REPT(" ",99)),595,99)))-1),Materiales!$A$2:$E$502,5,FALSE)*VALUE(MID(TRIM(MID(SUBSTITUTE($V77,";",REPT(" ",99)),595,99)),FIND(":",TRIM(MID(SUBSTITUTE($V77,";",REPT(" ",99)),595,99)))+1,99)),0) + IFERROR(VLOOKUP(LEFT(TRIM(MID(SUBSTITUTE($V77,";",REPT(" ",99)),694,99)),FIND(":",TRIM(MID(SUBSTITUTE($V77,";",REPT(" ",99)),694,99)))-1),Materiales!$A$2:$E$502,5,FALSE)*VALUE(MID(TRIM(MID(SUBSTITUTE($V77,";",REPT(" ",99)),694,99)),FIND(":",TRIM(MID(SUBSTITUTE($V77,";",REPT(" ",99)),694,99)))+1,99)),0) + IFERROR(VLOOKUP(LEFT(TRIM(MID(SUBSTITUTE($V77,";",REPT(" ",99)),793,99)),FIND(":",TRIM(MID(SUBSTITUTE($V77,";",REPT(" ",99)),793,99)))-1),Materiales!$A$2:$E$502,5,FALSE)*VALUE(MID(TRIM(MID(SUBSTITUTE($V77,";",REPT(" ",99)),793,99)),FIND(":",TRIM(MID(SUBSTITUTE($V77,";",REPT(" ",99)),793,99)))+1,99)),0) + IFERROR(VLOOKUP(LEFT(TRIM(MID(SUBSTITUTE($V77,";",REPT(" ",99)),892,99)),FIND(":",TRIM(MID(SUBSTITUTE($V77,";",REPT(" ",99)),892,99)))-1),Materiales!$A$2:$E$502,5,FALSE)*VALUE(MID(TRIM(MID(SUBSTITUTE($V77,";",REPT(" ",99)),892,99)),FIND(":",TRIM(MID(SUBSTITUTE($V77,";",REPT(" ",99)),892,99)))+1,99)),0)))</f>
        <v/>
      </c>
      <c r="X77" s="39" t="str">
        <f t="shared" si="13"/>
        <v/>
      </c>
      <c r="Y77" s="64"/>
      <c r="Z77" s="41"/>
      <c r="AA77" s="65"/>
      <c r="AB77" s="14"/>
      <c r="AC77" s="66"/>
      <c r="AD77" s="65"/>
      <c r="AE77" s="44">
        <f t="shared" si="17"/>
        <v>0</v>
      </c>
      <c r="AF77" s="45" t="str">
        <f t="shared" si="18"/>
        <v>#DIV/0!</v>
      </c>
    </row>
    <row r="78" ht="15.75" customHeight="1">
      <c r="A78" s="3"/>
      <c r="B78" s="3"/>
      <c r="C78" s="38"/>
      <c r="D78" s="38"/>
      <c r="E78" s="38"/>
      <c r="F78" s="14"/>
      <c r="G78" s="5" t="str">
        <f t="array" ref="G78">IF($A78="","",IFERROR($F78*(N($C78)*XLOOKUP($B78,Ceras!$A$2:$A$500,Ceras!$G$2:$G$500,0)+IF($D78="",0,N($E78)*XLOOKUP($D78,Ceras!$A$2:$A$500,Ceras!$G$2:$G$500,0))),"Revisar cera"))</f>
        <v/>
      </c>
      <c r="H78" s="5"/>
      <c r="I78" s="3"/>
      <c r="J78" s="14"/>
      <c r="K78" s="5" t="str">
        <f t="array" ref="K78">IF($A78="","",IFERROR($J78*XLOOKUP($I78,Pabilos!$A$2:$A$500,Pabilos!$H$2:$H$500,0),"Revisar pabilo"))</f>
        <v/>
      </c>
      <c r="L78" s="3"/>
      <c r="M78" s="14"/>
      <c r="N78" s="5" t="str">
        <f t="array" ref="N78">IF($A78="","",IFERROR($M78*XLOOKUP($L78,Esencias!$A$2:$A$501,Esencias!$G$2:$G$501,0),"Revisar esencia"))</f>
        <v/>
      </c>
      <c r="O78" s="3"/>
      <c r="P78" s="14"/>
      <c r="Q78" s="5" t="str">
        <f t="array" ref="Q78">IF($A78="","",IFERROR(IF($P78="",1,$P78)*XLOOKUP($O78,Colores!$A$2:$A$500,Colores!$H$2:$H$500,0),"Revisar color"))</f>
        <v/>
      </c>
      <c r="R78" s="3"/>
      <c r="S78" s="5" t="str">
        <f t="array" ref="S78">IF($A78="","",IF($R78="",0,IFERROR(VLOOKUP(LEFT(TRIM(MID(SUBSTITUTE($R78,";",REPT(" ",99)),1,99)),FIND(":",TRIM(MID(SUBSTITUTE($R78,";",REPT(" ",99)),1,99)))-1),Materiales!$A$2:$E$502,5,FALSE)*VALUE(MID(TRIM(MID(SUBSTITUTE($R78,";",REPT(" ",99)),1,99)),FIND(":",TRIM(MID(SUBSTITUTE($R78,";",REPT(" ",99)),1,99)))+1,99)),0) + IFERROR(VLOOKUP(LEFT(TRIM(MID(SUBSTITUTE($R78,";",REPT(" ",99)),100,99)),FIND(":",TRIM(MID(SUBSTITUTE($R78,";",REPT(" ",99)),100,99)))-1),Materiales!$A$2:$E$502,5,FALSE)*VALUE(MID(TRIM(MID(SUBSTITUTE($R78,";",REPT(" ",99)),100,99)),FIND(":",TRIM(MID(SUBSTITUTE($R78,";",REPT(" ",99)),100,99)))+1,99)),0) + IFERROR(VLOOKUP(LEFT(TRIM(MID(SUBSTITUTE($R78,";",REPT(" ",99)),199,99)),FIND(":",TRIM(MID(SUBSTITUTE($R78,";",REPT(" ",99)),199,99)))-1),Materiales!$A$2:$E$502,5,FALSE)*VALUE(MID(TRIM(MID(SUBSTITUTE($R78,";",REPT(" ",99)),199,99)),FIND(":",TRIM(MID(SUBSTITUTE($R78,";",REPT(" ",99)),199,99)))+1,99)),0) + IFERROR(VLOOKUP(LEFT(TRIM(MID(SUBSTITUTE($R78,";",REPT(" ",99)),298,99)),FIND(":",TRIM(MID(SUBSTITUTE($R78,";",REPT(" ",99)),298,99)))-1),Materiales!$A$2:$E$502,5,FALSE)*VALUE(MID(TRIM(MID(SUBSTITUTE($R78,";",REPT(" ",99)),298,99)),FIND(":",TRIM(MID(SUBSTITUTE($R78,";",REPT(" ",99)),298,99)))+1,99)),0) + IFERROR(VLOOKUP(LEFT(TRIM(MID(SUBSTITUTE($R78,";",REPT(" ",99)),397,99)),FIND(":",TRIM(MID(SUBSTITUTE($R78,";",REPT(" ",99)),397,99)))-1),Materiales!$A$2:$E$502,5,FALSE)*VALUE(MID(TRIM(MID(SUBSTITUTE($R78,";",REPT(" ",99)),397,99)),FIND(":",TRIM(MID(SUBSTITUTE($R78,";",REPT(" ",99)),397,99)))+1,99)),0) + IFERROR(VLOOKUP(LEFT(TRIM(MID(SUBSTITUTE($R78,";",REPT(" ",99)),496,99)),FIND(":",TRIM(MID(SUBSTITUTE($R78,";",REPT(" ",99)),496,99)))-1),Materiales!$A$2:$E$502,5,FALSE)*VALUE(MID(TRIM(MID(SUBSTITUTE($R78,";",REPT(" ",99)),496,99)),FIND(":",TRIM(MID(SUBSTITUTE($R78,";",REPT(" ",99)),496,99)))+1,99)),0) + IFERROR(VLOOKUP(LEFT(TRIM(MID(SUBSTITUTE($R78,";",REPT(" ",99)),595,99)),FIND(":",TRIM(MID(SUBSTITUTE($R78,";",REPT(" ",99)),595,99)))-1),Materiales!$A$2:$E$502,5,FALSE)*VALUE(MID(TRIM(MID(SUBSTITUTE($R78,";",REPT(" ",99)),595,99)),FIND(":",TRIM(MID(SUBSTITUTE($R78,";",REPT(" ",99)),595,99)))+1,99)),0) + IFERROR(VLOOKUP(LEFT(TRIM(MID(SUBSTITUTE($R78,";",REPT(" ",99)),694,99)),FIND(":",TRIM(MID(SUBSTITUTE($R78,";",REPT(" ",99)),694,99)))-1),Materiales!$A$2:$E$502,5,FALSE)*VALUE(MID(TRIM(MID(SUBSTITUTE($R78,";",REPT(" ",99)),694,99)),FIND(":",TRIM(MID(SUBSTITUTE($R78,";",REPT(" ",99)),694,99)))+1,99)),0) + IFERROR(VLOOKUP(LEFT(TRIM(MID(SUBSTITUTE($R78,";",REPT(" ",99)),793,99)),FIND(":",TRIM(MID(SUBSTITUTE($R78,";",REPT(" ",99)),793,99)))-1),Materiales!$A$2:$E$502,5,FALSE)*VALUE(MID(TRIM(MID(SUBSTITUTE($R78,";",REPT(" ",99)),793,99)),FIND(":",TRIM(MID(SUBSTITUTE($R78,";",REPT(" ",99)),793,99)))+1,99)),0) + IFERROR(VLOOKUP(LEFT(TRIM(MID(SUBSTITUTE($R78,";",REPT(" ",99)),892,99)),FIND(":",TRIM(MID(SUBSTITUTE($R78,";",REPT(" ",99)),892,99)))-1),Materiales!$A$2:$E$502,5,FALSE)*VALUE(MID(TRIM(MID(SUBSTITUTE($R78,";",REPT(" ",99)),892,99)),FIND(":",TRIM(MID(SUBSTITUTE($R78,";",REPT(" ",99)),892,99)))+1,99)),0)))</f>
        <v/>
      </c>
      <c r="T78" s="3"/>
      <c r="U78" s="5" t="str">
        <f t="array" ref="U78">IF($A78="","",IF($T78="",0,IFERROR(VLOOKUP(LEFT(TRIM(MID(SUBSTITUTE($T78,";",REPT(" ",99)),1,99)),FIND(":",TRIM(MID(SUBSTITUTE($T78,";",REPT(" ",99)),1,99)))-1),Materiales!$A$2:$E$502,5,FALSE)*VALUE(MID(TRIM(MID(SUBSTITUTE($T78,";",REPT(" ",99)),1,99)),FIND(":",TRIM(MID(SUBSTITUTE($T78,";",REPT(" ",99)),1,99)))+1,99)),0) + IFERROR(VLOOKUP(LEFT(TRIM(MID(SUBSTITUTE($T78,";",REPT(" ",99)),100,99)),FIND(":",TRIM(MID(SUBSTITUTE($T78,";",REPT(" ",99)),100,99)))-1),Materiales!$A$2:$E$502,5,FALSE)*VALUE(MID(TRIM(MID(SUBSTITUTE($T78,";",REPT(" ",99)),100,99)),FIND(":",TRIM(MID(SUBSTITUTE($T78,";",REPT(" ",99)),100,99)))+1,99)),0) + IFERROR(VLOOKUP(LEFT(TRIM(MID(SUBSTITUTE($T78,";",REPT(" ",99)),199,99)),FIND(":",TRIM(MID(SUBSTITUTE($T78,";",REPT(" ",99)),199,99)))-1),Materiales!$A$2:$E$502,5,FALSE)*VALUE(MID(TRIM(MID(SUBSTITUTE($T78,";",REPT(" ",99)),199,99)),FIND(":",TRIM(MID(SUBSTITUTE($T78,";",REPT(" ",99)),199,99)))+1,99)),0) + IFERROR(VLOOKUP(LEFT(TRIM(MID(SUBSTITUTE($T78,";",REPT(" ",99)),298,99)),FIND(":",TRIM(MID(SUBSTITUTE($T78,";",REPT(" ",99)),298,99)))-1),Materiales!$A$2:$E$502,5,FALSE)*VALUE(MID(TRIM(MID(SUBSTITUTE($T78,";",REPT(" ",99)),298,99)),FIND(":",TRIM(MID(SUBSTITUTE($T78,";",REPT(" ",99)),298,99)))+1,99)),0) + IFERROR(VLOOKUP(LEFT(TRIM(MID(SUBSTITUTE($T78,";",REPT(" ",99)),397,99)),FIND(":",TRIM(MID(SUBSTITUTE($T78,";",REPT(" ",99)),397,99)))-1),Materiales!$A$2:$E$502,5,FALSE)*VALUE(MID(TRIM(MID(SUBSTITUTE($T78,";",REPT(" ",99)),397,99)),FIND(":",TRIM(MID(SUBSTITUTE($T78,";",REPT(" ",99)),397,99)))+1,99)),0) + IFERROR(VLOOKUP(LEFT(TRIM(MID(SUBSTITUTE($T78,";",REPT(" ",99)),496,99)),FIND(":",TRIM(MID(SUBSTITUTE($T78,";",REPT(" ",99)),496,99)))-1),Materiales!$A$2:$E$502,5,FALSE)*VALUE(MID(TRIM(MID(SUBSTITUTE($T78,";",REPT(" ",99)),496,99)),FIND(":",TRIM(MID(SUBSTITUTE($T78,";",REPT(" ",99)),496,99)))+1,99)),0) + IFERROR(VLOOKUP(LEFT(TRIM(MID(SUBSTITUTE($T78,";",REPT(" ",99)),595,99)),FIND(":",TRIM(MID(SUBSTITUTE($T78,";",REPT(" ",99)),595,99)))-1),Materiales!$A$2:$E$502,5,FALSE)*VALUE(MID(TRIM(MID(SUBSTITUTE($T78,";",REPT(" ",99)),595,99)),FIND(":",TRIM(MID(SUBSTITUTE($T78,";",REPT(" ",99)),595,99)))+1,99)),0) + IFERROR(VLOOKUP(LEFT(TRIM(MID(SUBSTITUTE($T78,";",REPT(" ",99)),694,99)),FIND(":",TRIM(MID(SUBSTITUTE($T78,";",REPT(" ",99)),694,99)))-1),Materiales!$A$2:$E$502,5,FALSE)*VALUE(MID(TRIM(MID(SUBSTITUTE($T78,";",REPT(" ",99)),694,99)),FIND(":",TRIM(MID(SUBSTITUTE($T78,";",REPT(" ",99)),694,99)))+1,99)),0) + IFERROR(VLOOKUP(LEFT(TRIM(MID(SUBSTITUTE($T78,";",REPT(" ",99)),793,99)),FIND(":",TRIM(MID(SUBSTITUTE($T78,";",REPT(" ",99)),793,99)))-1),Materiales!$A$2:$E$502,5,FALSE)*VALUE(MID(TRIM(MID(SUBSTITUTE($T78,";",REPT(" ",99)),793,99)),FIND(":",TRIM(MID(SUBSTITUTE($T78,";",REPT(" ",99)),793,99)))+1,99)),0) + IFERROR(VLOOKUP(LEFT(TRIM(MID(SUBSTITUTE($T78,";",REPT(" ",99)),892,99)),FIND(":",TRIM(MID(SUBSTITUTE($T78,";",REPT(" ",99)),892,99)))-1),Materiales!$A$2:$E$502,5,FALSE)*VALUE(MID(TRIM(MID(SUBSTITUTE($T78,";",REPT(" ",99)),892,99)),FIND(":",TRIM(MID(SUBSTITUTE($T78,";",REPT(" ",99)),892,99)))+1,99)),0)))</f>
        <v/>
      </c>
      <c r="V78" s="3"/>
      <c r="W78" s="5" t="str">
        <f t="array" ref="W78">IF($A78="","",IF($V78="",0,IFERROR(VLOOKUP(LEFT(TRIM(MID(SUBSTITUTE($V78,";",REPT(" ",99)),1,99)),FIND(":",TRIM(MID(SUBSTITUTE($V78,";",REPT(" ",99)),1,99)))-1),Materiales!$A$2:$E$502,5,FALSE)*VALUE(MID(TRIM(MID(SUBSTITUTE($V78,";",REPT(" ",99)),1,99)),FIND(":",TRIM(MID(SUBSTITUTE($V78,";",REPT(" ",99)),1,99)))+1,99)),0) + IFERROR(VLOOKUP(LEFT(TRIM(MID(SUBSTITUTE($V78,";",REPT(" ",99)),100,99)),FIND(":",TRIM(MID(SUBSTITUTE($V78,";",REPT(" ",99)),100,99)))-1),Materiales!$A$2:$E$502,5,FALSE)*VALUE(MID(TRIM(MID(SUBSTITUTE($V78,";",REPT(" ",99)),100,99)),FIND(":",TRIM(MID(SUBSTITUTE($V78,";",REPT(" ",99)),100,99)))+1,99)),0) + IFERROR(VLOOKUP(LEFT(TRIM(MID(SUBSTITUTE($V78,";",REPT(" ",99)),199,99)),FIND(":",TRIM(MID(SUBSTITUTE($V78,";",REPT(" ",99)),199,99)))-1),Materiales!$A$2:$E$502,5,FALSE)*VALUE(MID(TRIM(MID(SUBSTITUTE($V78,";",REPT(" ",99)),199,99)),FIND(":",TRIM(MID(SUBSTITUTE($V78,";",REPT(" ",99)),199,99)))+1,99)),0) + IFERROR(VLOOKUP(LEFT(TRIM(MID(SUBSTITUTE($V78,";",REPT(" ",99)),298,99)),FIND(":",TRIM(MID(SUBSTITUTE($V78,";",REPT(" ",99)),298,99)))-1),Materiales!$A$2:$E$502,5,FALSE)*VALUE(MID(TRIM(MID(SUBSTITUTE($V78,";",REPT(" ",99)),298,99)),FIND(":",TRIM(MID(SUBSTITUTE($V78,";",REPT(" ",99)),298,99)))+1,99)),0) + IFERROR(VLOOKUP(LEFT(TRIM(MID(SUBSTITUTE($V78,";",REPT(" ",99)),397,99)),FIND(":",TRIM(MID(SUBSTITUTE($V78,";",REPT(" ",99)),397,99)))-1),Materiales!$A$2:$E$502,5,FALSE)*VALUE(MID(TRIM(MID(SUBSTITUTE($V78,";",REPT(" ",99)),397,99)),FIND(":",TRIM(MID(SUBSTITUTE($V78,";",REPT(" ",99)),397,99)))+1,99)),0) + IFERROR(VLOOKUP(LEFT(TRIM(MID(SUBSTITUTE($V78,";",REPT(" ",99)),496,99)),FIND(":",TRIM(MID(SUBSTITUTE($V78,";",REPT(" ",99)),496,99)))-1),Materiales!$A$2:$E$502,5,FALSE)*VALUE(MID(TRIM(MID(SUBSTITUTE($V78,";",REPT(" ",99)),496,99)),FIND(":",TRIM(MID(SUBSTITUTE($V78,";",REPT(" ",99)),496,99)))+1,99)),0) + IFERROR(VLOOKUP(LEFT(TRIM(MID(SUBSTITUTE($V78,";",REPT(" ",99)),595,99)),FIND(":",TRIM(MID(SUBSTITUTE($V78,";",REPT(" ",99)),595,99)))-1),Materiales!$A$2:$E$502,5,FALSE)*VALUE(MID(TRIM(MID(SUBSTITUTE($V78,";",REPT(" ",99)),595,99)),FIND(":",TRIM(MID(SUBSTITUTE($V78,";",REPT(" ",99)),595,99)))+1,99)),0) + IFERROR(VLOOKUP(LEFT(TRIM(MID(SUBSTITUTE($V78,";",REPT(" ",99)),694,99)),FIND(":",TRIM(MID(SUBSTITUTE($V78,";",REPT(" ",99)),694,99)))-1),Materiales!$A$2:$E$502,5,FALSE)*VALUE(MID(TRIM(MID(SUBSTITUTE($V78,";",REPT(" ",99)),694,99)),FIND(":",TRIM(MID(SUBSTITUTE($V78,";",REPT(" ",99)),694,99)))+1,99)),0) + IFERROR(VLOOKUP(LEFT(TRIM(MID(SUBSTITUTE($V78,";",REPT(" ",99)),793,99)),FIND(":",TRIM(MID(SUBSTITUTE($V78,";",REPT(" ",99)),793,99)))-1),Materiales!$A$2:$E$502,5,FALSE)*VALUE(MID(TRIM(MID(SUBSTITUTE($V78,";",REPT(" ",99)),793,99)),FIND(":",TRIM(MID(SUBSTITUTE($V78,";",REPT(" ",99)),793,99)))+1,99)),0) + IFERROR(VLOOKUP(LEFT(TRIM(MID(SUBSTITUTE($V78,";",REPT(" ",99)),892,99)),FIND(":",TRIM(MID(SUBSTITUTE($V78,";",REPT(" ",99)),892,99)))-1),Materiales!$A$2:$E$502,5,FALSE)*VALUE(MID(TRIM(MID(SUBSTITUTE($V78,";",REPT(" ",99)),892,99)),FIND(":",TRIM(MID(SUBSTITUTE($V78,";",REPT(" ",99)),892,99)))+1,99)),0)))</f>
        <v/>
      </c>
      <c r="X78" s="39" t="str">
        <f t="shared" si="13"/>
        <v/>
      </c>
      <c r="Y78" s="64"/>
      <c r="Z78" s="41"/>
      <c r="AA78" s="65"/>
      <c r="AB78" s="14"/>
      <c r="AC78" s="66"/>
      <c r="AD78" s="65"/>
      <c r="AE78" s="44">
        <f t="shared" si="17"/>
        <v>0</v>
      </c>
      <c r="AF78" s="45" t="str">
        <f t="shared" si="18"/>
        <v>#DIV/0!</v>
      </c>
    </row>
    <row r="79" ht="15.75" customHeight="1">
      <c r="A79" s="3"/>
      <c r="B79" s="3"/>
      <c r="C79" s="38"/>
      <c r="D79" s="38"/>
      <c r="E79" s="38"/>
      <c r="F79" s="14"/>
      <c r="G79" s="5" t="str">
        <f t="array" ref="G79">IF($A79="","",IFERROR($F79*(N($C79)*XLOOKUP($B79,Ceras!$A$2:$A$500,Ceras!$G$2:$G$500,0)+IF($D79="",0,N($E79)*XLOOKUP($D79,Ceras!$A$2:$A$500,Ceras!$G$2:$G$500,0))),"Revisar cera"))</f>
        <v/>
      </c>
      <c r="H79" s="5"/>
      <c r="I79" s="3"/>
      <c r="J79" s="14"/>
      <c r="K79" s="5" t="str">
        <f t="array" ref="K79">IF($A79="","",IFERROR($J79*XLOOKUP($I79,Pabilos!$A$2:$A$500,Pabilos!$H$2:$H$500,0),"Revisar pabilo"))</f>
        <v/>
      </c>
      <c r="L79" s="3"/>
      <c r="M79" s="14"/>
      <c r="N79" s="5" t="str">
        <f t="array" ref="N79">IF($A79="","",IFERROR($M79*XLOOKUP($L79,Esencias!$A$2:$A$501,Esencias!$G$2:$G$501,0),"Revisar esencia"))</f>
        <v/>
      </c>
      <c r="O79" s="3"/>
      <c r="P79" s="14"/>
      <c r="Q79" s="5" t="str">
        <f t="array" ref="Q79">IF($A79="","",IFERROR(IF($P79="",1,$P79)*XLOOKUP($O79,Colores!$A$2:$A$500,Colores!$H$2:$H$500,0),"Revisar color"))</f>
        <v/>
      </c>
      <c r="R79" s="3"/>
      <c r="S79" s="5" t="str">
        <f t="array" ref="S79">IF($A79="","",IF($R79="",0,IFERROR(VLOOKUP(LEFT(TRIM(MID(SUBSTITUTE($R79,";",REPT(" ",99)),1,99)),FIND(":",TRIM(MID(SUBSTITUTE($R79,";",REPT(" ",99)),1,99)))-1),Materiales!$A$2:$E$502,5,FALSE)*VALUE(MID(TRIM(MID(SUBSTITUTE($R79,";",REPT(" ",99)),1,99)),FIND(":",TRIM(MID(SUBSTITUTE($R79,";",REPT(" ",99)),1,99)))+1,99)),0) + IFERROR(VLOOKUP(LEFT(TRIM(MID(SUBSTITUTE($R79,";",REPT(" ",99)),100,99)),FIND(":",TRIM(MID(SUBSTITUTE($R79,";",REPT(" ",99)),100,99)))-1),Materiales!$A$2:$E$502,5,FALSE)*VALUE(MID(TRIM(MID(SUBSTITUTE($R79,";",REPT(" ",99)),100,99)),FIND(":",TRIM(MID(SUBSTITUTE($R79,";",REPT(" ",99)),100,99)))+1,99)),0) + IFERROR(VLOOKUP(LEFT(TRIM(MID(SUBSTITUTE($R79,";",REPT(" ",99)),199,99)),FIND(":",TRIM(MID(SUBSTITUTE($R79,";",REPT(" ",99)),199,99)))-1),Materiales!$A$2:$E$502,5,FALSE)*VALUE(MID(TRIM(MID(SUBSTITUTE($R79,";",REPT(" ",99)),199,99)),FIND(":",TRIM(MID(SUBSTITUTE($R79,";",REPT(" ",99)),199,99)))+1,99)),0) + IFERROR(VLOOKUP(LEFT(TRIM(MID(SUBSTITUTE($R79,";",REPT(" ",99)),298,99)),FIND(":",TRIM(MID(SUBSTITUTE($R79,";",REPT(" ",99)),298,99)))-1),Materiales!$A$2:$E$502,5,FALSE)*VALUE(MID(TRIM(MID(SUBSTITUTE($R79,";",REPT(" ",99)),298,99)),FIND(":",TRIM(MID(SUBSTITUTE($R79,";",REPT(" ",99)),298,99)))+1,99)),0) + IFERROR(VLOOKUP(LEFT(TRIM(MID(SUBSTITUTE($R79,";",REPT(" ",99)),397,99)),FIND(":",TRIM(MID(SUBSTITUTE($R79,";",REPT(" ",99)),397,99)))-1),Materiales!$A$2:$E$502,5,FALSE)*VALUE(MID(TRIM(MID(SUBSTITUTE($R79,";",REPT(" ",99)),397,99)),FIND(":",TRIM(MID(SUBSTITUTE($R79,";",REPT(" ",99)),397,99)))+1,99)),0) + IFERROR(VLOOKUP(LEFT(TRIM(MID(SUBSTITUTE($R79,";",REPT(" ",99)),496,99)),FIND(":",TRIM(MID(SUBSTITUTE($R79,";",REPT(" ",99)),496,99)))-1),Materiales!$A$2:$E$502,5,FALSE)*VALUE(MID(TRIM(MID(SUBSTITUTE($R79,";",REPT(" ",99)),496,99)),FIND(":",TRIM(MID(SUBSTITUTE($R79,";",REPT(" ",99)),496,99)))+1,99)),0) + IFERROR(VLOOKUP(LEFT(TRIM(MID(SUBSTITUTE($R79,";",REPT(" ",99)),595,99)),FIND(":",TRIM(MID(SUBSTITUTE($R79,";",REPT(" ",99)),595,99)))-1),Materiales!$A$2:$E$502,5,FALSE)*VALUE(MID(TRIM(MID(SUBSTITUTE($R79,";",REPT(" ",99)),595,99)),FIND(":",TRIM(MID(SUBSTITUTE($R79,";",REPT(" ",99)),595,99)))+1,99)),0) + IFERROR(VLOOKUP(LEFT(TRIM(MID(SUBSTITUTE($R79,";",REPT(" ",99)),694,99)),FIND(":",TRIM(MID(SUBSTITUTE($R79,";",REPT(" ",99)),694,99)))-1),Materiales!$A$2:$E$502,5,FALSE)*VALUE(MID(TRIM(MID(SUBSTITUTE($R79,";",REPT(" ",99)),694,99)),FIND(":",TRIM(MID(SUBSTITUTE($R79,";",REPT(" ",99)),694,99)))+1,99)),0) + IFERROR(VLOOKUP(LEFT(TRIM(MID(SUBSTITUTE($R79,";",REPT(" ",99)),793,99)),FIND(":",TRIM(MID(SUBSTITUTE($R79,";",REPT(" ",99)),793,99)))-1),Materiales!$A$2:$E$502,5,FALSE)*VALUE(MID(TRIM(MID(SUBSTITUTE($R79,";",REPT(" ",99)),793,99)),FIND(":",TRIM(MID(SUBSTITUTE($R79,";",REPT(" ",99)),793,99)))+1,99)),0) + IFERROR(VLOOKUP(LEFT(TRIM(MID(SUBSTITUTE($R79,";",REPT(" ",99)),892,99)),FIND(":",TRIM(MID(SUBSTITUTE($R79,";",REPT(" ",99)),892,99)))-1),Materiales!$A$2:$E$502,5,FALSE)*VALUE(MID(TRIM(MID(SUBSTITUTE($R79,";",REPT(" ",99)),892,99)),FIND(":",TRIM(MID(SUBSTITUTE($R79,";",REPT(" ",99)),892,99)))+1,99)),0)))</f>
        <v/>
      </c>
      <c r="T79" s="3"/>
      <c r="U79" s="5" t="str">
        <f t="array" ref="U79">IF($A79="","",IF($T79="",0,IFERROR(VLOOKUP(LEFT(TRIM(MID(SUBSTITUTE($T79,";",REPT(" ",99)),1,99)),FIND(":",TRIM(MID(SUBSTITUTE($T79,";",REPT(" ",99)),1,99)))-1),Materiales!$A$2:$E$502,5,FALSE)*VALUE(MID(TRIM(MID(SUBSTITUTE($T79,";",REPT(" ",99)),1,99)),FIND(":",TRIM(MID(SUBSTITUTE($T79,";",REPT(" ",99)),1,99)))+1,99)),0) + IFERROR(VLOOKUP(LEFT(TRIM(MID(SUBSTITUTE($T79,";",REPT(" ",99)),100,99)),FIND(":",TRIM(MID(SUBSTITUTE($T79,";",REPT(" ",99)),100,99)))-1),Materiales!$A$2:$E$502,5,FALSE)*VALUE(MID(TRIM(MID(SUBSTITUTE($T79,";",REPT(" ",99)),100,99)),FIND(":",TRIM(MID(SUBSTITUTE($T79,";",REPT(" ",99)),100,99)))+1,99)),0) + IFERROR(VLOOKUP(LEFT(TRIM(MID(SUBSTITUTE($T79,";",REPT(" ",99)),199,99)),FIND(":",TRIM(MID(SUBSTITUTE($T79,";",REPT(" ",99)),199,99)))-1),Materiales!$A$2:$E$502,5,FALSE)*VALUE(MID(TRIM(MID(SUBSTITUTE($T79,";",REPT(" ",99)),199,99)),FIND(":",TRIM(MID(SUBSTITUTE($T79,";",REPT(" ",99)),199,99)))+1,99)),0) + IFERROR(VLOOKUP(LEFT(TRIM(MID(SUBSTITUTE($T79,";",REPT(" ",99)),298,99)),FIND(":",TRIM(MID(SUBSTITUTE($T79,";",REPT(" ",99)),298,99)))-1),Materiales!$A$2:$E$502,5,FALSE)*VALUE(MID(TRIM(MID(SUBSTITUTE($T79,";",REPT(" ",99)),298,99)),FIND(":",TRIM(MID(SUBSTITUTE($T79,";",REPT(" ",99)),298,99)))+1,99)),0) + IFERROR(VLOOKUP(LEFT(TRIM(MID(SUBSTITUTE($T79,";",REPT(" ",99)),397,99)),FIND(":",TRIM(MID(SUBSTITUTE($T79,";",REPT(" ",99)),397,99)))-1),Materiales!$A$2:$E$502,5,FALSE)*VALUE(MID(TRIM(MID(SUBSTITUTE($T79,";",REPT(" ",99)),397,99)),FIND(":",TRIM(MID(SUBSTITUTE($T79,";",REPT(" ",99)),397,99)))+1,99)),0) + IFERROR(VLOOKUP(LEFT(TRIM(MID(SUBSTITUTE($T79,";",REPT(" ",99)),496,99)),FIND(":",TRIM(MID(SUBSTITUTE($T79,";",REPT(" ",99)),496,99)))-1),Materiales!$A$2:$E$502,5,FALSE)*VALUE(MID(TRIM(MID(SUBSTITUTE($T79,";",REPT(" ",99)),496,99)),FIND(":",TRIM(MID(SUBSTITUTE($T79,";",REPT(" ",99)),496,99)))+1,99)),0) + IFERROR(VLOOKUP(LEFT(TRIM(MID(SUBSTITUTE($T79,";",REPT(" ",99)),595,99)),FIND(":",TRIM(MID(SUBSTITUTE($T79,";",REPT(" ",99)),595,99)))-1),Materiales!$A$2:$E$502,5,FALSE)*VALUE(MID(TRIM(MID(SUBSTITUTE($T79,";",REPT(" ",99)),595,99)),FIND(":",TRIM(MID(SUBSTITUTE($T79,";",REPT(" ",99)),595,99)))+1,99)),0) + IFERROR(VLOOKUP(LEFT(TRIM(MID(SUBSTITUTE($T79,";",REPT(" ",99)),694,99)),FIND(":",TRIM(MID(SUBSTITUTE($T79,";",REPT(" ",99)),694,99)))-1),Materiales!$A$2:$E$502,5,FALSE)*VALUE(MID(TRIM(MID(SUBSTITUTE($T79,";",REPT(" ",99)),694,99)),FIND(":",TRIM(MID(SUBSTITUTE($T79,";",REPT(" ",99)),694,99)))+1,99)),0) + IFERROR(VLOOKUP(LEFT(TRIM(MID(SUBSTITUTE($T79,";",REPT(" ",99)),793,99)),FIND(":",TRIM(MID(SUBSTITUTE($T79,";",REPT(" ",99)),793,99)))-1),Materiales!$A$2:$E$502,5,FALSE)*VALUE(MID(TRIM(MID(SUBSTITUTE($T79,";",REPT(" ",99)),793,99)),FIND(":",TRIM(MID(SUBSTITUTE($T79,";",REPT(" ",99)),793,99)))+1,99)),0) + IFERROR(VLOOKUP(LEFT(TRIM(MID(SUBSTITUTE($T79,";",REPT(" ",99)),892,99)),FIND(":",TRIM(MID(SUBSTITUTE($T79,";",REPT(" ",99)),892,99)))-1),Materiales!$A$2:$E$502,5,FALSE)*VALUE(MID(TRIM(MID(SUBSTITUTE($T79,";",REPT(" ",99)),892,99)),FIND(":",TRIM(MID(SUBSTITUTE($T79,";",REPT(" ",99)),892,99)))+1,99)),0)))</f>
        <v/>
      </c>
      <c r="V79" s="3"/>
      <c r="W79" s="5" t="str">
        <f t="array" ref="W79">IF($A79="","",IF($V79="",0,IFERROR(VLOOKUP(LEFT(TRIM(MID(SUBSTITUTE($V79,";",REPT(" ",99)),1,99)),FIND(":",TRIM(MID(SUBSTITUTE($V79,";",REPT(" ",99)),1,99)))-1),Materiales!$A$2:$E$502,5,FALSE)*VALUE(MID(TRIM(MID(SUBSTITUTE($V79,";",REPT(" ",99)),1,99)),FIND(":",TRIM(MID(SUBSTITUTE($V79,";",REPT(" ",99)),1,99)))+1,99)),0) + IFERROR(VLOOKUP(LEFT(TRIM(MID(SUBSTITUTE($V79,";",REPT(" ",99)),100,99)),FIND(":",TRIM(MID(SUBSTITUTE($V79,";",REPT(" ",99)),100,99)))-1),Materiales!$A$2:$E$502,5,FALSE)*VALUE(MID(TRIM(MID(SUBSTITUTE($V79,";",REPT(" ",99)),100,99)),FIND(":",TRIM(MID(SUBSTITUTE($V79,";",REPT(" ",99)),100,99)))+1,99)),0) + IFERROR(VLOOKUP(LEFT(TRIM(MID(SUBSTITUTE($V79,";",REPT(" ",99)),199,99)),FIND(":",TRIM(MID(SUBSTITUTE($V79,";",REPT(" ",99)),199,99)))-1),Materiales!$A$2:$E$502,5,FALSE)*VALUE(MID(TRIM(MID(SUBSTITUTE($V79,";",REPT(" ",99)),199,99)),FIND(":",TRIM(MID(SUBSTITUTE($V79,";",REPT(" ",99)),199,99)))+1,99)),0) + IFERROR(VLOOKUP(LEFT(TRIM(MID(SUBSTITUTE($V79,";",REPT(" ",99)),298,99)),FIND(":",TRIM(MID(SUBSTITUTE($V79,";",REPT(" ",99)),298,99)))-1),Materiales!$A$2:$E$502,5,FALSE)*VALUE(MID(TRIM(MID(SUBSTITUTE($V79,";",REPT(" ",99)),298,99)),FIND(":",TRIM(MID(SUBSTITUTE($V79,";",REPT(" ",99)),298,99)))+1,99)),0) + IFERROR(VLOOKUP(LEFT(TRIM(MID(SUBSTITUTE($V79,";",REPT(" ",99)),397,99)),FIND(":",TRIM(MID(SUBSTITUTE($V79,";",REPT(" ",99)),397,99)))-1),Materiales!$A$2:$E$502,5,FALSE)*VALUE(MID(TRIM(MID(SUBSTITUTE($V79,";",REPT(" ",99)),397,99)),FIND(":",TRIM(MID(SUBSTITUTE($V79,";",REPT(" ",99)),397,99)))+1,99)),0) + IFERROR(VLOOKUP(LEFT(TRIM(MID(SUBSTITUTE($V79,";",REPT(" ",99)),496,99)),FIND(":",TRIM(MID(SUBSTITUTE($V79,";",REPT(" ",99)),496,99)))-1),Materiales!$A$2:$E$502,5,FALSE)*VALUE(MID(TRIM(MID(SUBSTITUTE($V79,";",REPT(" ",99)),496,99)),FIND(":",TRIM(MID(SUBSTITUTE($V79,";",REPT(" ",99)),496,99)))+1,99)),0) + IFERROR(VLOOKUP(LEFT(TRIM(MID(SUBSTITUTE($V79,";",REPT(" ",99)),595,99)),FIND(":",TRIM(MID(SUBSTITUTE($V79,";",REPT(" ",99)),595,99)))-1),Materiales!$A$2:$E$502,5,FALSE)*VALUE(MID(TRIM(MID(SUBSTITUTE($V79,";",REPT(" ",99)),595,99)),FIND(":",TRIM(MID(SUBSTITUTE($V79,";",REPT(" ",99)),595,99)))+1,99)),0) + IFERROR(VLOOKUP(LEFT(TRIM(MID(SUBSTITUTE($V79,";",REPT(" ",99)),694,99)),FIND(":",TRIM(MID(SUBSTITUTE($V79,";",REPT(" ",99)),694,99)))-1),Materiales!$A$2:$E$502,5,FALSE)*VALUE(MID(TRIM(MID(SUBSTITUTE($V79,";",REPT(" ",99)),694,99)),FIND(":",TRIM(MID(SUBSTITUTE($V79,";",REPT(" ",99)),694,99)))+1,99)),0) + IFERROR(VLOOKUP(LEFT(TRIM(MID(SUBSTITUTE($V79,";",REPT(" ",99)),793,99)),FIND(":",TRIM(MID(SUBSTITUTE($V79,";",REPT(" ",99)),793,99)))-1),Materiales!$A$2:$E$502,5,FALSE)*VALUE(MID(TRIM(MID(SUBSTITUTE($V79,";",REPT(" ",99)),793,99)),FIND(":",TRIM(MID(SUBSTITUTE($V79,";",REPT(" ",99)),793,99)))+1,99)),0) + IFERROR(VLOOKUP(LEFT(TRIM(MID(SUBSTITUTE($V79,";",REPT(" ",99)),892,99)),FIND(":",TRIM(MID(SUBSTITUTE($V79,";",REPT(" ",99)),892,99)))-1),Materiales!$A$2:$E$502,5,FALSE)*VALUE(MID(TRIM(MID(SUBSTITUTE($V79,";",REPT(" ",99)),892,99)),FIND(":",TRIM(MID(SUBSTITUTE($V79,";",REPT(" ",99)),892,99)))+1,99)),0)))</f>
        <v/>
      </c>
      <c r="X79" s="39" t="str">
        <f t="shared" si="13"/>
        <v/>
      </c>
      <c r="Y79" s="64"/>
      <c r="Z79" s="41"/>
      <c r="AA79" s="65"/>
      <c r="AB79" s="14"/>
      <c r="AC79" s="66"/>
      <c r="AD79" s="65"/>
      <c r="AE79" s="44">
        <f t="shared" si="17"/>
        <v>0</v>
      </c>
      <c r="AF79" s="45" t="str">
        <f t="shared" si="18"/>
        <v>#DIV/0!</v>
      </c>
    </row>
    <row r="80" ht="15.75" customHeight="1">
      <c r="A80" s="3"/>
      <c r="B80" s="3"/>
      <c r="C80" s="38"/>
      <c r="D80" s="38"/>
      <c r="E80" s="38"/>
      <c r="F80" s="14"/>
      <c r="G80" s="5" t="str">
        <f t="array" ref="G80">IF($A80="","",IFERROR($F80*(N($C80)*XLOOKUP($B80,Ceras!$A$2:$A$500,Ceras!$G$2:$G$500,0)+IF($D80="",0,N($E80)*XLOOKUP($D80,Ceras!$A$2:$A$500,Ceras!$G$2:$G$500,0))),"Revisar cera"))</f>
        <v/>
      </c>
      <c r="H80" s="5"/>
      <c r="I80" s="3"/>
      <c r="J80" s="14"/>
      <c r="K80" s="5" t="str">
        <f t="array" ref="K80">IF($A80="","",IFERROR($J80*XLOOKUP($I80,Pabilos!$A$2:$A$500,Pabilos!$H$2:$H$500,0),"Revisar pabilo"))</f>
        <v/>
      </c>
      <c r="L80" s="3"/>
      <c r="M80" s="14"/>
      <c r="N80" s="5" t="str">
        <f t="array" ref="N80">IF($A80="","",IFERROR($M80*XLOOKUP($L80,Esencias!$A$2:$A$501,Esencias!$G$2:$G$501,0),"Revisar esencia"))</f>
        <v/>
      </c>
      <c r="O80" s="3"/>
      <c r="P80" s="14"/>
      <c r="Q80" s="5" t="str">
        <f t="array" ref="Q80">IF($A80="","",IFERROR(IF($P80="",1,$P80)*XLOOKUP($O80,Colores!$A$2:$A$500,Colores!$H$2:$H$500,0),"Revisar color"))</f>
        <v/>
      </c>
      <c r="R80" s="3"/>
      <c r="S80" s="5" t="str">
        <f t="array" ref="S80">IF($A80="","",IF($R80="",0,IFERROR(VLOOKUP(LEFT(TRIM(MID(SUBSTITUTE($R80,";",REPT(" ",99)),1,99)),FIND(":",TRIM(MID(SUBSTITUTE($R80,";",REPT(" ",99)),1,99)))-1),Materiales!$A$2:$E$502,5,FALSE)*VALUE(MID(TRIM(MID(SUBSTITUTE($R80,";",REPT(" ",99)),1,99)),FIND(":",TRIM(MID(SUBSTITUTE($R80,";",REPT(" ",99)),1,99)))+1,99)),0) + IFERROR(VLOOKUP(LEFT(TRIM(MID(SUBSTITUTE($R80,";",REPT(" ",99)),100,99)),FIND(":",TRIM(MID(SUBSTITUTE($R80,";",REPT(" ",99)),100,99)))-1),Materiales!$A$2:$E$502,5,FALSE)*VALUE(MID(TRIM(MID(SUBSTITUTE($R80,";",REPT(" ",99)),100,99)),FIND(":",TRIM(MID(SUBSTITUTE($R80,";",REPT(" ",99)),100,99)))+1,99)),0) + IFERROR(VLOOKUP(LEFT(TRIM(MID(SUBSTITUTE($R80,";",REPT(" ",99)),199,99)),FIND(":",TRIM(MID(SUBSTITUTE($R80,";",REPT(" ",99)),199,99)))-1),Materiales!$A$2:$E$502,5,FALSE)*VALUE(MID(TRIM(MID(SUBSTITUTE($R80,";",REPT(" ",99)),199,99)),FIND(":",TRIM(MID(SUBSTITUTE($R80,";",REPT(" ",99)),199,99)))+1,99)),0) + IFERROR(VLOOKUP(LEFT(TRIM(MID(SUBSTITUTE($R80,";",REPT(" ",99)),298,99)),FIND(":",TRIM(MID(SUBSTITUTE($R80,";",REPT(" ",99)),298,99)))-1),Materiales!$A$2:$E$502,5,FALSE)*VALUE(MID(TRIM(MID(SUBSTITUTE($R80,";",REPT(" ",99)),298,99)),FIND(":",TRIM(MID(SUBSTITUTE($R80,";",REPT(" ",99)),298,99)))+1,99)),0) + IFERROR(VLOOKUP(LEFT(TRIM(MID(SUBSTITUTE($R80,";",REPT(" ",99)),397,99)),FIND(":",TRIM(MID(SUBSTITUTE($R80,";",REPT(" ",99)),397,99)))-1),Materiales!$A$2:$E$502,5,FALSE)*VALUE(MID(TRIM(MID(SUBSTITUTE($R80,";",REPT(" ",99)),397,99)),FIND(":",TRIM(MID(SUBSTITUTE($R80,";",REPT(" ",99)),397,99)))+1,99)),0) + IFERROR(VLOOKUP(LEFT(TRIM(MID(SUBSTITUTE($R80,";",REPT(" ",99)),496,99)),FIND(":",TRIM(MID(SUBSTITUTE($R80,";",REPT(" ",99)),496,99)))-1),Materiales!$A$2:$E$502,5,FALSE)*VALUE(MID(TRIM(MID(SUBSTITUTE($R80,";",REPT(" ",99)),496,99)),FIND(":",TRIM(MID(SUBSTITUTE($R80,";",REPT(" ",99)),496,99)))+1,99)),0) + IFERROR(VLOOKUP(LEFT(TRIM(MID(SUBSTITUTE($R80,";",REPT(" ",99)),595,99)),FIND(":",TRIM(MID(SUBSTITUTE($R80,";",REPT(" ",99)),595,99)))-1),Materiales!$A$2:$E$502,5,FALSE)*VALUE(MID(TRIM(MID(SUBSTITUTE($R80,";",REPT(" ",99)),595,99)),FIND(":",TRIM(MID(SUBSTITUTE($R80,";",REPT(" ",99)),595,99)))+1,99)),0) + IFERROR(VLOOKUP(LEFT(TRIM(MID(SUBSTITUTE($R80,";",REPT(" ",99)),694,99)),FIND(":",TRIM(MID(SUBSTITUTE($R80,";",REPT(" ",99)),694,99)))-1),Materiales!$A$2:$E$502,5,FALSE)*VALUE(MID(TRIM(MID(SUBSTITUTE($R80,";",REPT(" ",99)),694,99)),FIND(":",TRIM(MID(SUBSTITUTE($R80,";",REPT(" ",99)),694,99)))+1,99)),0) + IFERROR(VLOOKUP(LEFT(TRIM(MID(SUBSTITUTE($R80,";",REPT(" ",99)),793,99)),FIND(":",TRIM(MID(SUBSTITUTE($R80,";",REPT(" ",99)),793,99)))-1),Materiales!$A$2:$E$502,5,FALSE)*VALUE(MID(TRIM(MID(SUBSTITUTE($R80,";",REPT(" ",99)),793,99)),FIND(":",TRIM(MID(SUBSTITUTE($R80,";",REPT(" ",99)),793,99)))+1,99)),0) + IFERROR(VLOOKUP(LEFT(TRIM(MID(SUBSTITUTE($R80,";",REPT(" ",99)),892,99)),FIND(":",TRIM(MID(SUBSTITUTE($R80,";",REPT(" ",99)),892,99)))-1),Materiales!$A$2:$E$502,5,FALSE)*VALUE(MID(TRIM(MID(SUBSTITUTE($R80,";",REPT(" ",99)),892,99)),FIND(":",TRIM(MID(SUBSTITUTE($R80,";",REPT(" ",99)),892,99)))+1,99)),0)))</f>
        <v/>
      </c>
      <c r="T80" s="3"/>
      <c r="U80" s="5" t="str">
        <f t="array" ref="U80">IF($A80="","",IF($T80="",0,IFERROR(VLOOKUP(LEFT(TRIM(MID(SUBSTITUTE($T80,";",REPT(" ",99)),1,99)),FIND(":",TRIM(MID(SUBSTITUTE($T80,";",REPT(" ",99)),1,99)))-1),Materiales!$A$2:$E$502,5,FALSE)*VALUE(MID(TRIM(MID(SUBSTITUTE($T80,";",REPT(" ",99)),1,99)),FIND(":",TRIM(MID(SUBSTITUTE($T80,";",REPT(" ",99)),1,99)))+1,99)),0) + IFERROR(VLOOKUP(LEFT(TRIM(MID(SUBSTITUTE($T80,";",REPT(" ",99)),100,99)),FIND(":",TRIM(MID(SUBSTITUTE($T80,";",REPT(" ",99)),100,99)))-1),Materiales!$A$2:$E$502,5,FALSE)*VALUE(MID(TRIM(MID(SUBSTITUTE($T80,";",REPT(" ",99)),100,99)),FIND(":",TRIM(MID(SUBSTITUTE($T80,";",REPT(" ",99)),100,99)))+1,99)),0) + IFERROR(VLOOKUP(LEFT(TRIM(MID(SUBSTITUTE($T80,";",REPT(" ",99)),199,99)),FIND(":",TRIM(MID(SUBSTITUTE($T80,";",REPT(" ",99)),199,99)))-1),Materiales!$A$2:$E$502,5,FALSE)*VALUE(MID(TRIM(MID(SUBSTITUTE($T80,";",REPT(" ",99)),199,99)),FIND(":",TRIM(MID(SUBSTITUTE($T80,";",REPT(" ",99)),199,99)))+1,99)),0) + IFERROR(VLOOKUP(LEFT(TRIM(MID(SUBSTITUTE($T80,";",REPT(" ",99)),298,99)),FIND(":",TRIM(MID(SUBSTITUTE($T80,";",REPT(" ",99)),298,99)))-1),Materiales!$A$2:$E$502,5,FALSE)*VALUE(MID(TRIM(MID(SUBSTITUTE($T80,";",REPT(" ",99)),298,99)),FIND(":",TRIM(MID(SUBSTITUTE($T80,";",REPT(" ",99)),298,99)))+1,99)),0) + IFERROR(VLOOKUP(LEFT(TRIM(MID(SUBSTITUTE($T80,";",REPT(" ",99)),397,99)),FIND(":",TRIM(MID(SUBSTITUTE($T80,";",REPT(" ",99)),397,99)))-1),Materiales!$A$2:$E$502,5,FALSE)*VALUE(MID(TRIM(MID(SUBSTITUTE($T80,";",REPT(" ",99)),397,99)),FIND(":",TRIM(MID(SUBSTITUTE($T80,";",REPT(" ",99)),397,99)))+1,99)),0) + IFERROR(VLOOKUP(LEFT(TRIM(MID(SUBSTITUTE($T80,";",REPT(" ",99)),496,99)),FIND(":",TRIM(MID(SUBSTITUTE($T80,";",REPT(" ",99)),496,99)))-1),Materiales!$A$2:$E$502,5,FALSE)*VALUE(MID(TRIM(MID(SUBSTITUTE($T80,";",REPT(" ",99)),496,99)),FIND(":",TRIM(MID(SUBSTITUTE($T80,";",REPT(" ",99)),496,99)))+1,99)),0) + IFERROR(VLOOKUP(LEFT(TRIM(MID(SUBSTITUTE($T80,";",REPT(" ",99)),595,99)),FIND(":",TRIM(MID(SUBSTITUTE($T80,";",REPT(" ",99)),595,99)))-1),Materiales!$A$2:$E$502,5,FALSE)*VALUE(MID(TRIM(MID(SUBSTITUTE($T80,";",REPT(" ",99)),595,99)),FIND(":",TRIM(MID(SUBSTITUTE($T80,";",REPT(" ",99)),595,99)))+1,99)),0) + IFERROR(VLOOKUP(LEFT(TRIM(MID(SUBSTITUTE($T80,";",REPT(" ",99)),694,99)),FIND(":",TRIM(MID(SUBSTITUTE($T80,";",REPT(" ",99)),694,99)))-1),Materiales!$A$2:$E$502,5,FALSE)*VALUE(MID(TRIM(MID(SUBSTITUTE($T80,";",REPT(" ",99)),694,99)),FIND(":",TRIM(MID(SUBSTITUTE($T80,";",REPT(" ",99)),694,99)))+1,99)),0) + IFERROR(VLOOKUP(LEFT(TRIM(MID(SUBSTITUTE($T80,";",REPT(" ",99)),793,99)),FIND(":",TRIM(MID(SUBSTITUTE($T80,";",REPT(" ",99)),793,99)))-1),Materiales!$A$2:$E$502,5,FALSE)*VALUE(MID(TRIM(MID(SUBSTITUTE($T80,";",REPT(" ",99)),793,99)),FIND(":",TRIM(MID(SUBSTITUTE($T80,";",REPT(" ",99)),793,99)))+1,99)),0) + IFERROR(VLOOKUP(LEFT(TRIM(MID(SUBSTITUTE($T80,";",REPT(" ",99)),892,99)),FIND(":",TRIM(MID(SUBSTITUTE($T80,";",REPT(" ",99)),892,99)))-1),Materiales!$A$2:$E$502,5,FALSE)*VALUE(MID(TRIM(MID(SUBSTITUTE($T80,";",REPT(" ",99)),892,99)),FIND(":",TRIM(MID(SUBSTITUTE($T80,";",REPT(" ",99)),892,99)))+1,99)),0)))</f>
        <v/>
      </c>
      <c r="V80" s="3"/>
      <c r="W80" s="5" t="str">
        <f t="array" ref="W80">IF($A80="","",IF($V80="",0,IFERROR(VLOOKUP(LEFT(TRIM(MID(SUBSTITUTE($V80,";",REPT(" ",99)),1,99)),FIND(":",TRIM(MID(SUBSTITUTE($V80,";",REPT(" ",99)),1,99)))-1),Materiales!$A$2:$E$502,5,FALSE)*VALUE(MID(TRIM(MID(SUBSTITUTE($V80,";",REPT(" ",99)),1,99)),FIND(":",TRIM(MID(SUBSTITUTE($V80,";",REPT(" ",99)),1,99)))+1,99)),0) + IFERROR(VLOOKUP(LEFT(TRIM(MID(SUBSTITUTE($V80,";",REPT(" ",99)),100,99)),FIND(":",TRIM(MID(SUBSTITUTE($V80,";",REPT(" ",99)),100,99)))-1),Materiales!$A$2:$E$502,5,FALSE)*VALUE(MID(TRIM(MID(SUBSTITUTE($V80,";",REPT(" ",99)),100,99)),FIND(":",TRIM(MID(SUBSTITUTE($V80,";",REPT(" ",99)),100,99)))+1,99)),0) + IFERROR(VLOOKUP(LEFT(TRIM(MID(SUBSTITUTE($V80,";",REPT(" ",99)),199,99)),FIND(":",TRIM(MID(SUBSTITUTE($V80,";",REPT(" ",99)),199,99)))-1),Materiales!$A$2:$E$502,5,FALSE)*VALUE(MID(TRIM(MID(SUBSTITUTE($V80,";",REPT(" ",99)),199,99)),FIND(":",TRIM(MID(SUBSTITUTE($V80,";",REPT(" ",99)),199,99)))+1,99)),0) + IFERROR(VLOOKUP(LEFT(TRIM(MID(SUBSTITUTE($V80,";",REPT(" ",99)),298,99)),FIND(":",TRIM(MID(SUBSTITUTE($V80,";",REPT(" ",99)),298,99)))-1),Materiales!$A$2:$E$502,5,FALSE)*VALUE(MID(TRIM(MID(SUBSTITUTE($V80,";",REPT(" ",99)),298,99)),FIND(":",TRIM(MID(SUBSTITUTE($V80,";",REPT(" ",99)),298,99)))+1,99)),0) + IFERROR(VLOOKUP(LEFT(TRIM(MID(SUBSTITUTE($V80,";",REPT(" ",99)),397,99)),FIND(":",TRIM(MID(SUBSTITUTE($V80,";",REPT(" ",99)),397,99)))-1),Materiales!$A$2:$E$502,5,FALSE)*VALUE(MID(TRIM(MID(SUBSTITUTE($V80,";",REPT(" ",99)),397,99)),FIND(":",TRIM(MID(SUBSTITUTE($V80,";",REPT(" ",99)),397,99)))+1,99)),0) + IFERROR(VLOOKUP(LEFT(TRIM(MID(SUBSTITUTE($V80,";",REPT(" ",99)),496,99)),FIND(":",TRIM(MID(SUBSTITUTE($V80,";",REPT(" ",99)),496,99)))-1),Materiales!$A$2:$E$502,5,FALSE)*VALUE(MID(TRIM(MID(SUBSTITUTE($V80,";",REPT(" ",99)),496,99)),FIND(":",TRIM(MID(SUBSTITUTE($V80,";",REPT(" ",99)),496,99)))+1,99)),0) + IFERROR(VLOOKUP(LEFT(TRIM(MID(SUBSTITUTE($V80,";",REPT(" ",99)),595,99)),FIND(":",TRIM(MID(SUBSTITUTE($V80,";",REPT(" ",99)),595,99)))-1),Materiales!$A$2:$E$502,5,FALSE)*VALUE(MID(TRIM(MID(SUBSTITUTE($V80,";",REPT(" ",99)),595,99)),FIND(":",TRIM(MID(SUBSTITUTE($V80,";",REPT(" ",99)),595,99)))+1,99)),0) + IFERROR(VLOOKUP(LEFT(TRIM(MID(SUBSTITUTE($V80,";",REPT(" ",99)),694,99)),FIND(":",TRIM(MID(SUBSTITUTE($V80,";",REPT(" ",99)),694,99)))-1),Materiales!$A$2:$E$502,5,FALSE)*VALUE(MID(TRIM(MID(SUBSTITUTE($V80,";",REPT(" ",99)),694,99)),FIND(":",TRIM(MID(SUBSTITUTE($V80,";",REPT(" ",99)),694,99)))+1,99)),0) + IFERROR(VLOOKUP(LEFT(TRIM(MID(SUBSTITUTE($V80,";",REPT(" ",99)),793,99)),FIND(":",TRIM(MID(SUBSTITUTE($V80,";",REPT(" ",99)),793,99)))-1),Materiales!$A$2:$E$502,5,FALSE)*VALUE(MID(TRIM(MID(SUBSTITUTE($V80,";",REPT(" ",99)),793,99)),FIND(":",TRIM(MID(SUBSTITUTE($V80,";",REPT(" ",99)),793,99)))+1,99)),0) + IFERROR(VLOOKUP(LEFT(TRIM(MID(SUBSTITUTE($V80,";",REPT(" ",99)),892,99)),FIND(":",TRIM(MID(SUBSTITUTE($V80,";",REPT(" ",99)),892,99)))-1),Materiales!$A$2:$E$502,5,FALSE)*VALUE(MID(TRIM(MID(SUBSTITUTE($V80,";",REPT(" ",99)),892,99)),FIND(":",TRIM(MID(SUBSTITUTE($V80,";",REPT(" ",99)),892,99)))+1,99)),0)))</f>
        <v/>
      </c>
      <c r="X80" s="39" t="str">
        <f t="shared" si="13"/>
        <v/>
      </c>
      <c r="Y80" s="64"/>
      <c r="Z80" s="41"/>
      <c r="AA80" s="65"/>
      <c r="AB80" s="14"/>
      <c r="AC80" s="66"/>
      <c r="AD80" s="65"/>
      <c r="AE80" s="44">
        <f t="shared" si="17"/>
        <v>0</v>
      </c>
      <c r="AF80" s="45" t="str">
        <f t="shared" si="18"/>
        <v>#DIV/0!</v>
      </c>
    </row>
    <row r="81" ht="15.75" customHeight="1">
      <c r="A81" s="3"/>
      <c r="B81" s="3"/>
      <c r="C81" s="38"/>
      <c r="D81" s="38"/>
      <c r="E81" s="38"/>
      <c r="F81" s="14"/>
      <c r="G81" s="5" t="str">
        <f t="array" ref="G81">IF($A81="","",IFERROR($F81*(N($C81)*XLOOKUP($B81,Ceras!$A$2:$A$500,Ceras!$G$2:$G$500,0)+IF($D81="",0,N($E81)*XLOOKUP($D81,Ceras!$A$2:$A$500,Ceras!$G$2:$G$500,0))),"Revisar cera"))</f>
        <v/>
      </c>
      <c r="H81" s="5"/>
      <c r="I81" s="3"/>
      <c r="J81" s="14"/>
      <c r="K81" s="5" t="str">
        <f t="array" ref="K81">IF($A81="","",IFERROR($J81*XLOOKUP($I81,Pabilos!$A$2:$A$500,Pabilos!$H$2:$H$500,0),"Revisar pabilo"))</f>
        <v/>
      </c>
      <c r="L81" s="3"/>
      <c r="M81" s="14"/>
      <c r="N81" s="5" t="str">
        <f t="array" ref="N81">IF($A81="","",IFERROR($M81*XLOOKUP($L81,Esencias!$A$2:$A$501,Esencias!$G$2:$G$501,0),"Revisar esencia"))</f>
        <v/>
      </c>
      <c r="O81" s="3"/>
      <c r="P81" s="14"/>
      <c r="Q81" s="5" t="str">
        <f t="array" ref="Q81">IF($A81="","",IFERROR(IF($P81="",1,$P81)*XLOOKUP($O81,Colores!$A$2:$A$500,Colores!$H$2:$H$500,0),"Revisar color"))</f>
        <v/>
      </c>
      <c r="R81" s="3"/>
      <c r="S81" s="5" t="str">
        <f t="array" ref="S81">IF($A81="","",IF($R81="",0,IFERROR(VLOOKUP(LEFT(TRIM(MID(SUBSTITUTE($R81,";",REPT(" ",99)),1,99)),FIND(":",TRIM(MID(SUBSTITUTE($R81,";",REPT(" ",99)),1,99)))-1),Materiales!$A$2:$E$502,5,FALSE)*VALUE(MID(TRIM(MID(SUBSTITUTE($R81,";",REPT(" ",99)),1,99)),FIND(":",TRIM(MID(SUBSTITUTE($R81,";",REPT(" ",99)),1,99)))+1,99)),0) + IFERROR(VLOOKUP(LEFT(TRIM(MID(SUBSTITUTE($R81,";",REPT(" ",99)),100,99)),FIND(":",TRIM(MID(SUBSTITUTE($R81,";",REPT(" ",99)),100,99)))-1),Materiales!$A$2:$E$502,5,FALSE)*VALUE(MID(TRIM(MID(SUBSTITUTE($R81,";",REPT(" ",99)),100,99)),FIND(":",TRIM(MID(SUBSTITUTE($R81,";",REPT(" ",99)),100,99)))+1,99)),0) + IFERROR(VLOOKUP(LEFT(TRIM(MID(SUBSTITUTE($R81,";",REPT(" ",99)),199,99)),FIND(":",TRIM(MID(SUBSTITUTE($R81,";",REPT(" ",99)),199,99)))-1),Materiales!$A$2:$E$502,5,FALSE)*VALUE(MID(TRIM(MID(SUBSTITUTE($R81,";",REPT(" ",99)),199,99)),FIND(":",TRIM(MID(SUBSTITUTE($R81,";",REPT(" ",99)),199,99)))+1,99)),0) + IFERROR(VLOOKUP(LEFT(TRIM(MID(SUBSTITUTE($R81,";",REPT(" ",99)),298,99)),FIND(":",TRIM(MID(SUBSTITUTE($R81,";",REPT(" ",99)),298,99)))-1),Materiales!$A$2:$E$502,5,FALSE)*VALUE(MID(TRIM(MID(SUBSTITUTE($R81,";",REPT(" ",99)),298,99)),FIND(":",TRIM(MID(SUBSTITUTE($R81,";",REPT(" ",99)),298,99)))+1,99)),0) + IFERROR(VLOOKUP(LEFT(TRIM(MID(SUBSTITUTE($R81,";",REPT(" ",99)),397,99)),FIND(":",TRIM(MID(SUBSTITUTE($R81,";",REPT(" ",99)),397,99)))-1),Materiales!$A$2:$E$502,5,FALSE)*VALUE(MID(TRIM(MID(SUBSTITUTE($R81,";",REPT(" ",99)),397,99)),FIND(":",TRIM(MID(SUBSTITUTE($R81,";",REPT(" ",99)),397,99)))+1,99)),0) + IFERROR(VLOOKUP(LEFT(TRIM(MID(SUBSTITUTE($R81,";",REPT(" ",99)),496,99)),FIND(":",TRIM(MID(SUBSTITUTE($R81,";",REPT(" ",99)),496,99)))-1),Materiales!$A$2:$E$502,5,FALSE)*VALUE(MID(TRIM(MID(SUBSTITUTE($R81,";",REPT(" ",99)),496,99)),FIND(":",TRIM(MID(SUBSTITUTE($R81,";",REPT(" ",99)),496,99)))+1,99)),0) + IFERROR(VLOOKUP(LEFT(TRIM(MID(SUBSTITUTE($R81,";",REPT(" ",99)),595,99)),FIND(":",TRIM(MID(SUBSTITUTE($R81,";",REPT(" ",99)),595,99)))-1),Materiales!$A$2:$E$502,5,FALSE)*VALUE(MID(TRIM(MID(SUBSTITUTE($R81,";",REPT(" ",99)),595,99)),FIND(":",TRIM(MID(SUBSTITUTE($R81,";",REPT(" ",99)),595,99)))+1,99)),0) + IFERROR(VLOOKUP(LEFT(TRIM(MID(SUBSTITUTE($R81,";",REPT(" ",99)),694,99)),FIND(":",TRIM(MID(SUBSTITUTE($R81,";",REPT(" ",99)),694,99)))-1),Materiales!$A$2:$E$502,5,FALSE)*VALUE(MID(TRIM(MID(SUBSTITUTE($R81,";",REPT(" ",99)),694,99)),FIND(":",TRIM(MID(SUBSTITUTE($R81,";",REPT(" ",99)),694,99)))+1,99)),0) + IFERROR(VLOOKUP(LEFT(TRIM(MID(SUBSTITUTE($R81,";",REPT(" ",99)),793,99)),FIND(":",TRIM(MID(SUBSTITUTE($R81,";",REPT(" ",99)),793,99)))-1),Materiales!$A$2:$E$502,5,FALSE)*VALUE(MID(TRIM(MID(SUBSTITUTE($R81,";",REPT(" ",99)),793,99)),FIND(":",TRIM(MID(SUBSTITUTE($R81,";",REPT(" ",99)),793,99)))+1,99)),0) + IFERROR(VLOOKUP(LEFT(TRIM(MID(SUBSTITUTE($R81,";",REPT(" ",99)),892,99)),FIND(":",TRIM(MID(SUBSTITUTE($R81,";",REPT(" ",99)),892,99)))-1),Materiales!$A$2:$E$502,5,FALSE)*VALUE(MID(TRIM(MID(SUBSTITUTE($R81,";",REPT(" ",99)),892,99)),FIND(":",TRIM(MID(SUBSTITUTE($R81,";",REPT(" ",99)),892,99)))+1,99)),0)))</f>
        <v/>
      </c>
      <c r="T81" s="3"/>
      <c r="U81" s="5" t="str">
        <f t="array" ref="U81">IF($A81="","",IF($T81="",0,IFERROR(VLOOKUP(LEFT(TRIM(MID(SUBSTITUTE($T81,";",REPT(" ",99)),1,99)),FIND(":",TRIM(MID(SUBSTITUTE($T81,";",REPT(" ",99)),1,99)))-1),Materiales!$A$2:$E$502,5,FALSE)*VALUE(MID(TRIM(MID(SUBSTITUTE($T81,";",REPT(" ",99)),1,99)),FIND(":",TRIM(MID(SUBSTITUTE($T81,";",REPT(" ",99)),1,99)))+1,99)),0) + IFERROR(VLOOKUP(LEFT(TRIM(MID(SUBSTITUTE($T81,";",REPT(" ",99)),100,99)),FIND(":",TRIM(MID(SUBSTITUTE($T81,";",REPT(" ",99)),100,99)))-1),Materiales!$A$2:$E$502,5,FALSE)*VALUE(MID(TRIM(MID(SUBSTITUTE($T81,";",REPT(" ",99)),100,99)),FIND(":",TRIM(MID(SUBSTITUTE($T81,";",REPT(" ",99)),100,99)))+1,99)),0) + IFERROR(VLOOKUP(LEFT(TRIM(MID(SUBSTITUTE($T81,";",REPT(" ",99)),199,99)),FIND(":",TRIM(MID(SUBSTITUTE($T81,";",REPT(" ",99)),199,99)))-1),Materiales!$A$2:$E$502,5,FALSE)*VALUE(MID(TRIM(MID(SUBSTITUTE($T81,";",REPT(" ",99)),199,99)),FIND(":",TRIM(MID(SUBSTITUTE($T81,";",REPT(" ",99)),199,99)))+1,99)),0) + IFERROR(VLOOKUP(LEFT(TRIM(MID(SUBSTITUTE($T81,";",REPT(" ",99)),298,99)),FIND(":",TRIM(MID(SUBSTITUTE($T81,";",REPT(" ",99)),298,99)))-1),Materiales!$A$2:$E$502,5,FALSE)*VALUE(MID(TRIM(MID(SUBSTITUTE($T81,";",REPT(" ",99)),298,99)),FIND(":",TRIM(MID(SUBSTITUTE($T81,";",REPT(" ",99)),298,99)))+1,99)),0) + IFERROR(VLOOKUP(LEFT(TRIM(MID(SUBSTITUTE($T81,";",REPT(" ",99)),397,99)),FIND(":",TRIM(MID(SUBSTITUTE($T81,";",REPT(" ",99)),397,99)))-1),Materiales!$A$2:$E$502,5,FALSE)*VALUE(MID(TRIM(MID(SUBSTITUTE($T81,";",REPT(" ",99)),397,99)),FIND(":",TRIM(MID(SUBSTITUTE($T81,";",REPT(" ",99)),397,99)))+1,99)),0) + IFERROR(VLOOKUP(LEFT(TRIM(MID(SUBSTITUTE($T81,";",REPT(" ",99)),496,99)),FIND(":",TRIM(MID(SUBSTITUTE($T81,";",REPT(" ",99)),496,99)))-1),Materiales!$A$2:$E$502,5,FALSE)*VALUE(MID(TRIM(MID(SUBSTITUTE($T81,";",REPT(" ",99)),496,99)),FIND(":",TRIM(MID(SUBSTITUTE($T81,";",REPT(" ",99)),496,99)))+1,99)),0) + IFERROR(VLOOKUP(LEFT(TRIM(MID(SUBSTITUTE($T81,";",REPT(" ",99)),595,99)),FIND(":",TRIM(MID(SUBSTITUTE($T81,";",REPT(" ",99)),595,99)))-1),Materiales!$A$2:$E$502,5,FALSE)*VALUE(MID(TRIM(MID(SUBSTITUTE($T81,";",REPT(" ",99)),595,99)),FIND(":",TRIM(MID(SUBSTITUTE($T81,";",REPT(" ",99)),595,99)))+1,99)),0) + IFERROR(VLOOKUP(LEFT(TRIM(MID(SUBSTITUTE($T81,";",REPT(" ",99)),694,99)),FIND(":",TRIM(MID(SUBSTITUTE($T81,";",REPT(" ",99)),694,99)))-1),Materiales!$A$2:$E$502,5,FALSE)*VALUE(MID(TRIM(MID(SUBSTITUTE($T81,";",REPT(" ",99)),694,99)),FIND(":",TRIM(MID(SUBSTITUTE($T81,";",REPT(" ",99)),694,99)))+1,99)),0) + IFERROR(VLOOKUP(LEFT(TRIM(MID(SUBSTITUTE($T81,";",REPT(" ",99)),793,99)),FIND(":",TRIM(MID(SUBSTITUTE($T81,";",REPT(" ",99)),793,99)))-1),Materiales!$A$2:$E$502,5,FALSE)*VALUE(MID(TRIM(MID(SUBSTITUTE($T81,";",REPT(" ",99)),793,99)),FIND(":",TRIM(MID(SUBSTITUTE($T81,";",REPT(" ",99)),793,99)))+1,99)),0) + IFERROR(VLOOKUP(LEFT(TRIM(MID(SUBSTITUTE($T81,";",REPT(" ",99)),892,99)),FIND(":",TRIM(MID(SUBSTITUTE($T81,";",REPT(" ",99)),892,99)))-1),Materiales!$A$2:$E$502,5,FALSE)*VALUE(MID(TRIM(MID(SUBSTITUTE($T81,";",REPT(" ",99)),892,99)),FIND(":",TRIM(MID(SUBSTITUTE($T81,";",REPT(" ",99)),892,99)))+1,99)),0)))</f>
        <v/>
      </c>
      <c r="V81" s="3"/>
      <c r="W81" s="5" t="str">
        <f t="array" ref="W81">IF($A81="","",IF($V81="",0,IFERROR(VLOOKUP(LEFT(TRIM(MID(SUBSTITUTE($V81,";",REPT(" ",99)),1,99)),FIND(":",TRIM(MID(SUBSTITUTE($V81,";",REPT(" ",99)),1,99)))-1),Materiales!$A$2:$E$502,5,FALSE)*VALUE(MID(TRIM(MID(SUBSTITUTE($V81,";",REPT(" ",99)),1,99)),FIND(":",TRIM(MID(SUBSTITUTE($V81,";",REPT(" ",99)),1,99)))+1,99)),0) + IFERROR(VLOOKUP(LEFT(TRIM(MID(SUBSTITUTE($V81,";",REPT(" ",99)),100,99)),FIND(":",TRIM(MID(SUBSTITUTE($V81,";",REPT(" ",99)),100,99)))-1),Materiales!$A$2:$E$502,5,FALSE)*VALUE(MID(TRIM(MID(SUBSTITUTE($V81,";",REPT(" ",99)),100,99)),FIND(":",TRIM(MID(SUBSTITUTE($V81,";",REPT(" ",99)),100,99)))+1,99)),0) + IFERROR(VLOOKUP(LEFT(TRIM(MID(SUBSTITUTE($V81,";",REPT(" ",99)),199,99)),FIND(":",TRIM(MID(SUBSTITUTE($V81,";",REPT(" ",99)),199,99)))-1),Materiales!$A$2:$E$502,5,FALSE)*VALUE(MID(TRIM(MID(SUBSTITUTE($V81,";",REPT(" ",99)),199,99)),FIND(":",TRIM(MID(SUBSTITUTE($V81,";",REPT(" ",99)),199,99)))+1,99)),0) + IFERROR(VLOOKUP(LEFT(TRIM(MID(SUBSTITUTE($V81,";",REPT(" ",99)),298,99)),FIND(":",TRIM(MID(SUBSTITUTE($V81,";",REPT(" ",99)),298,99)))-1),Materiales!$A$2:$E$502,5,FALSE)*VALUE(MID(TRIM(MID(SUBSTITUTE($V81,";",REPT(" ",99)),298,99)),FIND(":",TRIM(MID(SUBSTITUTE($V81,";",REPT(" ",99)),298,99)))+1,99)),0) + IFERROR(VLOOKUP(LEFT(TRIM(MID(SUBSTITUTE($V81,";",REPT(" ",99)),397,99)),FIND(":",TRIM(MID(SUBSTITUTE($V81,";",REPT(" ",99)),397,99)))-1),Materiales!$A$2:$E$502,5,FALSE)*VALUE(MID(TRIM(MID(SUBSTITUTE($V81,";",REPT(" ",99)),397,99)),FIND(":",TRIM(MID(SUBSTITUTE($V81,";",REPT(" ",99)),397,99)))+1,99)),0) + IFERROR(VLOOKUP(LEFT(TRIM(MID(SUBSTITUTE($V81,";",REPT(" ",99)),496,99)),FIND(":",TRIM(MID(SUBSTITUTE($V81,";",REPT(" ",99)),496,99)))-1),Materiales!$A$2:$E$502,5,FALSE)*VALUE(MID(TRIM(MID(SUBSTITUTE($V81,";",REPT(" ",99)),496,99)),FIND(":",TRIM(MID(SUBSTITUTE($V81,";",REPT(" ",99)),496,99)))+1,99)),0) + IFERROR(VLOOKUP(LEFT(TRIM(MID(SUBSTITUTE($V81,";",REPT(" ",99)),595,99)),FIND(":",TRIM(MID(SUBSTITUTE($V81,";",REPT(" ",99)),595,99)))-1),Materiales!$A$2:$E$502,5,FALSE)*VALUE(MID(TRIM(MID(SUBSTITUTE($V81,";",REPT(" ",99)),595,99)),FIND(":",TRIM(MID(SUBSTITUTE($V81,";",REPT(" ",99)),595,99)))+1,99)),0) + IFERROR(VLOOKUP(LEFT(TRIM(MID(SUBSTITUTE($V81,";",REPT(" ",99)),694,99)),FIND(":",TRIM(MID(SUBSTITUTE($V81,";",REPT(" ",99)),694,99)))-1),Materiales!$A$2:$E$502,5,FALSE)*VALUE(MID(TRIM(MID(SUBSTITUTE($V81,";",REPT(" ",99)),694,99)),FIND(":",TRIM(MID(SUBSTITUTE($V81,";",REPT(" ",99)),694,99)))+1,99)),0) + IFERROR(VLOOKUP(LEFT(TRIM(MID(SUBSTITUTE($V81,";",REPT(" ",99)),793,99)),FIND(":",TRIM(MID(SUBSTITUTE($V81,";",REPT(" ",99)),793,99)))-1),Materiales!$A$2:$E$502,5,FALSE)*VALUE(MID(TRIM(MID(SUBSTITUTE($V81,";",REPT(" ",99)),793,99)),FIND(":",TRIM(MID(SUBSTITUTE($V81,";",REPT(" ",99)),793,99)))+1,99)),0) + IFERROR(VLOOKUP(LEFT(TRIM(MID(SUBSTITUTE($V81,";",REPT(" ",99)),892,99)),FIND(":",TRIM(MID(SUBSTITUTE($V81,";",REPT(" ",99)),892,99)))-1),Materiales!$A$2:$E$502,5,FALSE)*VALUE(MID(TRIM(MID(SUBSTITUTE($V81,";",REPT(" ",99)),892,99)),FIND(":",TRIM(MID(SUBSTITUTE($V81,";",REPT(" ",99)),892,99)))+1,99)),0)))</f>
        <v/>
      </c>
      <c r="X81" s="39" t="str">
        <f t="shared" si="13"/>
        <v/>
      </c>
      <c r="Y81" s="64"/>
      <c r="Z81" s="41"/>
      <c r="AA81" s="65"/>
      <c r="AB81" s="14"/>
      <c r="AC81" s="66"/>
      <c r="AD81" s="65"/>
      <c r="AE81" s="44">
        <f t="shared" si="17"/>
        <v>0</v>
      </c>
      <c r="AF81" s="45" t="str">
        <f t="shared" si="18"/>
        <v>#DIV/0!</v>
      </c>
    </row>
    <row r="82" ht="15.75" customHeight="1">
      <c r="A82" s="3"/>
      <c r="B82" s="3"/>
      <c r="C82" s="38"/>
      <c r="D82" s="38"/>
      <c r="E82" s="38"/>
      <c r="F82" s="14"/>
      <c r="G82" s="5" t="str">
        <f t="array" ref="G82">IF($A82="","",IFERROR($F82*(N($C82)*XLOOKUP($B82,Ceras!$A$2:$A$500,Ceras!$G$2:$G$500,0)+IF($D82="",0,N($E82)*XLOOKUP($D82,Ceras!$A$2:$A$500,Ceras!$G$2:$G$500,0))),"Revisar cera"))</f>
        <v/>
      </c>
      <c r="H82" s="5"/>
      <c r="I82" s="3"/>
      <c r="J82" s="14"/>
      <c r="K82" s="5" t="str">
        <f t="array" ref="K82">IF($A82="","",IFERROR($J82*XLOOKUP($I82,Pabilos!$A$2:$A$500,Pabilos!$H$2:$H$500,0),"Revisar pabilo"))</f>
        <v/>
      </c>
      <c r="L82" s="3"/>
      <c r="M82" s="14"/>
      <c r="N82" s="5" t="str">
        <f t="array" ref="N82">IF($A82="","",IFERROR($M82*XLOOKUP($L82,Esencias!$A$2:$A$501,Esencias!$G$2:$G$501,0),"Revisar esencia"))</f>
        <v/>
      </c>
      <c r="O82" s="3"/>
      <c r="P82" s="14"/>
      <c r="Q82" s="5" t="str">
        <f t="array" ref="Q82">IF($A82="","",IFERROR(IF($P82="",1,$P82)*XLOOKUP($O82,Colores!$A$2:$A$500,Colores!$H$2:$H$500,0),"Revisar color"))</f>
        <v/>
      </c>
      <c r="R82" s="3"/>
      <c r="S82" s="5" t="str">
        <f t="array" ref="S82">IF($A82="","",IF($R82="",0,IFERROR(VLOOKUP(LEFT(TRIM(MID(SUBSTITUTE($R82,";",REPT(" ",99)),1,99)),FIND(":",TRIM(MID(SUBSTITUTE($R82,";",REPT(" ",99)),1,99)))-1),Materiales!$A$2:$E$502,5,FALSE)*VALUE(MID(TRIM(MID(SUBSTITUTE($R82,";",REPT(" ",99)),1,99)),FIND(":",TRIM(MID(SUBSTITUTE($R82,";",REPT(" ",99)),1,99)))+1,99)),0) + IFERROR(VLOOKUP(LEFT(TRIM(MID(SUBSTITUTE($R82,";",REPT(" ",99)),100,99)),FIND(":",TRIM(MID(SUBSTITUTE($R82,";",REPT(" ",99)),100,99)))-1),Materiales!$A$2:$E$502,5,FALSE)*VALUE(MID(TRIM(MID(SUBSTITUTE($R82,";",REPT(" ",99)),100,99)),FIND(":",TRIM(MID(SUBSTITUTE($R82,";",REPT(" ",99)),100,99)))+1,99)),0) + IFERROR(VLOOKUP(LEFT(TRIM(MID(SUBSTITUTE($R82,";",REPT(" ",99)),199,99)),FIND(":",TRIM(MID(SUBSTITUTE($R82,";",REPT(" ",99)),199,99)))-1),Materiales!$A$2:$E$502,5,FALSE)*VALUE(MID(TRIM(MID(SUBSTITUTE($R82,";",REPT(" ",99)),199,99)),FIND(":",TRIM(MID(SUBSTITUTE($R82,";",REPT(" ",99)),199,99)))+1,99)),0) + IFERROR(VLOOKUP(LEFT(TRIM(MID(SUBSTITUTE($R82,";",REPT(" ",99)),298,99)),FIND(":",TRIM(MID(SUBSTITUTE($R82,";",REPT(" ",99)),298,99)))-1),Materiales!$A$2:$E$502,5,FALSE)*VALUE(MID(TRIM(MID(SUBSTITUTE($R82,";",REPT(" ",99)),298,99)),FIND(":",TRIM(MID(SUBSTITUTE($R82,";",REPT(" ",99)),298,99)))+1,99)),0) + IFERROR(VLOOKUP(LEFT(TRIM(MID(SUBSTITUTE($R82,";",REPT(" ",99)),397,99)),FIND(":",TRIM(MID(SUBSTITUTE($R82,";",REPT(" ",99)),397,99)))-1),Materiales!$A$2:$E$502,5,FALSE)*VALUE(MID(TRIM(MID(SUBSTITUTE($R82,";",REPT(" ",99)),397,99)),FIND(":",TRIM(MID(SUBSTITUTE($R82,";",REPT(" ",99)),397,99)))+1,99)),0) + IFERROR(VLOOKUP(LEFT(TRIM(MID(SUBSTITUTE($R82,";",REPT(" ",99)),496,99)),FIND(":",TRIM(MID(SUBSTITUTE($R82,";",REPT(" ",99)),496,99)))-1),Materiales!$A$2:$E$502,5,FALSE)*VALUE(MID(TRIM(MID(SUBSTITUTE($R82,";",REPT(" ",99)),496,99)),FIND(":",TRIM(MID(SUBSTITUTE($R82,";",REPT(" ",99)),496,99)))+1,99)),0) + IFERROR(VLOOKUP(LEFT(TRIM(MID(SUBSTITUTE($R82,";",REPT(" ",99)),595,99)),FIND(":",TRIM(MID(SUBSTITUTE($R82,";",REPT(" ",99)),595,99)))-1),Materiales!$A$2:$E$502,5,FALSE)*VALUE(MID(TRIM(MID(SUBSTITUTE($R82,";",REPT(" ",99)),595,99)),FIND(":",TRIM(MID(SUBSTITUTE($R82,";",REPT(" ",99)),595,99)))+1,99)),0) + IFERROR(VLOOKUP(LEFT(TRIM(MID(SUBSTITUTE($R82,";",REPT(" ",99)),694,99)),FIND(":",TRIM(MID(SUBSTITUTE($R82,";",REPT(" ",99)),694,99)))-1),Materiales!$A$2:$E$502,5,FALSE)*VALUE(MID(TRIM(MID(SUBSTITUTE($R82,";",REPT(" ",99)),694,99)),FIND(":",TRIM(MID(SUBSTITUTE($R82,";",REPT(" ",99)),694,99)))+1,99)),0) + IFERROR(VLOOKUP(LEFT(TRIM(MID(SUBSTITUTE($R82,";",REPT(" ",99)),793,99)),FIND(":",TRIM(MID(SUBSTITUTE($R82,";",REPT(" ",99)),793,99)))-1),Materiales!$A$2:$E$502,5,FALSE)*VALUE(MID(TRIM(MID(SUBSTITUTE($R82,";",REPT(" ",99)),793,99)),FIND(":",TRIM(MID(SUBSTITUTE($R82,";",REPT(" ",99)),793,99)))+1,99)),0) + IFERROR(VLOOKUP(LEFT(TRIM(MID(SUBSTITUTE($R82,";",REPT(" ",99)),892,99)),FIND(":",TRIM(MID(SUBSTITUTE($R82,";",REPT(" ",99)),892,99)))-1),Materiales!$A$2:$E$502,5,FALSE)*VALUE(MID(TRIM(MID(SUBSTITUTE($R82,";",REPT(" ",99)),892,99)),FIND(":",TRIM(MID(SUBSTITUTE($R82,";",REPT(" ",99)),892,99)))+1,99)),0)))</f>
        <v/>
      </c>
      <c r="T82" s="3"/>
      <c r="U82" s="5" t="str">
        <f t="array" ref="U82">IF($A82="","",IF($T82="",0,IFERROR(VLOOKUP(LEFT(TRIM(MID(SUBSTITUTE($T82,";",REPT(" ",99)),1,99)),FIND(":",TRIM(MID(SUBSTITUTE($T82,";",REPT(" ",99)),1,99)))-1),Materiales!$A$2:$E$502,5,FALSE)*VALUE(MID(TRIM(MID(SUBSTITUTE($T82,";",REPT(" ",99)),1,99)),FIND(":",TRIM(MID(SUBSTITUTE($T82,";",REPT(" ",99)),1,99)))+1,99)),0) + IFERROR(VLOOKUP(LEFT(TRIM(MID(SUBSTITUTE($T82,";",REPT(" ",99)),100,99)),FIND(":",TRIM(MID(SUBSTITUTE($T82,";",REPT(" ",99)),100,99)))-1),Materiales!$A$2:$E$502,5,FALSE)*VALUE(MID(TRIM(MID(SUBSTITUTE($T82,";",REPT(" ",99)),100,99)),FIND(":",TRIM(MID(SUBSTITUTE($T82,";",REPT(" ",99)),100,99)))+1,99)),0) + IFERROR(VLOOKUP(LEFT(TRIM(MID(SUBSTITUTE($T82,";",REPT(" ",99)),199,99)),FIND(":",TRIM(MID(SUBSTITUTE($T82,";",REPT(" ",99)),199,99)))-1),Materiales!$A$2:$E$502,5,FALSE)*VALUE(MID(TRIM(MID(SUBSTITUTE($T82,";",REPT(" ",99)),199,99)),FIND(":",TRIM(MID(SUBSTITUTE($T82,";",REPT(" ",99)),199,99)))+1,99)),0) + IFERROR(VLOOKUP(LEFT(TRIM(MID(SUBSTITUTE($T82,";",REPT(" ",99)),298,99)),FIND(":",TRIM(MID(SUBSTITUTE($T82,";",REPT(" ",99)),298,99)))-1),Materiales!$A$2:$E$502,5,FALSE)*VALUE(MID(TRIM(MID(SUBSTITUTE($T82,";",REPT(" ",99)),298,99)),FIND(":",TRIM(MID(SUBSTITUTE($T82,";",REPT(" ",99)),298,99)))+1,99)),0) + IFERROR(VLOOKUP(LEFT(TRIM(MID(SUBSTITUTE($T82,";",REPT(" ",99)),397,99)),FIND(":",TRIM(MID(SUBSTITUTE($T82,";",REPT(" ",99)),397,99)))-1),Materiales!$A$2:$E$502,5,FALSE)*VALUE(MID(TRIM(MID(SUBSTITUTE($T82,";",REPT(" ",99)),397,99)),FIND(":",TRIM(MID(SUBSTITUTE($T82,";",REPT(" ",99)),397,99)))+1,99)),0) + IFERROR(VLOOKUP(LEFT(TRIM(MID(SUBSTITUTE($T82,";",REPT(" ",99)),496,99)),FIND(":",TRIM(MID(SUBSTITUTE($T82,";",REPT(" ",99)),496,99)))-1),Materiales!$A$2:$E$502,5,FALSE)*VALUE(MID(TRIM(MID(SUBSTITUTE($T82,";",REPT(" ",99)),496,99)),FIND(":",TRIM(MID(SUBSTITUTE($T82,";",REPT(" ",99)),496,99)))+1,99)),0) + IFERROR(VLOOKUP(LEFT(TRIM(MID(SUBSTITUTE($T82,";",REPT(" ",99)),595,99)),FIND(":",TRIM(MID(SUBSTITUTE($T82,";",REPT(" ",99)),595,99)))-1),Materiales!$A$2:$E$502,5,FALSE)*VALUE(MID(TRIM(MID(SUBSTITUTE($T82,";",REPT(" ",99)),595,99)),FIND(":",TRIM(MID(SUBSTITUTE($T82,";",REPT(" ",99)),595,99)))+1,99)),0) + IFERROR(VLOOKUP(LEFT(TRIM(MID(SUBSTITUTE($T82,";",REPT(" ",99)),694,99)),FIND(":",TRIM(MID(SUBSTITUTE($T82,";",REPT(" ",99)),694,99)))-1),Materiales!$A$2:$E$502,5,FALSE)*VALUE(MID(TRIM(MID(SUBSTITUTE($T82,";",REPT(" ",99)),694,99)),FIND(":",TRIM(MID(SUBSTITUTE($T82,";",REPT(" ",99)),694,99)))+1,99)),0) + IFERROR(VLOOKUP(LEFT(TRIM(MID(SUBSTITUTE($T82,";",REPT(" ",99)),793,99)),FIND(":",TRIM(MID(SUBSTITUTE($T82,";",REPT(" ",99)),793,99)))-1),Materiales!$A$2:$E$502,5,FALSE)*VALUE(MID(TRIM(MID(SUBSTITUTE($T82,";",REPT(" ",99)),793,99)),FIND(":",TRIM(MID(SUBSTITUTE($T82,";",REPT(" ",99)),793,99)))+1,99)),0) + IFERROR(VLOOKUP(LEFT(TRIM(MID(SUBSTITUTE($T82,";",REPT(" ",99)),892,99)),FIND(":",TRIM(MID(SUBSTITUTE($T82,";",REPT(" ",99)),892,99)))-1),Materiales!$A$2:$E$502,5,FALSE)*VALUE(MID(TRIM(MID(SUBSTITUTE($T82,";",REPT(" ",99)),892,99)),FIND(":",TRIM(MID(SUBSTITUTE($T82,";",REPT(" ",99)),892,99)))+1,99)),0)))</f>
        <v/>
      </c>
      <c r="V82" s="3"/>
      <c r="W82" s="5" t="str">
        <f t="array" ref="W82">IF($A82="","",IF($V82="",0,IFERROR(VLOOKUP(LEFT(TRIM(MID(SUBSTITUTE($V82,";",REPT(" ",99)),1,99)),FIND(":",TRIM(MID(SUBSTITUTE($V82,";",REPT(" ",99)),1,99)))-1),Materiales!$A$2:$E$502,5,FALSE)*VALUE(MID(TRIM(MID(SUBSTITUTE($V82,";",REPT(" ",99)),1,99)),FIND(":",TRIM(MID(SUBSTITUTE($V82,";",REPT(" ",99)),1,99)))+1,99)),0) + IFERROR(VLOOKUP(LEFT(TRIM(MID(SUBSTITUTE($V82,";",REPT(" ",99)),100,99)),FIND(":",TRIM(MID(SUBSTITUTE($V82,";",REPT(" ",99)),100,99)))-1),Materiales!$A$2:$E$502,5,FALSE)*VALUE(MID(TRIM(MID(SUBSTITUTE($V82,";",REPT(" ",99)),100,99)),FIND(":",TRIM(MID(SUBSTITUTE($V82,";",REPT(" ",99)),100,99)))+1,99)),0) + IFERROR(VLOOKUP(LEFT(TRIM(MID(SUBSTITUTE($V82,";",REPT(" ",99)),199,99)),FIND(":",TRIM(MID(SUBSTITUTE($V82,";",REPT(" ",99)),199,99)))-1),Materiales!$A$2:$E$502,5,FALSE)*VALUE(MID(TRIM(MID(SUBSTITUTE($V82,";",REPT(" ",99)),199,99)),FIND(":",TRIM(MID(SUBSTITUTE($V82,";",REPT(" ",99)),199,99)))+1,99)),0) + IFERROR(VLOOKUP(LEFT(TRIM(MID(SUBSTITUTE($V82,";",REPT(" ",99)),298,99)),FIND(":",TRIM(MID(SUBSTITUTE($V82,";",REPT(" ",99)),298,99)))-1),Materiales!$A$2:$E$502,5,FALSE)*VALUE(MID(TRIM(MID(SUBSTITUTE($V82,";",REPT(" ",99)),298,99)),FIND(":",TRIM(MID(SUBSTITUTE($V82,";",REPT(" ",99)),298,99)))+1,99)),0) + IFERROR(VLOOKUP(LEFT(TRIM(MID(SUBSTITUTE($V82,";",REPT(" ",99)),397,99)),FIND(":",TRIM(MID(SUBSTITUTE($V82,";",REPT(" ",99)),397,99)))-1),Materiales!$A$2:$E$502,5,FALSE)*VALUE(MID(TRIM(MID(SUBSTITUTE($V82,";",REPT(" ",99)),397,99)),FIND(":",TRIM(MID(SUBSTITUTE($V82,";",REPT(" ",99)),397,99)))+1,99)),0) + IFERROR(VLOOKUP(LEFT(TRIM(MID(SUBSTITUTE($V82,";",REPT(" ",99)),496,99)),FIND(":",TRIM(MID(SUBSTITUTE($V82,";",REPT(" ",99)),496,99)))-1),Materiales!$A$2:$E$502,5,FALSE)*VALUE(MID(TRIM(MID(SUBSTITUTE($V82,";",REPT(" ",99)),496,99)),FIND(":",TRIM(MID(SUBSTITUTE($V82,";",REPT(" ",99)),496,99)))+1,99)),0) + IFERROR(VLOOKUP(LEFT(TRIM(MID(SUBSTITUTE($V82,";",REPT(" ",99)),595,99)),FIND(":",TRIM(MID(SUBSTITUTE($V82,";",REPT(" ",99)),595,99)))-1),Materiales!$A$2:$E$502,5,FALSE)*VALUE(MID(TRIM(MID(SUBSTITUTE($V82,";",REPT(" ",99)),595,99)),FIND(":",TRIM(MID(SUBSTITUTE($V82,";",REPT(" ",99)),595,99)))+1,99)),0) + IFERROR(VLOOKUP(LEFT(TRIM(MID(SUBSTITUTE($V82,";",REPT(" ",99)),694,99)),FIND(":",TRIM(MID(SUBSTITUTE($V82,";",REPT(" ",99)),694,99)))-1),Materiales!$A$2:$E$502,5,FALSE)*VALUE(MID(TRIM(MID(SUBSTITUTE($V82,";",REPT(" ",99)),694,99)),FIND(":",TRIM(MID(SUBSTITUTE($V82,";",REPT(" ",99)),694,99)))+1,99)),0) + IFERROR(VLOOKUP(LEFT(TRIM(MID(SUBSTITUTE($V82,";",REPT(" ",99)),793,99)),FIND(":",TRIM(MID(SUBSTITUTE($V82,";",REPT(" ",99)),793,99)))-1),Materiales!$A$2:$E$502,5,FALSE)*VALUE(MID(TRIM(MID(SUBSTITUTE($V82,";",REPT(" ",99)),793,99)),FIND(":",TRIM(MID(SUBSTITUTE($V82,";",REPT(" ",99)),793,99)))+1,99)),0) + IFERROR(VLOOKUP(LEFT(TRIM(MID(SUBSTITUTE($V82,";",REPT(" ",99)),892,99)),FIND(":",TRIM(MID(SUBSTITUTE($V82,";",REPT(" ",99)),892,99)))-1),Materiales!$A$2:$E$502,5,FALSE)*VALUE(MID(TRIM(MID(SUBSTITUTE($V82,";",REPT(" ",99)),892,99)),FIND(":",TRIM(MID(SUBSTITUTE($V82,";",REPT(" ",99)),892,99)))+1,99)),0)))</f>
        <v/>
      </c>
      <c r="X82" s="39" t="str">
        <f t="shared" si="13"/>
        <v/>
      </c>
      <c r="Y82" s="64"/>
      <c r="Z82" s="41"/>
      <c r="AA82" s="65"/>
      <c r="AB82" s="14"/>
      <c r="AC82" s="66"/>
      <c r="AD82" s="65"/>
      <c r="AE82" s="44">
        <f t="shared" si="17"/>
        <v>0</v>
      </c>
      <c r="AF82" s="45" t="str">
        <f t="shared" si="18"/>
        <v>#DIV/0!</v>
      </c>
    </row>
    <row r="83" ht="15.75" customHeight="1">
      <c r="A83" s="3"/>
      <c r="B83" s="3"/>
      <c r="C83" s="38"/>
      <c r="D83" s="38"/>
      <c r="E83" s="38"/>
      <c r="F83" s="14"/>
      <c r="G83" s="5" t="str">
        <f t="array" ref="G83">IF($A83="","",IFERROR($F83*(N($C83)*XLOOKUP($B83,Ceras!$A$2:$A$500,Ceras!$G$2:$G$500,0)+IF($D83="",0,N($E83)*XLOOKUP($D83,Ceras!$A$2:$A$500,Ceras!$G$2:$G$500,0))),"Revisar cera"))</f>
        <v/>
      </c>
      <c r="H83" s="5"/>
      <c r="I83" s="3"/>
      <c r="J83" s="14"/>
      <c r="K83" s="5" t="str">
        <f t="array" ref="K83">IF($A83="","",IFERROR($J83*XLOOKUP($I83,Pabilos!$A$2:$A$500,Pabilos!$H$2:$H$500,0),"Revisar pabilo"))</f>
        <v/>
      </c>
      <c r="L83" s="3"/>
      <c r="M83" s="14"/>
      <c r="N83" s="5" t="str">
        <f t="array" ref="N83">IF($A83="","",IFERROR($M83*XLOOKUP($L83,Esencias!$A$2:$A$501,Esencias!$G$2:$G$501,0),"Revisar esencia"))</f>
        <v/>
      </c>
      <c r="O83" s="3"/>
      <c r="P83" s="14"/>
      <c r="Q83" s="5" t="str">
        <f t="array" ref="Q83">IF($A83="","",IFERROR(IF($P83="",1,$P83)*XLOOKUP($O83,Colores!$A$2:$A$500,Colores!$H$2:$H$500,0),"Revisar color"))</f>
        <v/>
      </c>
      <c r="R83" s="3"/>
      <c r="S83" s="5" t="str">
        <f t="array" ref="S83">IF($A83="","",IF($R83="",0,IFERROR(VLOOKUP(LEFT(TRIM(MID(SUBSTITUTE($R83,";",REPT(" ",99)),1,99)),FIND(":",TRIM(MID(SUBSTITUTE($R83,";",REPT(" ",99)),1,99)))-1),Materiales!$A$2:$E$502,5,FALSE)*VALUE(MID(TRIM(MID(SUBSTITUTE($R83,";",REPT(" ",99)),1,99)),FIND(":",TRIM(MID(SUBSTITUTE($R83,";",REPT(" ",99)),1,99)))+1,99)),0) + IFERROR(VLOOKUP(LEFT(TRIM(MID(SUBSTITUTE($R83,";",REPT(" ",99)),100,99)),FIND(":",TRIM(MID(SUBSTITUTE($R83,";",REPT(" ",99)),100,99)))-1),Materiales!$A$2:$E$502,5,FALSE)*VALUE(MID(TRIM(MID(SUBSTITUTE($R83,";",REPT(" ",99)),100,99)),FIND(":",TRIM(MID(SUBSTITUTE($R83,";",REPT(" ",99)),100,99)))+1,99)),0) + IFERROR(VLOOKUP(LEFT(TRIM(MID(SUBSTITUTE($R83,";",REPT(" ",99)),199,99)),FIND(":",TRIM(MID(SUBSTITUTE($R83,";",REPT(" ",99)),199,99)))-1),Materiales!$A$2:$E$502,5,FALSE)*VALUE(MID(TRIM(MID(SUBSTITUTE($R83,";",REPT(" ",99)),199,99)),FIND(":",TRIM(MID(SUBSTITUTE($R83,";",REPT(" ",99)),199,99)))+1,99)),0) + IFERROR(VLOOKUP(LEFT(TRIM(MID(SUBSTITUTE($R83,";",REPT(" ",99)),298,99)),FIND(":",TRIM(MID(SUBSTITUTE($R83,";",REPT(" ",99)),298,99)))-1),Materiales!$A$2:$E$502,5,FALSE)*VALUE(MID(TRIM(MID(SUBSTITUTE($R83,";",REPT(" ",99)),298,99)),FIND(":",TRIM(MID(SUBSTITUTE($R83,";",REPT(" ",99)),298,99)))+1,99)),0) + IFERROR(VLOOKUP(LEFT(TRIM(MID(SUBSTITUTE($R83,";",REPT(" ",99)),397,99)),FIND(":",TRIM(MID(SUBSTITUTE($R83,";",REPT(" ",99)),397,99)))-1),Materiales!$A$2:$E$502,5,FALSE)*VALUE(MID(TRIM(MID(SUBSTITUTE($R83,";",REPT(" ",99)),397,99)),FIND(":",TRIM(MID(SUBSTITUTE($R83,";",REPT(" ",99)),397,99)))+1,99)),0) + IFERROR(VLOOKUP(LEFT(TRIM(MID(SUBSTITUTE($R83,";",REPT(" ",99)),496,99)),FIND(":",TRIM(MID(SUBSTITUTE($R83,";",REPT(" ",99)),496,99)))-1),Materiales!$A$2:$E$502,5,FALSE)*VALUE(MID(TRIM(MID(SUBSTITUTE($R83,";",REPT(" ",99)),496,99)),FIND(":",TRIM(MID(SUBSTITUTE($R83,";",REPT(" ",99)),496,99)))+1,99)),0) + IFERROR(VLOOKUP(LEFT(TRIM(MID(SUBSTITUTE($R83,";",REPT(" ",99)),595,99)),FIND(":",TRIM(MID(SUBSTITUTE($R83,";",REPT(" ",99)),595,99)))-1),Materiales!$A$2:$E$502,5,FALSE)*VALUE(MID(TRIM(MID(SUBSTITUTE($R83,";",REPT(" ",99)),595,99)),FIND(":",TRIM(MID(SUBSTITUTE($R83,";",REPT(" ",99)),595,99)))+1,99)),0) + IFERROR(VLOOKUP(LEFT(TRIM(MID(SUBSTITUTE($R83,";",REPT(" ",99)),694,99)),FIND(":",TRIM(MID(SUBSTITUTE($R83,";",REPT(" ",99)),694,99)))-1),Materiales!$A$2:$E$502,5,FALSE)*VALUE(MID(TRIM(MID(SUBSTITUTE($R83,";",REPT(" ",99)),694,99)),FIND(":",TRIM(MID(SUBSTITUTE($R83,";",REPT(" ",99)),694,99)))+1,99)),0) + IFERROR(VLOOKUP(LEFT(TRIM(MID(SUBSTITUTE($R83,";",REPT(" ",99)),793,99)),FIND(":",TRIM(MID(SUBSTITUTE($R83,";",REPT(" ",99)),793,99)))-1),Materiales!$A$2:$E$502,5,FALSE)*VALUE(MID(TRIM(MID(SUBSTITUTE($R83,";",REPT(" ",99)),793,99)),FIND(":",TRIM(MID(SUBSTITUTE($R83,";",REPT(" ",99)),793,99)))+1,99)),0) + IFERROR(VLOOKUP(LEFT(TRIM(MID(SUBSTITUTE($R83,";",REPT(" ",99)),892,99)),FIND(":",TRIM(MID(SUBSTITUTE($R83,";",REPT(" ",99)),892,99)))-1),Materiales!$A$2:$E$502,5,FALSE)*VALUE(MID(TRIM(MID(SUBSTITUTE($R83,";",REPT(" ",99)),892,99)),FIND(":",TRIM(MID(SUBSTITUTE($R83,";",REPT(" ",99)),892,99)))+1,99)),0)))</f>
        <v/>
      </c>
      <c r="T83" s="3"/>
      <c r="U83" s="5" t="str">
        <f t="array" ref="U83">IF($A83="","",IF($T83="",0,IFERROR(VLOOKUP(LEFT(TRIM(MID(SUBSTITUTE($T83,";",REPT(" ",99)),1,99)),FIND(":",TRIM(MID(SUBSTITUTE($T83,";",REPT(" ",99)),1,99)))-1),Materiales!$A$2:$E$502,5,FALSE)*VALUE(MID(TRIM(MID(SUBSTITUTE($T83,";",REPT(" ",99)),1,99)),FIND(":",TRIM(MID(SUBSTITUTE($T83,";",REPT(" ",99)),1,99)))+1,99)),0) + IFERROR(VLOOKUP(LEFT(TRIM(MID(SUBSTITUTE($T83,";",REPT(" ",99)),100,99)),FIND(":",TRIM(MID(SUBSTITUTE($T83,";",REPT(" ",99)),100,99)))-1),Materiales!$A$2:$E$502,5,FALSE)*VALUE(MID(TRIM(MID(SUBSTITUTE($T83,";",REPT(" ",99)),100,99)),FIND(":",TRIM(MID(SUBSTITUTE($T83,";",REPT(" ",99)),100,99)))+1,99)),0) + IFERROR(VLOOKUP(LEFT(TRIM(MID(SUBSTITUTE($T83,";",REPT(" ",99)),199,99)),FIND(":",TRIM(MID(SUBSTITUTE($T83,";",REPT(" ",99)),199,99)))-1),Materiales!$A$2:$E$502,5,FALSE)*VALUE(MID(TRIM(MID(SUBSTITUTE($T83,";",REPT(" ",99)),199,99)),FIND(":",TRIM(MID(SUBSTITUTE($T83,";",REPT(" ",99)),199,99)))+1,99)),0) + IFERROR(VLOOKUP(LEFT(TRIM(MID(SUBSTITUTE($T83,";",REPT(" ",99)),298,99)),FIND(":",TRIM(MID(SUBSTITUTE($T83,";",REPT(" ",99)),298,99)))-1),Materiales!$A$2:$E$502,5,FALSE)*VALUE(MID(TRIM(MID(SUBSTITUTE($T83,";",REPT(" ",99)),298,99)),FIND(":",TRIM(MID(SUBSTITUTE($T83,";",REPT(" ",99)),298,99)))+1,99)),0) + IFERROR(VLOOKUP(LEFT(TRIM(MID(SUBSTITUTE($T83,";",REPT(" ",99)),397,99)),FIND(":",TRIM(MID(SUBSTITUTE($T83,";",REPT(" ",99)),397,99)))-1),Materiales!$A$2:$E$502,5,FALSE)*VALUE(MID(TRIM(MID(SUBSTITUTE($T83,";",REPT(" ",99)),397,99)),FIND(":",TRIM(MID(SUBSTITUTE($T83,";",REPT(" ",99)),397,99)))+1,99)),0) + IFERROR(VLOOKUP(LEFT(TRIM(MID(SUBSTITUTE($T83,";",REPT(" ",99)),496,99)),FIND(":",TRIM(MID(SUBSTITUTE($T83,";",REPT(" ",99)),496,99)))-1),Materiales!$A$2:$E$502,5,FALSE)*VALUE(MID(TRIM(MID(SUBSTITUTE($T83,";",REPT(" ",99)),496,99)),FIND(":",TRIM(MID(SUBSTITUTE($T83,";",REPT(" ",99)),496,99)))+1,99)),0) + IFERROR(VLOOKUP(LEFT(TRIM(MID(SUBSTITUTE($T83,";",REPT(" ",99)),595,99)),FIND(":",TRIM(MID(SUBSTITUTE($T83,";",REPT(" ",99)),595,99)))-1),Materiales!$A$2:$E$502,5,FALSE)*VALUE(MID(TRIM(MID(SUBSTITUTE($T83,";",REPT(" ",99)),595,99)),FIND(":",TRIM(MID(SUBSTITUTE($T83,";",REPT(" ",99)),595,99)))+1,99)),0) + IFERROR(VLOOKUP(LEFT(TRIM(MID(SUBSTITUTE($T83,";",REPT(" ",99)),694,99)),FIND(":",TRIM(MID(SUBSTITUTE($T83,";",REPT(" ",99)),694,99)))-1),Materiales!$A$2:$E$502,5,FALSE)*VALUE(MID(TRIM(MID(SUBSTITUTE($T83,";",REPT(" ",99)),694,99)),FIND(":",TRIM(MID(SUBSTITUTE($T83,";",REPT(" ",99)),694,99)))+1,99)),0) + IFERROR(VLOOKUP(LEFT(TRIM(MID(SUBSTITUTE($T83,";",REPT(" ",99)),793,99)),FIND(":",TRIM(MID(SUBSTITUTE($T83,";",REPT(" ",99)),793,99)))-1),Materiales!$A$2:$E$502,5,FALSE)*VALUE(MID(TRIM(MID(SUBSTITUTE($T83,";",REPT(" ",99)),793,99)),FIND(":",TRIM(MID(SUBSTITUTE($T83,";",REPT(" ",99)),793,99)))+1,99)),0) + IFERROR(VLOOKUP(LEFT(TRIM(MID(SUBSTITUTE($T83,";",REPT(" ",99)),892,99)),FIND(":",TRIM(MID(SUBSTITUTE($T83,";",REPT(" ",99)),892,99)))-1),Materiales!$A$2:$E$502,5,FALSE)*VALUE(MID(TRIM(MID(SUBSTITUTE($T83,";",REPT(" ",99)),892,99)),FIND(":",TRIM(MID(SUBSTITUTE($T83,";",REPT(" ",99)),892,99)))+1,99)),0)))</f>
        <v/>
      </c>
      <c r="V83" s="3"/>
      <c r="W83" s="5" t="str">
        <f t="array" ref="W83">IF($A83="","",IF($V83="",0,IFERROR(VLOOKUP(LEFT(TRIM(MID(SUBSTITUTE($V83,";",REPT(" ",99)),1,99)),FIND(":",TRIM(MID(SUBSTITUTE($V83,";",REPT(" ",99)),1,99)))-1),Materiales!$A$2:$E$502,5,FALSE)*VALUE(MID(TRIM(MID(SUBSTITUTE($V83,";",REPT(" ",99)),1,99)),FIND(":",TRIM(MID(SUBSTITUTE($V83,";",REPT(" ",99)),1,99)))+1,99)),0) + IFERROR(VLOOKUP(LEFT(TRIM(MID(SUBSTITUTE($V83,";",REPT(" ",99)),100,99)),FIND(":",TRIM(MID(SUBSTITUTE($V83,";",REPT(" ",99)),100,99)))-1),Materiales!$A$2:$E$502,5,FALSE)*VALUE(MID(TRIM(MID(SUBSTITUTE($V83,";",REPT(" ",99)),100,99)),FIND(":",TRIM(MID(SUBSTITUTE($V83,";",REPT(" ",99)),100,99)))+1,99)),0) + IFERROR(VLOOKUP(LEFT(TRIM(MID(SUBSTITUTE($V83,";",REPT(" ",99)),199,99)),FIND(":",TRIM(MID(SUBSTITUTE($V83,";",REPT(" ",99)),199,99)))-1),Materiales!$A$2:$E$502,5,FALSE)*VALUE(MID(TRIM(MID(SUBSTITUTE($V83,";",REPT(" ",99)),199,99)),FIND(":",TRIM(MID(SUBSTITUTE($V83,";",REPT(" ",99)),199,99)))+1,99)),0) + IFERROR(VLOOKUP(LEFT(TRIM(MID(SUBSTITUTE($V83,";",REPT(" ",99)),298,99)),FIND(":",TRIM(MID(SUBSTITUTE($V83,";",REPT(" ",99)),298,99)))-1),Materiales!$A$2:$E$502,5,FALSE)*VALUE(MID(TRIM(MID(SUBSTITUTE($V83,";",REPT(" ",99)),298,99)),FIND(":",TRIM(MID(SUBSTITUTE($V83,";",REPT(" ",99)),298,99)))+1,99)),0) + IFERROR(VLOOKUP(LEFT(TRIM(MID(SUBSTITUTE($V83,";",REPT(" ",99)),397,99)),FIND(":",TRIM(MID(SUBSTITUTE($V83,";",REPT(" ",99)),397,99)))-1),Materiales!$A$2:$E$502,5,FALSE)*VALUE(MID(TRIM(MID(SUBSTITUTE($V83,";",REPT(" ",99)),397,99)),FIND(":",TRIM(MID(SUBSTITUTE($V83,";",REPT(" ",99)),397,99)))+1,99)),0) + IFERROR(VLOOKUP(LEFT(TRIM(MID(SUBSTITUTE($V83,";",REPT(" ",99)),496,99)),FIND(":",TRIM(MID(SUBSTITUTE($V83,";",REPT(" ",99)),496,99)))-1),Materiales!$A$2:$E$502,5,FALSE)*VALUE(MID(TRIM(MID(SUBSTITUTE($V83,";",REPT(" ",99)),496,99)),FIND(":",TRIM(MID(SUBSTITUTE($V83,";",REPT(" ",99)),496,99)))+1,99)),0) + IFERROR(VLOOKUP(LEFT(TRIM(MID(SUBSTITUTE($V83,";",REPT(" ",99)),595,99)),FIND(":",TRIM(MID(SUBSTITUTE($V83,";",REPT(" ",99)),595,99)))-1),Materiales!$A$2:$E$502,5,FALSE)*VALUE(MID(TRIM(MID(SUBSTITUTE($V83,";",REPT(" ",99)),595,99)),FIND(":",TRIM(MID(SUBSTITUTE($V83,";",REPT(" ",99)),595,99)))+1,99)),0) + IFERROR(VLOOKUP(LEFT(TRIM(MID(SUBSTITUTE($V83,";",REPT(" ",99)),694,99)),FIND(":",TRIM(MID(SUBSTITUTE($V83,";",REPT(" ",99)),694,99)))-1),Materiales!$A$2:$E$502,5,FALSE)*VALUE(MID(TRIM(MID(SUBSTITUTE($V83,";",REPT(" ",99)),694,99)),FIND(":",TRIM(MID(SUBSTITUTE($V83,";",REPT(" ",99)),694,99)))+1,99)),0) + IFERROR(VLOOKUP(LEFT(TRIM(MID(SUBSTITUTE($V83,";",REPT(" ",99)),793,99)),FIND(":",TRIM(MID(SUBSTITUTE($V83,";",REPT(" ",99)),793,99)))-1),Materiales!$A$2:$E$502,5,FALSE)*VALUE(MID(TRIM(MID(SUBSTITUTE($V83,";",REPT(" ",99)),793,99)),FIND(":",TRIM(MID(SUBSTITUTE($V83,";",REPT(" ",99)),793,99)))+1,99)),0) + IFERROR(VLOOKUP(LEFT(TRIM(MID(SUBSTITUTE($V83,";",REPT(" ",99)),892,99)),FIND(":",TRIM(MID(SUBSTITUTE($V83,";",REPT(" ",99)),892,99)))-1),Materiales!$A$2:$E$502,5,FALSE)*VALUE(MID(TRIM(MID(SUBSTITUTE($V83,";",REPT(" ",99)),892,99)),FIND(":",TRIM(MID(SUBSTITUTE($V83,";",REPT(" ",99)),892,99)))+1,99)),0)))</f>
        <v/>
      </c>
      <c r="X83" s="39" t="str">
        <f t="shared" si="13"/>
        <v/>
      </c>
      <c r="Y83" s="64"/>
      <c r="Z83" s="41"/>
      <c r="AA83" s="65"/>
      <c r="AB83" s="14"/>
      <c r="AC83" s="66"/>
      <c r="AD83" s="65"/>
      <c r="AE83" s="44">
        <f t="shared" si="17"/>
        <v>0</v>
      </c>
      <c r="AF83" s="45" t="str">
        <f t="shared" si="18"/>
        <v>#DIV/0!</v>
      </c>
    </row>
    <row r="84" ht="15.75" customHeight="1">
      <c r="A84" s="3"/>
      <c r="B84" s="3"/>
      <c r="C84" s="38"/>
      <c r="D84" s="38"/>
      <c r="E84" s="38"/>
      <c r="F84" s="14"/>
      <c r="G84" s="5" t="str">
        <f t="array" ref="G84">IF($A84="","",IFERROR($F84*(N($C84)*XLOOKUP($B84,Ceras!$A$2:$A$500,Ceras!$G$2:$G$500,0)+IF($D84="",0,N($E84)*XLOOKUP($D84,Ceras!$A$2:$A$500,Ceras!$G$2:$G$500,0))),"Revisar cera"))</f>
        <v/>
      </c>
      <c r="H84" s="5"/>
      <c r="I84" s="3"/>
      <c r="J84" s="14"/>
      <c r="K84" s="5" t="str">
        <f t="array" ref="K84">IF($A84="","",IFERROR($J84*XLOOKUP($I84,Pabilos!$A$2:$A$500,Pabilos!$H$2:$H$500,0),"Revisar pabilo"))</f>
        <v/>
      </c>
      <c r="L84" s="3"/>
      <c r="M84" s="14"/>
      <c r="N84" s="5" t="str">
        <f t="array" ref="N84">IF($A84="","",IFERROR($M84*XLOOKUP($L84,Esencias!$A$2:$A$501,Esencias!$G$2:$G$501,0),"Revisar esencia"))</f>
        <v/>
      </c>
      <c r="O84" s="3"/>
      <c r="P84" s="14"/>
      <c r="Q84" s="5" t="str">
        <f t="array" ref="Q84">IF($A84="","",IFERROR(IF($P84="",1,$P84)*XLOOKUP($O84,Colores!$A$2:$A$500,Colores!$H$2:$H$500,0),"Revisar color"))</f>
        <v/>
      </c>
      <c r="R84" s="3"/>
      <c r="S84" s="5" t="str">
        <f t="array" ref="S84">IF($A84="","",IF($R84="",0,IFERROR(VLOOKUP(LEFT(TRIM(MID(SUBSTITUTE($R84,";",REPT(" ",99)),1,99)),FIND(":",TRIM(MID(SUBSTITUTE($R84,";",REPT(" ",99)),1,99)))-1),Materiales!$A$2:$E$502,5,FALSE)*VALUE(MID(TRIM(MID(SUBSTITUTE($R84,";",REPT(" ",99)),1,99)),FIND(":",TRIM(MID(SUBSTITUTE($R84,";",REPT(" ",99)),1,99)))+1,99)),0) + IFERROR(VLOOKUP(LEFT(TRIM(MID(SUBSTITUTE($R84,";",REPT(" ",99)),100,99)),FIND(":",TRIM(MID(SUBSTITUTE($R84,";",REPT(" ",99)),100,99)))-1),Materiales!$A$2:$E$502,5,FALSE)*VALUE(MID(TRIM(MID(SUBSTITUTE($R84,";",REPT(" ",99)),100,99)),FIND(":",TRIM(MID(SUBSTITUTE($R84,";",REPT(" ",99)),100,99)))+1,99)),0) + IFERROR(VLOOKUP(LEFT(TRIM(MID(SUBSTITUTE($R84,";",REPT(" ",99)),199,99)),FIND(":",TRIM(MID(SUBSTITUTE($R84,";",REPT(" ",99)),199,99)))-1),Materiales!$A$2:$E$502,5,FALSE)*VALUE(MID(TRIM(MID(SUBSTITUTE($R84,";",REPT(" ",99)),199,99)),FIND(":",TRIM(MID(SUBSTITUTE($R84,";",REPT(" ",99)),199,99)))+1,99)),0) + IFERROR(VLOOKUP(LEFT(TRIM(MID(SUBSTITUTE($R84,";",REPT(" ",99)),298,99)),FIND(":",TRIM(MID(SUBSTITUTE($R84,";",REPT(" ",99)),298,99)))-1),Materiales!$A$2:$E$502,5,FALSE)*VALUE(MID(TRIM(MID(SUBSTITUTE($R84,";",REPT(" ",99)),298,99)),FIND(":",TRIM(MID(SUBSTITUTE($R84,";",REPT(" ",99)),298,99)))+1,99)),0) + IFERROR(VLOOKUP(LEFT(TRIM(MID(SUBSTITUTE($R84,";",REPT(" ",99)),397,99)),FIND(":",TRIM(MID(SUBSTITUTE($R84,";",REPT(" ",99)),397,99)))-1),Materiales!$A$2:$E$502,5,FALSE)*VALUE(MID(TRIM(MID(SUBSTITUTE($R84,";",REPT(" ",99)),397,99)),FIND(":",TRIM(MID(SUBSTITUTE($R84,";",REPT(" ",99)),397,99)))+1,99)),0) + IFERROR(VLOOKUP(LEFT(TRIM(MID(SUBSTITUTE($R84,";",REPT(" ",99)),496,99)),FIND(":",TRIM(MID(SUBSTITUTE($R84,";",REPT(" ",99)),496,99)))-1),Materiales!$A$2:$E$502,5,FALSE)*VALUE(MID(TRIM(MID(SUBSTITUTE($R84,";",REPT(" ",99)),496,99)),FIND(":",TRIM(MID(SUBSTITUTE($R84,";",REPT(" ",99)),496,99)))+1,99)),0) + IFERROR(VLOOKUP(LEFT(TRIM(MID(SUBSTITUTE($R84,";",REPT(" ",99)),595,99)),FIND(":",TRIM(MID(SUBSTITUTE($R84,";",REPT(" ",99)),595,99)))-1),Materiales!$A$2:$E$502,5,FALSE)*VALUE(MID(TRIM(MID(SUBSTITUTE($R84,";",REPT(" ",99)),595,99)),FIND(":",TRIM(MID(SUBSTITUTE($R84,";",REPT(" ",99)),595,99)))+1,99)),0) + IFERROR(VLOOKUP(LEFT(TRIM(MID(SUBSTITUTE($R84,";",REPT(" ",99)),694,99)),FIND(":",TRIM(MID(SUBSTITUTE($R84,";",REPT(" ",99)),694,99)))-1),Materiales!$A$2:$E$502,5,FALSE)*VALUE(MID(TRIM(MID(SUBSTITUTE($R84,";",REPT(" ",99)),694,99)),FIND(":",TRIM(MID(SUBSTITUTE($R84,";",REPT(" ",99)),694,99)))+1,99)),0) + IFERROR(VLOOKUP(LEFT(TRIM(MID(SUBSTITUTE($R84,";",REPT(" ",99)),793,99)),FIND(":",TRIM(MID(SUBSTITUTE($R84,";",REPT(" ",99)),793,99)))-1),Materiales!$A$2:$E$502,5,FALSE)*VALUE(MID(TRIM(MID(SUBSTITUTE($R84,";",REPT(" ",99)),793,99)),FIND(":",TRIM(MID(SUBSTITUTE($R84,";",REPT(" ",99)),793,99)))+1,99)),0) + IFERROR(VLOOKUP(LEFT(TRIM(MID(SUBSTITUTE($R84,";",REPT(" ",99)),892,99)),FIND(":",TRIM(MID(SUBSTITUTE($R84,";",REPT(" ",99)),892,99)))-1),Materiales!$A$2:$E$502,5,FALSE)*VALUE(MID(TRIM(MID(SUBSTITUTE($R84,";",REPT(" ",99)),892,99)),FIND(":",TRIM(MID(SUBSTITUTE($R84,";",REPT(" ",99)),892,99)))+1,99)),0)))</f>
        <v/>
      </c>
      <c r="T84" s="3"/>
      <c r="U84" s="5" t="str">
        <f t="array" ref="U84">IF($A84="","",IF($T84="",0,IFERROR(VLOOKUP(LEFT(TRIM(MID(SUBSTITUTE($T84,";",REPT(" ",99)),1,99)),FIND(":",TRIM(MID(SUBSTITUTE($T84,";",REPT(" ",99)),1,99)))-1),Materiales!$A$2:$E$502,5,FALSE)*VALUE(MID(TRIM(MID(SUBSTITUTE($T84,";",REPT(" ",99)),1,99)),FIND(":",TRIM(MID(SUBSTITUTE($T84,";",REPT(" ",99)),1,99)))+1,99)),0) + IFERROR(VLOOKUP(LEFT(TRIM(MID(SUBSTITUTE($T84,";",REPT(" ",99)),100,99)),FIND(":",TRIM(MID(SUBSTITUTE($T84,";",REPT(" ",99)),100,99)))-1),Materiales!$A$2:$E$502,5,FALSE)*VALUE(MID(TRIM(MID(SUBSTITUTE($T84,";",REPT(" ",99)),100,99)),FIND(":",TRIM(MID(SUBSTITUTE($T84,";",REPT(" ",99)),100,99)))+1,99)),0) + IFERROR(VLOOKUP(LEFT(TRIM(MID(SUBSTITUTE($T84,";",REPT(" ",99)),199,99)),FIND(":",TRIM(MID(SUBSTITUTE($T84,";",REPT(" ",99)),199,99)))-1),Materiales!$A$2:$E$502,5,FALSE)*VALUE(MID(TRIM(MID(SUBSTITUTE($T84,";",REPT(" ",99)),199,99)),FIND(":",TRIM(MID(SUBSTITUTE($T84,";",REPT(" ",99)),199,99)))+1,99)),0) + IFERROR(VLOOKUP(LEFT(TRIM(MID(SUBSTITUTE($T84,";",REPT(" ",99)),298,99)),FIND(":",TRIM(MID(SUBSTITUTE($T84,";",REPT(" ",99)),298,99)))-1),Materiales!$A$2:$E$502,5,FALSE)*VALUE(MID(TRIM(MID(SUBSTITUTE($T84,";",REPT(" ",99)),298,99)),FIND(":",TRIM(MID(SUBSTITUTE($T84,";",REPT(" ",99)),298,99)))+1,99)),0) + IFERROR(VLOOKUP(LEFT(TRIM(MID(SUBSTITUTE($T84,";",REPT(" ",99)),397,99)),FIND(":",TRIM(MID(SUBSTITUTE($T84,";",REPT(" ",99)),397,99)))-1),Materiales!$A$2:$E$502,5,FALSE)*VALUE(MID(TRIM(MID(SUBSTITUTE($T84,";",REPT(" ",99)),397,99)),FIND(":",TRIM(MID(SUBSTITUTE($T84,";",REPT(" ",99)),397,99)))+1,99)),0) + IFERROR(VLOOKUP(LEFT(TRIM(MID(SUBSTITUTE($T84,";",REPT(" ",99)),496,99)),FIND(":",TRIM(MID(SUBSTITUTE($T84,";",REPT(" ",99)),496,99)))-1),Materiales!$A$2:$E$502,5,FALSE)*VALUE(MID(TRIM(MID(SUBSTITUTE($T84,";",REPT(" ",99)),496,99)),FIND(":",TRIM(MID(SUBSTITUTE($T84,";",REPT(" ",99)),496,99)))+1,99)),0) + IFERROR(VLOOKUP(LEFT(TRIM(MID(SUBSTITUTE($T84,";",REPT(" ",99)),595,99)),FIND(":",TRIM(MID(SUBSTITUTE($T84,";",REPT(" ",99)),595,99)))-1),Materiales!$A$2:$E$502,5,FALSE)*VALUE(MID(TRIM(MID(SUBSTITUTE($T84,";",REPT(" ",99)),595,99)),FIND(":",TRIM(MID(SUBSTITUTE($T84,";",REPT(" ",99)),595,99)))+1,99)),0) + IFERROR(VLOOKUP(LEFT(TRIM(MID(SUBSTITUTE($T84,";",REPT(" ",99)),694,99)),FIND(":",TRIM(MID(SUBSTITUTE($T84,";",REPT(" ",99)),694,99)))-1),Materiales!$A$2:$E$502,5,FALSE)*VALUE(MID(TRIM(MID(SUBSTITUTE($T84,";",REPT(" ",99)),694,99)),FIND(":",TRIM(MID(SUBSTITUTE($T84,";",REPT(" ",99)),694,99)))+1,99)),0) + IFERROR(VLOOKUP(LEFT(TRIM(MID(SUBSTITUTE($T84,";",REPT(" ",99)),793,99)),FIND(":",TRIM(MID(SUBSTITUTE($T84,";",REPT(" ",99)),793,99)))-1),Materiales!$A$2:$E$502,5,FALSE)*VALUE(MID(TRIM(MID(SUBSTITUTE($T84,";",REPT(" ",99)),793,99)),FIND(":",TRIM(MID(SUBSTITUTE($T84,";",REPT(" ",99)),793,99)))+1,99)),0) + IFERROR(VLOOKUP(LEFT(TRIM(MID(SUBSTITUTE($T84,";",REPT(" ",99)),892,99)),FIND(":",TRIM(MID(SUBSTITUTE($T84,";",REPT(" ",99)),892,99)))-1),Materiales!$A$2:$E$502,5,FALSE)*VALUE(MID(TRIM(MID(SUBSTITUTE($T84,";",REPT(" ",99)),892,99)),FIND(":",TRIM(MID(SUBSTITUTE($T84,";",REPT(" ",99)),892,99)))+1,99)),0)))</f>
        <v/>
      </c>
      <c r="V84" s="3"/>
      <c r="W84" s="5" t="str">
        <f t="array" ref="W84">IF($A84="","",IF($V84="",0,IFERROR(VLOOKUP(LEFT(TRIM(MID(SUBSTITUTE($V84,";",REPT(" ",99)),1,99)),FIND(":",TRIM(MID(SUBSTITUTE($V84,";",REPT(" ",99)),1,99)))-1),Materiales!$A$2:$E$502,5,FALSE)*VALUE(MID(TRIM(MID(SUBSTITUTE($V84,";",REPT(" ",99)),1,99)),FIND(":",TRIM(MID(SUBSTITUTE($V84,";",REPT(" ",99)),1,99)))+1,99)),0) + IFERROR(VLOOKUP(LEFT(TRIM(MID(SUBSTITUTE($V84,";",REPT(" ",99)),100,99)),FIND(":",TRIM(MID(SUBSTITUTE($V84,";",REPT(" ",99)),100,99)))-1),Materiales!$A$2:$E$502,5,FALSE)*VALUE(MID(TRIM(MID(SUBSTITUTE($V84,";",REPT(" ",99)),100,99)),FIND(":",TRIM(MID(SUBSTITUTE($V84,";",REPT(" ",99)),100,99)))+1,99)),0) + IFERROR(VLOOKUP(LEFT(TRIM(MID(SUBSTITUTE($V84,";",REPT(" ",99)),199,99)),FIND(":",TRIM(MID(SUBSTITUTE($V84,";",REPT(" ",99)),199,99)))-1),Materiales!$A$2:$E$502,5,FALSE)*VALUE(MID(TRIM(MID(SUBSTITUTE($V84,";",REPT(" ",99)),199,99)),FIND(":",TRIM(MID(SUBSTITUTE($V84,";",REPT(" ",99)),199,99)))+1,99)),0) + IFERROR(VLOOKUP(LEFT(TRIM(MID(SUBSTITUTE($V84,";",REPT(" ",99)),298,99)),FIND(":",TRIM(MID(SUBSTITUTE($V84,";",REPT(" ",99)),298,99)))-1),Materiales!$A$2:$E$502,5,FALSE)*VALUE(MID(TRIM(MID(SUBSTITUTE($V84,";",REPT(" ",99)),298,99)),FIND(":",TRIM(MID(SUBSTITUTE($V84,";",REPT(" ",99)),298,99)))+1,99)),0) + IFERROR(VLOOKUP(LEFT(TRIM(MID(SUBSTITUTE($V84,";",REPT(" ",99)),397,99)),FIND(":",TRIM(MID(SUBSTITUTE($V84,";",REPT(" ",99)),397,99)))-1),Materiales!$A$2:$E$502,5,FALSE)*VALUE(MID(TRIM(MID(SUBSTITUTE($V84,";",REPT(" ",99)),397,99)),FIND(":",TRIM(MID(SUBSTITUTE($V84,";",REPT(" ",99)),397,99)))+1,99)),0) + IFERROR(VLOOKUP(LEFT(TRIM(MID(SUBSTITUTE($V84,";",REPT(" ",99)),496,99)),FIND(":",TRIM(MID(SUBSTITUTE($V84,";",REPT(" ",99)),496,99)))-1),Materiales!$A$2:$E$502,5,FALSE)*VALUE(MID(TRIM(MID(SUBSTITUTE($V84,";",REPT(" ",99)),496,99)),FIND(":",TRIM(MID(SUBSTITUTE($V84,";",REPT(" ",99)),496,99)))+1,99)),0) + IFERROR(VLOOKUP(LEFT(TRIM(MID(SUBSTITUTE($V84,";",REPT(" ",99)),595,99)),FIND(":",TRIM(MID(SUBSTITUTE($V84,";",REPT(" ",99)),595,99)))-1),Materiales!$A$2:$E$502,5,FALSE)*VALUE(MID(TRIM(MID(SUBSTITUTE($V84,";",REPT(" ",99)),595,99)),FIND(":",TRIM(MID(SUBSTITUTE($V84,";",REPT(" ",99)),595,99)))+1,99)),0) + IFERROR(VLOOKUP(LEFT(TRIM(MID(SUBSTITUTE($V84,";",REPT(" ",99)),694,99)),FIND(":",TRIM(MID(SUBSTITUTE($V84,";",REPT(" ",99)),694,99)))-1),Materiales!$A$2:$E$502,5,FALSE)*VALUE(MID(TRIM(MID(SUBSTITUTE($V84,";",REPT(" ",99)),694,99)),FIND(":",TRIM(MID(SUBSTITUTE($V84,";",REPT(" ",99)),694,99)))+1,99)),0) + IFERROR(VLOOKUP(LEFT(TRIM(MID(SUBSTITUTE($V84,";",REPT(" ",99)),793,99)),FIND(":",TRIM(MID(SUBSTITUTE($V84,";",REPT(" ",99)),793,99)))-1),Materiales!$A$2:$E$502,5,FALSE)*VALUE(MID(TRIM(MID(SUBSTITUTE($V84,";",REPT(" ",99)),793,99)),FIND(":",TRIM(MID(SUBSTITUTE($V84,";",REPT(" ",99)),793,99)))+1,99)),0) + IFERROR(VLOOKUP(LEFT(TRIM(MID(SUBSTITUTE($V84,";",REPT(" ",99)),892,99)),FIND(":",TRIM(MID(SUBSTITUTE($V84,";",REPT(" ",99)),892,99)))-1),Materiales!$A$2:$E$502,5,FALSE)*VALUE(MID(TRIM(MID(SUBSTITUTE($V84,";",REPT(" ",99)),892,99)),FIND(":",TRIM(MID(SUBSTITUTE($V84,";",REPT(" ",99)),892,99)))+1,99)),0)))</f>
        <v/>
      </c>
      <c r="X84" s="39" t="str">
        <f t="shared" si="13"/>
        <v/>
      </c>
      <c r="Y84" s="64"/>
      <c r="Z84" s="41"/>
      <c r="AA84" s="65"/>
      <c r="AB84" s="14"/>
      <c r="AC84" s="66"/>
      <c r="AD84" s="65"/>
      <c r="AE84" s="44">
        <f t="shared" si="17"/>
        <v>0</v>
      </c>
      <c r="AF84" s="45" t="str">
        <f t="shared" si="18"/>
        <v>#DIV/0!</v>
      </c>
    </row>
    <row r="85" ht="15.75" customHeight="1">
      <c r="A85" s="3"/>
      <c r="B85" s="3"/>
      <c r="C85" s="38"/>
      <c r="D85" s="38"/>
      <c r="E85" s="38"/>
      <c r="F85" s="14"/>
      <c r="G85" s="5" t="str">
        <f t="array" ref="G85">IF($A85="","",IFERROR($F85*(N($C85)*XLOOKUP($B85,Ceras!$A$2:$A$500,Ceras!$G$2:$G$500,0)+IF($D85="",0,N($E85)*XLOOKUP($D85,Ceras!$A$2:$A$500,Ceras!$G$2:$G$500,0))),"Revisar cera"))</f>
        <v/>
      </c>
      <c r="H85" s="5"/>
      <c r="I85" s="3"/>
      <c r="J85" s="14"/>
      <c r="K85" s="5" t="str">
        <f t="array" ref="K85">IF($A85="","",IFERROR($J85*XLOOKUP($I85,Pabilos!$A$2:$A$500,Pabilos!$H$2:$H$500,0),"Revisar pabilo"))</f>
        <v/>
      </c>
      <c r="L85" s="3"/>
      <c r="M85" s="14"/>
      <c r="N85" s="5" t="str">
        <f t="array" ref="N85">IF($A85="","",IFERROR($M85*XLOOKUP($L85,Esencias!$A$2:$A$501,Esencias!$G$2:$G$501,0),"Revisar esencia"))</f>
        <v/>
      </c>
      <c r="O85" s="3"/>
      <c r="P85" s="14"/>
      <c r="Q85" s="5" t="str">
        <f t="array" ref="Q85">IF($A85="","",IFERROR(IF($P85="",1,$P85)*XLOOKUP($O85,Colores!$A$2:$A$500,Colores!$H$2:$H$500,0),"Revisar color"))</f>
        <v/>
      </c>
      <c r="R85" s="3"/>
      <c r="S85" s="5" t="str">
        <f t="array" ref="S85">IF($A85="","",IF($R85="",0,IFERROR(VLOOKUP(LEFT(TRIM(MID(SUBSTITUTE($R85,";",REPT(" ",99)),1,99)),FIND(":",TRIM(MID(SUBSTITUTE($R85,";",REPT(" ",99)),1,99)))-1),Materiales!$A$2:$E$502,5,FALSE)*VALUE(MID(TRIM(MID(SUBSTITUTE($R85,";",REPT(" ",99)),1,99)),FIND(":",TRIM(MID(SUBSTITUTE($R85,";",REPT(" ",99)),1,99)))+1,99)),0) + IFERROR(VLOOKUP(LEFT(TRIM(MID(SUBSTITUTE($R85,";",REPT(" ",99)),100,99)),FIND(":",TRIM(MID(SUBSTITUTE($R85,";",REPT(" ",99)),100,99)))-1),Materiales!$A$2:$E$502,5,FALSE)*VALUE(MID(TRIM(MID(SUBSTITUTE($R85,";",REPT(" ",99)),100,99)),FIND(":",TRIM(MID(SUBSTITUTE($R85,";",REPT(" ",99)),100,99)))+1,99)),0) + IFERROR(VLOOKUP(LEFT(TRIM(MID(SUBSTITUTE($R85,";",REPT(" ",99)),199,99)),FIND(":",TRIM(MID(SUBSTITUTE($R85,";",REPT(" ",99)),199,99)))-1),Materiales!$A$2:$E$502,5,FALSE)*VALUE(MID(TRIM(MID(SUBSTITUTE($R85,";",REPT(" ",99)),199,99)),FIND(":",TRIM(MID(SUBSTITUTE($R85,";",REPT(" ",99)),199,99)))+1,99)),0) + IFERROR(VLOOKUP(LEFT(TRIM(MID(SUBSTITUTE($R85,";",REPT(" ",99)),298,99)),FIND(":",TRIM(MID(SUBSTITUTE($R85,";",REPT(" ",99)),298,99)))-1),Materiales!$A$2:$E$502,5,FALSE)*VALUE(MID(TRIM(MID(SUBSTITUTE($R85,";",REPT(" ",99)),298,99)),FIND(":",TRIM(MID(SUBSTITUTE($R85,";",REPT(" ",99)),298,99)))+1,99)),0) + IFERROR(VLOOKUP(LEFT(TRIM(MID(SUBSTITUTE($R85,";",REPT(" ",99)),397,99)),FIND(":",TRIM(MID(SUBSTITUTE($R85,";",REPT(" ",99)),397,99)))-1),Materiales!$A$2:$E$502,5,FALSE)*VALUE(MID(TRIM(MID(SUBSTITUTE($R85,";",REPT(" ",99)),397,99)),FIND(":",TRIM(MID(SUBSTITUTE($R85,";",REPT(" ",99)),397,99)))+1,99)),0) + IFERROR(VLOOKUP(LEFT(TRIM(MID(SUBSTITUTE($R85,";",REPT(" ",99)),496,99)),FIND(":",TRIM(MID(SUBSTITUTE($R85,";",REPT(" ",99)),496,99)))-1),Materiales!$A$2:$E$502,5,FALSE)*VALUE(MID(TRIM(MID(SUBSTITUTE($R85,";",REPT(" ",99)),496,99)),FIND(":",TRIM(MID(SUBSTITUTE($R85,";",REPT(" ",99)),496,99)))+1,99)),0) + IFERROR(VLOOKUP(LEFT(TRIM(MID(SUBSTITUTE($R85,";",REPT(" ",99)),595,99)),FIND(":",TRIM(MID(SUBSTITUTE($R85,";",REPT(" ",99)),595,99)))-1),Materiales!$A$2:$E$502,5,FALSE)*VALUE(MID(TRIM(MID(SUBSTITUTE($R85,";",REPT(" ",99)),595,99)),FIND(":",TRIM(MID(SUBSTITUTE($R85,";",REPT(" ",99)),595,99)))+1,99)),0) + IFERROR(VLOOKUP(LEFT(TRIM(MID(SUBSTITUTE($R85,";",REPT(" ",99)),694,99)),FIND(":",TRIM(MID(SUBSTITUTE($R85,";",REPT(" ",99)),694,99)))-1),Materiales!$A$2:$E$502,5,FALSE)*VALUE(MID(TRIM(MID(SUBSTITUTE($R85,";",REPT(" ",99)),694,99)),FIND(":",TRIM(MID(SUBSTITUTE($R85,";",REPT(" ",99)),694,99)))+1,99)),0) + IFERROR(VLOOKUP(LEFT(TRIM(MID(SUBSTITUTE($R85,";",REPT(" ",99)),793,99)),FIND(":",TRIM(MID(SUBSTITUTE($R85,";",REPT(" ",99)),793,99)))-1),Materiales!$A$2:$E$502,5,FALSE)*VALUE(MID(TRIM(MID(SUBSTITUTE($R85,";",REPT(" ",99)),793,99)),FIND(":",TRIM(MID(SUBSTITUTE($R85,";",REPT(" ",99)),793,99)))+1,99)),0) + IFERROR(VLOOKUP(LEFT(TRIM(MID(SUBSTITUTE($R85,";",REPT(" ",99)),892,99)),FIND(":",TRIM(MID(SUBSTITUTE($R85,";",REPT(" ",99)),892,99)))-1),Materiales!$A$2:$E$502,5,FALSE)*VALUE(MID(TRIM(MID(SUBSTITUTE($R85,";",REPT(" ",99)),892,99)),FIND(":",TRIM(MID(SUBSTITUTE($R85,";",REPT(" ",99)),892,99)))+1,99)),0)))</f>
        <v/>
      </c>
      <c r="T85" s="3"/>
      <c r="U85" s="5" t="str">
        <f t="array" ref="U85">IF($A85="","",IF($T85="",0,IFERROR(VLOOKUP(LEFT(TRIM(MID(SUBSTITUTE($T85,";",REPT(" ",99)),1,99)),FIND(":",TRIM(MID(SUBSTITUTE($T85,";",REPT(" ",99)),1,99)))-1),Materiales!$A$2:$E$502,5,FALSE)*VALUE(MID(TRIM(MID(SUBSTITUTE($T85,";",REPT(" ",99)),1,99)),FIND(":",TRIM(MID(SUBSTITUTE($T85,";",REPT(" ",99)),1,99)))+1,99)),0) + IFERROR(VLOOKUP(LEFT(TRIM(MID(SUBSTITUTE($T85,";",REPT(" ",99)),100,99)),FIND(":",TRIM(MID(SUBSTITUTE($T85,";",REPT(" ",99)),100,99)))-1),Materiales!$A$2:$E$502,5,FALSE)*VALUE(MID(TRIM(MID(SUBSTITUTE($T85,";",REPT(" ",99)),100,99)),FIND(":",TRIM(MID(SUBSTITUTE($T85,";",REPT(" ",99)),100,99)))+1,99)),0) + IFERROR(VLOOKUP(LEFT(TRIM(MID(SUBSTITUTE($T85,";",REPT(" ",99)),199,99)),FIND(":",TRIM(MID(SUBSTITUTE($T85,";",REPT(" ",99)),199,99)))-1),Materiales!$A$2:$E$502,5,FALSE)*VALUE(MID(TRIM(MID(SUBSTITUTE($T85,";",REPT(" ",99)),199,99)),FIND(":",TRIM(MID(SUBSTITUTE($T85,";",REPT(" ",99)),199,99)))+1,99)),0) + IFERROR(VLOOKUP(LEFT(TRIM(MID(SUBSTITUTE($T85,";",REPT(" ",99)),298,99)),FIND(":",TRIM(MID(SUBSTITUTE($T85,";",REPT(" ",99)),298,99)))-1),Materiales!$A$2:$E$502,5,FALSE)*VALUE(MID(TRIM(MID(SUBSTITUTE($T85,";",REPT(" ",99)),298,99)),FIND(":",TRIM(MID(SUBSTITUTE($T85,";",REPT(" ",99)),298,99)))+1,99)),0) + IFERROR(VLOOKUP(LEFT(TRIM(MID(SUBSTITUTE($T85,";",REPT(" ",99)),397,99)),FIND(":",TRIM(MID(SUBSTITUTE($T85,";",REPT(" ",99)),397,99)))-1),Materiales!$A$2:$E$502,5,FALSE)*VALUE(MID(TRIM(MID(SUBSTITUTE($T85,";",REPT(" ",99)),397,99)),FIND(":",TRIM(MID(SUBSTITUTE($T85,";",REPT(" ",99)),397,99)))+1,99)),0) + IFERROR(VLOOKUP(LEFT(TRIM(MID(SUBSTITUTE($T85,";",REPT(" ",99)),496,99)),FIND(":",TRIM(MID(SUBSTITUTE($T85,";",REPT(" ",99)),496,99)))-1),Materiales!$A$2:$E$502,5,FALSE)*VALUE(MID(TRIM(MID(SUBSTITUTE($T85,";",REPT(" ",99)),496,99)),FIND(":",TRIM(MID(SUBSTITUTE($T85,";",REPT(" ",99)),496,99)))+1,99)),0) + IFERROR(VLOOKUP(LEFT(TRIM(MID(SUBSTITUTE($T85,";",REPT(" ",99)),595,99)),FIND(":",TRIM(MID(SUBSTITUTE($T85,";",REPT(" ",99)),595,99)))-1),Materiales!$A$2:$E$502,5,FALSE)*VALUE(MID(TRIM(MID(SUBSTITUTE($T85,";",REPT(" ",99)),595,99)),FIND(":",TRIM(MID(SUBSTITUTE($T85,";",REPT(" ",99)),595,99)))+1,99)),0) + IFERROR(VLOOKUP(LEFT(TRIM(MID(SUBSTITUTE($T85,";",REPT(" ",99)),694,99)),FIND(":",TRIM(MID(SUBSTITUTE($T85,";",REPT(" ",99)),694,99)))-1),Materiales!$A$2:$E$502,5,FALSE)*VALUE(MID(TRIM(MID(SUBSTITUTE($T85,";",REPT(" ",99)),694,99)),FIND(":",TRIM(MID(SUBSTITUTE($T85,";",REPT(" ",99)),694,99)))+1,99)),0) + IFERROR(VLOOKUP(LEFT(TRIM(MID(SUBSTITUTE($T85,";",REPT(" ",99)),793,99)),FIND(":",TRIM(MID(SUBSTITUTE($T85,";",REPT(" ",99)),793,99)))-1),Materiales!$A$2:$E$502,5,FALSE)*VALUE(MID(TRIM(MID(SUBSTITUTE($T85,";",REPT(" ",99)),793,99)),FIND(":",TRIM(MID(SUBSTITUTE($T85,";",REPT(" ",99)),793,99)))+1,99)),0) + IFERROR(VLOOKUP(LEFT(TRIM(MID(SUBSTITUTE($T85,";",REPT(" ",99)),892,99)),FIND(":",TRIM(MID(SUBSTITUTE($T85,";",REPT(" ",99)),892,99)))-1),Materiales!$A$2:$E$502,5,FALSE)*VALUE(MID(TRIM(MID(SUBSTITUTE($T85,";",REPT(" ",99)),892,99)),FIND(":",TRIM(MID(SUBSTITUTE($T85,";",REPT(" ",99)),892,99)))+1,99)),0)))</f>
        <v/>
      </c>
      <c r="V85" s="3"/>
      <c r="W85" s="5" t="str">
        <f t="array" ref="W85">IF($A85="","",IF($V85="",0,IFERROR(VLOOKUP(LEFT(TRIM(MID(SUBSTITUTE($V85,";",REPT(" ",99)),1,99)),FIND(":",TRIM(MID(SUBSTITUTE($V85,";",REPT(" ",99)),1,99)))-1),Materiales!$A$2:$E$502,5,FALSE)*VALUE(MID(TRIM(MID(SUBSTITUTE($V85,";",REPT(" ",99)),1,99)),FIND(":",TRIM(MID(SUBSTITUTE($V85,";",REPT(" ",99)),1,99)))+1,99)),0) + IFERROR(VLOOKUP(LEFT(TRIM(MID(SUBSTITUTE($V85,";",REPT(" ",99)),100,99)),FIND(":",TRIM(MID(SUBSTITUTE($V85,";",REPT(" ",99)),100,99)))-1),Materiales!$A$2:$E$502,5,FALSE)*VALUE(MID(TRIM(MID(SUBSTITUTE($V85,";",REPT(" ",99)),100,99)),FIND(":",TRIM(MID(SUBSTITUTE($V85,";",REPT(" ",99)),100,99)))+1,99)),0) + IFERROR(VLOOKUP(LEFT(TRIM(MID(SUBSTITUTE($V85,";",REPT(" ",99)),199,99)),FIND(":",TRIM(MID(SUBSTITUTE($V85,";",REPT(" ",99)),199,99)))-1),Materiales!$A$2:$E$502,5,FALSE)*VALUE(MID(TRIM(MID(SUBSTITUTE($V85,";",REPT(" ",99)),199,99)),FIND(":",TRIM(MID(SUBSTITUTE($V85,";",REPT(" ",99)),199,99)))+1,99)),0) + IFERROR(VLOOKUP(LEFT(TRIM(MID(SUBSTITUTE($V85,";",REPT(" ",99)),298,99)),FIND(":",TRIM(MID(SUBSTITUTE($V85,";",REPT(" ",99)),298,99)))-1),Materiales!$A$2:$E$502,5,FALSE)*VALUE(MID(TRIM(MID(SUBSTITUTE($V85,";",REPT(" ",99)),298,99)),FIND(":",TRIM(MID(SUBSTITUTE($V85,";",REPT(" ",99)),298,99)))+1,99)),0) + IFERROR(VLOOKUP(LEFT(TRIM(MID(SUBSTITUTE($V85,";",REPT(" ",99)),397,99)),FIND(":",TRIM(MID(SUBSTITUTE($V85,";",REPT(" ",99)),397,99)))-1),Materiales!$A$2:$E$502,5,FALSE)*VALUE(MID(TRIM(MID(SUBSTITUTE($V85,";",REPT(" ",99)),397,99)),FIND(":",TRIM(MID(SUBSTITUTE($V85,";",REPT(" ",99)),397,99)))+1,99)),0) + IFERROR(VLOOKUP(LEFT(TRIM(MID(SUBSTITUTE($V85,";",REPT(" ",99)),496,99)),FIND(":",TRIM(MID(SUBSTITUTE($V85,";",REPT(" ",99)),496,99)))-1),Materiales!$A$2:$E$502,5,FALSE)*VALUE(MID(TRIM(MID(SUBSTITUTE($V85,";",REPT(" ",99)),496,99)),FIND(":",TRIM(MID(SUBSTITUTE($V85,";",REPT(" ",99)),496,99)))+1,99)),0) + IFERROR(VLOOKUP(LEFT(TRIM(MID(SUBSTITUTE($V85,";",REPT(" ",99)),595,99)),FIND(":",TRIM(MID(SUBSTITUTE($V85,";",REPT(" ",99)),595,99)))-1),Materiales!$A$2:$E$502,5,FALSE)*VALUE(MID(TRIM(MID(SUBSTITUTE($V85,";",REPT(" ",99)),595,99)),FIND(":",TRIM(MID(SUBSTITUTE($V85,";",REPT(" ",99)),595,99)))+1,99)),0) + IFERROR(VLOOKUP(LEFT(TRIM(MID(SUBSTITUTE($V85,";",REPT(" ",99)),694,99)),FIND(":",TRIM(MID(SUBSTITUTE($V85,";",REPT(" ",99)),694,99)))-1),Materiales!$A$2:$E$502,5,FALSE)*VALUE(MID(TRIM(MID(SUBSTITUTE($V85,";",REPT(" ",99)),694,99)),FIND(":",TRIM(MID(SUBSTITUTE($V85,";",REPT(" ",99)),694,99)))+1,99)),0) + IFERROR(VLOOKUP(LEFT(TRIM(MID(SUBSTITUTE($V85,";",REPT(" ",99)),793,99)),FIND(":",TRIM(MID(SUBSTITUTE($V85,";",REPT(" ",99)),793,99)))-1),Materiales!$A$2:$E$502,5,FALSE)*VALUE(MID(TRIM(MID(SUBSTITUTE($V85,";",REPT(" ",99)),793,99)),FIND(":",TRIM(MID(SUBSTITUTE($V85,";",REPT(" ",99)),793,99)))+1,99)),0) + IFERROR(VLOOKUP(LEFT(TRIM(MID(SUBSTITUTE($V85,";",REPT(" ",99)),892,99)),FIND(":",TRIM(MID(SUBSTITUTE($V85,";",REPT(" ",99)),892,99)))-1),Materiales!$A$2:$E$502,5,FALSE)*VALUE(MID(TRIM(MID(SUBSTITUTE($V85,";",REPT(" ",99)),892,99)),FIND(":",TRIM(MID(SUBSTITUTE($V85,";",REPT(" ",99)),892,99)))+1,99)),0)))</f>
        <v/>
      </c>
      <c r="X85" s="39" t="str">
        <f t="shared" si="13"/>
        <v/>
      </c>
      <c r="Y85" s="64"/>
      <c r="Z85" s="41"/>
      <c r="AA85" s="65"/>
      <c r="AB85" s="14"/>
      <c r="AC85" s="66"/>
      <c r="AD85" s="65"/>
      <c r="AE85" s="44">
        <f t="shared" si="17"/>
        <v>0</v>
      </c>
      <c r="AF85" s="45" t="str">
        <f t="shared" si="18"/>
        <v>#DIV/0!</v>
      </c>
    </row>
    <row r="86" ht="15.75" customHeight="1">
      <c r="A86" s="3"/>
      <c r="B86" s="3"/>
      <c r="C86" s="38"/>
      <c r="D86" s="38"/>
      <c r="E86" s="38"/>
      <c r="F86" s="14"/>
      <c r="G86" s="5" t="str">
        <f t="array" ref="G86">IF($A86="","",IFERROR($F86*(N($C86)*XLOOKUP($B86,Ceras!$A$2:$A$500,Ceras!$G$2:$G$500,0)+IF($D86="",0,N($E86)*XLOOKUP($D86,Ceras!$A$2:$A$500,Ceras!$G$2:$G$500,0))),"Revisar cera"))</f>
        <v/>
      </c>
      <c r="H86" s="5"/>
      <c r="I86" s="3"/>
      <c r="J86" s="14"/>
      <c r="K86" s="5" t="str">
        <f t="array" ref="K86">IF($A86="","",IFERROR($J86*XLOOKUP($I86,Pabilos!$A$2:$A$500,Pabilos!$H$2:$H$500,0),"Revisar pabilo"))</f>
        <v/>
      </c>
      <c r="L86" s="3"/>
      <c r="M86" s="14"/>
      <c r="N86" s="5" t="str">
        <f t="array" ref="N86">IF($A86="","",IFERROR($M86*XLOOKUP($L86,Esencias!$A$2:$A$501,Esencias!$G$2:$G$501,0),"Revisar esencia"))</f>
        <v/>
      </c>
      <c r="O86" s="3"/>
      <c r="P86" s="14"/>
      <c r="Q86" s="5" t="str">
        <f t="array" ref="Q86">IF($A86="","",IFERROR(IF($P86="",1,$P86)*XLOOKUP($O86,Colores!$A$2:$A$500,Colores!$H$2:$H$500,0),"Revisar color"))</f>
        <v/>
      </c>
      <c r="R86" s="3"/>
      <c r="S86" s="5" t="str">
        <f t="array" ref="S86">IF($A86="","",IF($R86="",0,IFERROR(VLOOKUP(LEFT(TRIM(MID(SUBSTITUTE($R86,";",REPT(" ",99)),1,99)),FIND(":",TRIM(MID(SUBSTITUTE($R86,";",REPT(" ",99)),1,99)))-1),Materiales!$A$2:$E$502,5,FALSE)*VALUE(MID(TRIM(MID(SUBSTITUTE($R86,";",REPT(" ",99)),1,99)),FIND(":",TRIM(MID(SUBSTITUTE($R86,";",REPT(" ",99)),1,99)))+1,99)),0) + IFERROR(VLOOKUP(LEFT(TRIM(MID(SUBSTITUTE($R86,";",REPT(" ",99)),100,99)),FIND(":",TRIM(MID(SUBSTITUTE($R86,";",REPT(" ",99)),100,99)))-1),Materiales!$A$2:$E$502,5,FALSE)*VALUE(MID(TRIM(MID(SUBSTITUTE($R86,";",REPT(" ",99)),100,99)),FIND(":",TRIM(MID(SUBSTITUTE($R86,";",REPT(" ",99)),100,99)))+1,99)),0) + IFERROR(VLOOKUP(LEFT(TRIM(MID(SUBSTITUTE($R86,";",REPT(" ",99)),199,99)),FIND(":",TRIM(MID(SUBSTITUTE($R86,";",REPT(" ",99)),199,99)))-1),Materiales!$A$2:$E$502,5,FALSE)*VALUE(MID(TRIM(MID(SUBSTITUTE($R86,";",REPT(" ",99)),199,99)),FIND(":",TRIM(MID(SUBSTITUTE($R86,";",REPT(" ",99)),199,99)))+1,99)),0) + IFERROR(VLOOKUP(LEFT(TRIM(MID(SUBSTITUTE($R86,";",REPT(" ",99)),298,99)),FIND(":",TRIM(MID(SUBSTITUTE($R86,";",REPT(" ",99)),298,99)))-1),Materiales!$A$2:$E$502,5,FALSE)*VALUE(MID(TRIM(MID(SUBSTITUTE($R86,";",REPT(" ",99)),298,99)),FIND(":",TRIM(MID(SUBSTITUTE($R86,";",REPT(" ",99)),298,99)))+1,99)),0) + IFERROR(VLOOKUP(LEFT(TRIM(MID(SUBSTITUTE($R86,";",REPT(" ",99)),397,99)),FIND(":",TRIM(MID(SUBSTITUTE($R86,";",REPT(" ",99)),397,99)))-1),Materiales!$A$2:$E$502,5,FALSE)*VALUE(MID(TRIM(MID(SUBSTITUTE($R86,";",REPT(" ",99)),397,99)),FIND(":",TRIM(MID(SUBSTITUTE($R86,";",REPT(" ",99)),397,99)))+1,99)),0) + IFERROR(VLOOKUP(LEFT(TRIM(MID(SUBSTITUTE($R86,";",REPT(" ",99)),496,99)),FIND(":",TRIM(MID(SUBSTITUTE($R86,";",REPT(" ",99)),496,99)))-1),Materiales!$A$2:$E$502,5,FALSE)*VALUE(MID(TRIM(MID(SUBSTITUTE($R86,";",REPT(" ",99)),496,99)),FIND(":",TRIM(MID(SUBSTITUTE($R86,";",REPT(" ",99)),496,99)))+1,99)),0) + IFERROR(VLOOKUP(LEFT(TRIM(MID(SUBSTITUTE($R86,";",REPT(" ",99)),595,99)),FIND(":",TRIM(MID(SUBSTITUTE($R86,";",REPT(" ",99)),595,99)))-1),Materiales!$A$2:$E$502,5,FALSE)*VALUE(MID(TRIM(MID(SUBSTITUTE($R86,";",REPT(" ",99)),595,99)),FIND(":",TRIM(MID(SUBSTITUTE($R86,";",REPT(" ",99)),595,99)))+1,99)),0) + IFERROR(VLOOKUP(LEFT(TRIM(MID(SUBSTITUTE($R86,";",REPT(" ",99)),694,99)),FIND(":",TRIM(MID(SUBSTITUTE($R86,";",REPT(" ",99)),694,99)))-1),Materiales!$A$2:$E$502,5,FALSE)*VALUE(MID(TRIM(MID(SUBSTITUTE($R86,";",REPT(" ",99)),694,99)),FIND(":",TRIM(MID(SUBSTITUTE($R86,";",REPT(" ",99)),694,99)))+1,99)),0) + IFERROR(VLOOKUP(LEFT(TRIM(MID(SUBSTITUTE($R86,";",REPT(" ",99)),793,99)),FIND(":",TRIM(MID(SUBSTITUTE($R86,";",REPT(" ",99)),793,99)))-1),Materiales!$A$2:$E$502,5,FALSE)*VALUE(MID(TRIM(MID(SUBSTITUTE($R86,";",REPT(" ",99)),793,99)),FIND(":",TRIM(MID(SUBSTITUTE($R86,";",REPT(" ",99)),793,99)))+1,99)),0) + IFERROR(VLOOKUP(LEFT(TRIM(MID(SUBSTITUTE($R86,";",REPT(" ",99)),892,99)),FIND(":",TRIM(MID(SUBSTITUTE($R86,";",REPT(" ",99)),892,99)))-1),Materiales!$A$2:$E$502,5,FALSE)*VALUE(MID(TRIM(MID(SUBSTITUTE($R86,";",REPT(" ",99)),892,99)),FIND(":",TRIM(MID(SUBSTITUTE($R86,";",REPT(" ",99)),892,99)))+1,99)),0)))</f>
        <v/>
      </c>
      <c r="T86" s="3"/>
      <c r="U86" s="5" t="str">
        <f t="array" ref="U86">IF($A86="","",IF($T86="",0,IFERROR(VLOOKUP(LEFT(TRIM(MID(SUBSTITUTE($T86,";",REPT(" ",99)),1,99)),FIND(":",TRIM(MID(SUBSTITUTE($T86,";",REPT(" ",99)),1,99)))-1),Materiales!$A$2:$E$502,5,FALSE)*VALUE(MID(TRIM(MID(SUBSTITUTE($T86,";",REPT(" ",99)),1,99)),FIND(":",TRIM(MID(SUBSTITUTE($T86,";",REPT(" ",99)),1,99)))+1,99)),0) + IFERROR(VLOOKUP(LEFT(TRIM(MID(SUBSTITUTE($T86,";",REPT(" ",99)),100,99)),FIND(":",TRIM(MID(SUBSTITUTE($T86,";",REPT(" ",99)),100,99)))-1),Materiales!$A$2:$E$502,5,FALSE)*VALUE(MID(TRIM(MID(SUBSTITUTE($T86,";",REPT(" ",99)),100,99)),FIND(":",TRIM(MID(SUBSTITUTE($T86,";",REPT(" ",99)),100,99)))+1,99)),0) + IFERROR(VLOOKUP(LEFT(TRIM(MID(SUBSTITUTE($T86,";",REPT(" ",99)),199,99)),FIND(":",TRIM(MID(SUBSTITUTE($T86,";",REPT(" ",99)),199,99)))-1),Materiales!$A$2:$E$502,5,FALSE)*VALUE(MID(TRIM(MID(SUBSTITUTE($T86,";",REPT(" ",99)),199,99)),FIND(":",TRIM(MID(SUBSTITUTE($T86,";",REPT(" ",99)),199,99)))+1,99)),0) + IFERROR(VLOOKUP(LEFT(TRIM(MID(SUBSTITUTE($T86,";",REPT(" ",99)),298,99)),FIND(":",TRIM(MID(SUBSTITUTE($T86,";",REPT(" ",99)),298,99)))-1),Materiales!$A$2:$E$502,5,FALSE)*VALUE(MID(TRIM(MID(SUBSTITUTE($T86,";",REPT(" ",99)),298,99)),FIND(":",TRIM(MID(SUBSTITUTE($T86,";",REPT(" ",99)),298,99)))+1,99)),0) + IFERROR(VLOOKUP(LEFT(TRIM(MID(SUBSTITUTE($T86,";",REPT(" ",99)),397,99)),FIND(":",TRIM(MID(SUBSTITUTE($T86,";",REPT(" ",99)),397,99)))-1),Materiales!$A$2:$E$502,5,FALSE)*VALUE(MID(TRIM(MID(SUBSTITUTE($T86,";",REPT(" ",99)),397,99)),FIND(":",TRIM(MID(SUBSTITUTE($T86,";",REPT(" ",99)),397,99)))+1,99)),0) + IFERROR(VLOOKUP(LEFT(TRIM(MID(SUBSTITUTE($T86,";",REPT(" ",99)),496,99)),FIND(":",TRIM(MID(SUBSTITUTE($T86,";",REPT(" ",99)),496,99)))-1),Materiales!$A$2:$E$502,5,FALSE)*VALUE(MID(TRIM(MID(SUBSTITUTE($T86,";",REPT(" ",99)),496,99)),FIND(":",TRIM(MID(SUBSTITUTE($T86,";",REPT(" ",99)),496,99)))+1,99)),0) + IFERROR(VLOOKUP(LEFT(TRIM(MID(SUBSTITUTE($T86,";",REPT(" ",99)),595,99)),FIND(":",TRIM(MID(SUBSTITUTE($T86,";",REPT(" ",99)),595,99)))-1),Materiales!$A$2:$E$502,5,FALSE)*VALUE(MID(TRIM(MID(SUBSTITUTE($T86,";",REPT(" ",99)),595,99)),FIND(":",TRIM(MID(SUBSTITUTE($T86,";",REPT(" ",99)),595,99)))+1,99)),0) + IFERROR(VLOOKUP(LEFT(TRIM(MID(SUBSTITUTE($T86,";",REPT(" ",99)),694,99)),FIND(":",TRIM(MID(SUBSTITUTE($T86,";",REPT(" ",99)),694,99)))-1),Materiales!$A$2:$E$502,5,FALSE)*VALUE(MID(TRIM(MID(SUBSTITUTE($T86,";",REPT(" ",99)),694,99)),FIND(":",TRIM(MID(SUBSTITUTE($T86,";",REPT(" ",99)),694,99)))+1,99)),0) + IFERROR(VLOOKUP(LEFT(TRIM(MID(SUBSTITUTE($T86,";",REPT(" ",99)),793,99)),FIND(":",TRIM(MID(SUBSTITUTE($T86,";",REPT(" ",99)),793,99)))-1),Materiales!$A$2:$E$502,5,FALSE)*VALUE(MID(TRIM(MID(SUBSTITUTE($T86,";",REPT(" ",99)),793,99)),FIND(":",TRIM(MID(SUBSTITUTE($T86,";",REPT(" ",99)),793,99)))+1,99)),0) + IFERROR(VLOOKUP(LEFT(TRIM(MID(SUBSTITUTE($T86,";",REPT(" ",99)),892,99)),FIND(":",TRIM(MID(SUBSTITUTE($T86,";",REPT(" ",99)),892,99)))-1),Materiales!$A$2:$E$502,5,FALSE)*VALUE(MID(TRIM(MID(SUBSTITUTE($T86,";",REPT(" ",99)),892,99)),FIND(":",TRIM(MID(SUBSTITUTE($T86,";",REPT(" ",99)),892,99)))+1,99)),0)))</f>
        <v/>
      </c>
      <c r="V86" s="3"/>
      <c r="W86" s="5" t="str">
        <f t="array" ref="W86">IF($A86="","",IF($V86="",0,IFERROR(VLOOKUP(LEFT(TRIM(MID(SUBSTITUTE($V86,";",REPT(" ",99)),1,99)),FIND(":",TRIM(MID(SUBSTITUTE($V86,";",REPT(" ",99)),1,99)))-1),Materiales!$A$2:$E$502,5,FALSE)*VALUE(MID(TRIM(MID(SUBSTITUTE($V86,";",REPT(" ",99)),1,99)),FIND(":",TRIM(MID(SUBSTITUTE($V86,";",REPT(" ",99)),1,99)))+1,99)),0) + IFERROR(VLOOKUP(LEFT(TRIM(MID(SUBSTITUTE($V86,";",REPT(" ",99)),100,99)),FIND(":",TRIM(MID(SUBSTITUTE($V86,";",REPT(" ",99)),100,99)))-1),Materiales!$A$2:$E$502,5,FALSE)*VALUE(MID(TRIM(MID(SUBSTITUTE($V86,";",REPT(" ",99)),100,99)),FIND(":",TRIM(MID(SUBSTITUTE($V86,";",REPT(" ",99)),100,99)))+1,99)),0) + IFERROR(VLOOKUP(LEFT(TRIM(MID(SUBSTITUTE($V86,";",REPT(" ",99)),199,99)),FIND(":",TRIM(MID(SUBSTITUTE($V86,";",REPT(" ",99)),199,99)))-1),Materiales!$A$2:$E$502,5,FALSE)*VALUE(MID(TRIM(MID(SUBSTITUTE($V86,";",REPT(" ",99)),199,99)),FIND(":",TRIM(MID(SUBSTITUTE($V86,";",REPT(" ",99)),199,99)))+1,99)),0) + IFERROR(VLOOKUP(LEFT(TRIM(MID(SUBSTITUTE($V86,";",REPT(" ",99)),298,99)),FIND(":",TRIM(MID(SUBSTITUTE($V86,";",REPT(" ",99)),298,99)))-1),Materiales!$A$2:$E$502,5,FALSE)*VALUE(MID(TRIM(MID(SUBSTITUTE($V86,";",REPT(" ",99)),298,99)),FIND(":",TRIM(MID(SUBSTITUTE($V86,";",REPT(" ",99)),298,99)))+1,99)),0) + IFERROR(VLOOKUP(LEFT(TRIM(MID(SUBSTITUTE($V86,";",REPT(" ",99)),397,99)),FIND(":",TRIM(MID(SUBSTITUTE($V86,";",REPT(" ",99)),397,99)))-1),Materiales!$A$2:$E$502,5,FALSE)*VALUE(MID(TRIM(MID(SUBSTITUTE($V86,";",REPT(" ",99)),397,99)),FIND(":",TRIM(MID(SUBSTITUTE($V86,";",REPT(" ",99)),397,99)))+1,99)),0) + IFERROR(VLOOKUP(LEFT(TRIM(MID(SUBSTITUTE($V86,";",REPT(" ",99)),496,99)),FIND(":",TRIM(MID(SUBSTITUTE($V86,";",REPT(" ",99)),496,99)))-1),Materiales!$A$2:$E$502,5,FALSE)*VALUE(MID(TRIM(MID(SUBSTITUTE($V86,";",REPT(" ",99)),496,99)),FIND(":",TRIM(MID(SUBSTITUTE($V86,";",REPT(" ",99)),496,99)))+1,99)),0) + IFERROR(VLOOKUP(LEFT(TRIM(MID(SUBSTITUTE($V86,";",REPT(" ",99)),595,99)),FIND(":",TRIM(MID(SUBSTITUTE($V86,";",REPT(" ",99)),595,99)))-1),Materiales!$A$2:$E$502,5,FALSE)*VALUE(MID(TRIM(MID(SUBSTITUTE($V86,";",REPT(" ",99)),595,99)),FIND(":",TRIM(MID(SUBSTITUTE($V86,";",REPT(" ",99)),595,99)))+1,99)),0) + IFERROR(VLOOKUP(LEFT(TRIM(MID(SUBSTITUTE($V86,";",REPT(" ",99)),694,99)),FIND(":",TRIM(MID(SUBSTITUTE($V86,";",REPT(" ",99)),694,99)))-1),Materiales!$A$2:$E$502,5,FALSE)*VALUE(MID(TRIM(MID(SUBSTITUTE($V86,";",REPT(" ",99)),694,99)),FIND(":",TRIM(MID(SUBSTITUTE($V86,";",REPT(" ",99)),694,99)))+1,99)),0) + IFERROR(VLOOKUP(LEFT(TRIM(MID(SUBSTITUTE($V86,";",REPT(" ",99)),793,99)),FIND(":",TRIM(MID(SUBSTITUTE($V86,";",REPT(" ",99)),793,99)))-1),Materiales!$A$2:$E$502,5,FALSE)*VALUE(MID(TRIM(MID(SUBSTITUTE($V86,";",REPT(" ",99)),793,99)),FIND(":",TRIM(MID(SUBSTITUTE($V86,";",REPT(" ",99)),793,99)))+1,99)),0) + IFERROR(VLOOKUP(LEFT(TRIM(MID(SUBSTITUTE($V86,";",REPT(" ",99)),892,99)),FIND(":",TRIM(MID(SUBSTITUTE($V86,";",REPT(" ",99)),892,99)))-1),Materiales!$A$2:$E$502,5,FALSE)*VALUE(MID(TRIM(MID(SUBSTITUTE($V86,";",REPT(" ",99)),892,99)),FIND(":",TRIM(MID(SUBSTITUTE($V86,";",REPT(" ",99)),892,99)))+1,99)),0)))</f>
        <v/>
      </c>
      <c r="X86" s="39" t="str">
        <f t="shared" si="13"/>
        <v/>
      </c>
      <c r="Y86" s="64"/>
      <c r="Z86" s="41"/>
      <c r="AA86" s="65"/>
      <c r="AB86" s="14"/>
      <c r="AC86" s="66"/>
      <c r="AD86" s="65"/>
      <c r="AE86" s="44">
        <f t="shared" si="17"/>
        <v>0</v>
      </c>
      <c r="AF86" s="45" t="str">
        <f t="shared" si="18"/>
        <v>#DIV/0!</v>
      </c>
    </row>
    <row r="87" ht="15.75" customHeight="1">
      <c r="A87" s="3"/>
      <c r="B87" s="3"/>
      <c r="C87" s="38"/>
      <c r="D87" s="38"/>
      <c r="E87" s="38"/>
      <c r="F87" s="14"/>
      <c r="G87" s="5" t="str">
        <f t="array" ref="G87">IF($A87="","",IFERROR($F87*(N($C87)*XLOOKUP($B87,Ceras!$A$2:$A$500,Ceras!$G$2:$G$500,0)+IF($D87="",0,N($E87)*XLOOKUP($D87,Ceras!$A$2:$A$500,Ceras!$G$2:$G$500,0))),"Revisar cera"))</f>
        <v/>
      </c>
      <c r="H87" s="5"/>
      <c r="I87" s="3"/>
      <c r="J87" s="14"/>
      <c r="K87" s="5" t="str">
        <f t="array" ref="K87">IF($A87="","",IFERROR($J87*XLOOKUP($I87,Pabilos!$A$2:$A$500,Pabilos!$H$2:$H$500,0),"Revisar pabilo"))</f>
        <v/>
      </c>
      <c r="L87" s="3"/>
      <c r="M87" s="14"/>
      <c r="N87" s="5" t="str">
        <f t="array" ref="N87">IF($A87="","",IFERROR($M87*XLOOKUP($L87,Esencias!$A$2:$A$501,Esencias!$G$2:$G$501,0),"Revisar esencia"))</f>
        <v/>
      </c>
      <c r="O87" s="3"/>
      <c r="P87" s="14"/>
      <c r="Q87" s="5" t="str">
        <f t="array" ref="Q87">IF($A87="","",IFERROR(IF($P87="",1,$P87)*XLOOKUP($O87,Colores!$A$2:$A$500,Colores!$H$2:$H$500,0),"Revisar color"))</f>
        <v/>
      </c>
      <c r="R87" s="3"/>
      <c r="S87" s="5" t="str">
        <f t="array" ref="S87">IF($A87="","",IF($R87="",0,IFERROR(VLOOKUP(LEFT(TRIM(MID(SUBSTITUTE($R87,";",REPT(" ",99)),1,99)),FIND(":",TRIM(MID(SUBSTITUTE($R87,";",REPT(" ",99)),1,99)))-1),Materiales!$A$2:$E$502,5,FALSE)*VALUE(MID(TRIM(MID(SUBSTITUTE($R87,";",REPT(" ",99)),1,99)),FIND(":",TRIM(MID(SUBSTITUTE($R87,";",REPT(" ",99)),1,99)))+1,99)),0) + IFERROR(VLOOKUP(LEFT(TRIM(MID(SUBSTITUTE($R87,";",REPT(" ",99)),100,99)),FIND(":",TRIM(MID(SUBSTITUTE($R87,";",REPT(" ",99)),100,99)))-1),Materiales!$A$2:$E$502,5,FALSE)*VALUE(MID(TRIM(MID(SUBSTITUTE($R87,";",REPT(" ",99)),100,99)),FIND(":",TRIM(MID(SUBSTITUTE($R87,";",REPT(" ",99)),100,99)))+1,99)),0) + IFERROR(VLOOKUP(LEFT(TRIM(MID(SUBSTITUTE($R87,";",REPT(" ",99)),199,99)),FIND(":",TRIM(MID(SUBSTITUTE($R87,";",REPT(" ",99)),199,99)))-1),Materiales!$A$2:$E$502,5,FALSE)*VALUE(MID(TRIM(MID(SUBSTITUTE($R87,";",REPT(" ",99)),199,99)),FIND(":",TRIM(MID(SUBSTITUTE($R87,";",REPT(" ",99)),199,99)))+1,99)),0) + IFERROR(VLOOKUP(LEFT(TRIM(MID(SUBSTITUTE($R87,";",REPT(" ",99)),298,99)),FIND(":",TRIM(MID(SUBSTITUTE($R87,";",REPT(" ",99)),298,99)))-1),Materiales!$A$2:$E$502,5,FALSE)*VALUE(MID(TRIM(MID(SUBSTITUTE($R87,";",REPT(" ",99)),298,99)),FIND(":",TRIM(MID(SUBSTITUTE($R87,";",REPT(" ",99)),298,99)))+1,99)),0) + IFERROR(VLOOKUP(LEFT(TRIM(MID(SUBSTITUTE($R87,";",REPT(" ",99)),397,99)),FIND(":",TRIM(MID(SUBSTITUTE($R87,";",REPT(" ",99)),397,99)))-1),Materiales!$A$2:$E$502,5,FALSE)*VALUE(MID(TRIM(MID(SUBSTITUTE($R87,";",REPT(" ",99)),397,99)),FIND(":",TRIM(MID(SUBSTITUTE($R87,";",REPT(" ",99)),397,99)))+1,99)),0) + IFERROR(VLOOKUP(LEFT(TRIM(MID(SUBSTITUTE($R87,";",REPT(" ",99)),496,99)),FIND(":",TRIM(MID(SUBSTITUTE($R87,";",REPT(" ",99)),496,99)))-1),Materiales!$A$2:$E$502,5,FALSE)*VALUE(MID(TRIM(MID(SUBSTITUTE($R87,";",REPT(" ",99)),496,99)),FIND(":",TRIM(MID(SUBSTITUTE($R87,";",REPT(" ",99)),496,99)))+1,99)),0) + IFERROR(VLOOKUP(LEFT(TRIM(MID(SUBSTITUTE($R87,";",REPT(" ",99)),595,99)),FIND(":",TRIM(MID(SUBSTITUTE($R87,";",REPT(" ",99)),595,99)))-1),Materiales!$A$2:$E$502,5,FALSE)*VALUE(MID(TRIM(MID(SUBSTITUTE($R87,";",REPT(" ",99)),595,99)),FIND(":",TRIM(MID(SUBSTITUTE($R87,";",REPT(" ",99)),595,99)))+1,99)),0) + IFERROR(VLOOKUP(LEFT(TRIM(MID(SUBSTITUTE($R87,";",REPT(" ",99)),694,99)),FIND(":",TRIM(MID(SUBSTITUTE($R87,";",REPT(" ",99)),694,99)))-1),Materiales!$A$2:$E$502,5,FALSE)*VALUE(MID(TRIM(MID(SUBSTITUTE($R87,";",REPT(" ",99)),694,99)),FIND(":",TRIM(MID(SUBSTITUTE($R87,";",REPT(" ",99)),694,99)))+1,99)),0) + IFERROR(VLOOKUP(LEFT(TRIM(MID(SUBSTITUTE($R87,";",REPT(" ",99)),793,99)),FIND(":",TRIM(MID(SUBSTITUTE($R87,";",REPT(" ",99)),793,99)))-1),Materiales!$A$2:$E$502,5,FALSE)*VALUE(MID(TRIM(MID(SUBSTITUTE($R87,";",REPT(" ",99)),793,99)),FIND(":",TRIM(MID(SUBSTITUTE($R87,";",REPT(" ",99)),793,99)))+1,99)),0) + IFERROR(VLOOKUP(LEFT(TRIM(MID(SUBSTITUTE($R87,";",REPT(" ",99)),892,99)),FIND(":",TRIM(MID(SUBSTITUTE($R87,";",REPT(" ",99)),892,99)))-1),Materiales!$A$2:$E$502,5,FALSE)*VALUE(MID(TRIM(MID(SUBSTITUTE($R87,";",REPT(" ",99)),892,99)),FIND(":",TRIM(MID(SUBSTITUTE($R87,";",REPT(" ",99)),892,99)))+1,99)),0)))</f>
        <v/>
      </c>
      <c r="T87" s="3"/>
      <c r="U87" s="5" t="str">
        <f t="array" ref="U87">IF($A87="","",IF($T87="",0,IFERROR(VLOOKUP(LEFT(TRIM(MID(SUBSTITUTE($T87,";",REPT(" ",99)),1,99)),FIND(":",TRIM(MID(SUBSTITUTE($T87,";",REPT(" ",99)),1,99)))-1),Materiales!$A$2:$E$502,5,FALSE)*VALUE(MID(TRIM(MID(SUBSTITUTE($T87,";",REPT(" ",99)),1,99)),FIND(":",TRIM(MID(SUBSTITUTE($T87,";",REPT(" ",99)),1,99)))+1,99)),0) + IFERROR(VLOOKUP(LEFT(TRIM(MID(SUBSTITUTE($T87,";",REPT(" ",99)),100,99)),FIND(":",TRIM(MID(SUBSTITUTE($T87,";",REPT(" ",99)),100,99)))-1),Materiales!$A$2:$E$502,5,FALSE)*VALUE(MID(TRIM(MID(SUBSTITUTE($T87,";",REPT(" ",99)),100,99)),FIND(":",TRIM(MID(SUBSTITUTE($T87,";",REPT(" ",99)),100,99)))+1,99)),0) + IFERROR(VLOOKUP(LEFT(TRIM(MID(SUBSTITUTE($T87,";",REPT(" ",99)),199,99)),FIND(":",TRIM(MID(SUBSTITUTE($T87,";",REPT(" ",99)),199,99)))-1),Materiales!$A$2:$E$502,5,FALSE)*VALUE(MID(TRIM(MID(SUBSTITUTE($T87,";",REPT(" ",99)),199,99)),FIND(":",TRIM(MID(SUBSTITUTE($T87,";",REPT(" ",99)),199,99)))+1,99)),0) + IFERROR(VLOOKUP(LEFT(TRIM(MID(SUBSTITUTE($T87,";",REPT(" ",99)),298,99)),FIND(":",TRIM(MID(SUBSTITUTE($T87,";",REPT(" ",99)),298,99)))-1),Materiales!$A$2:$E$502,5,FALSE)*VALUE(MID(TRIM(MID(SUBSTITUTE($T87,";",REPT(" ",99)),298,99)),FIND(":",TRIM(MID(SUBSTITUTE($T87,";",REPT(" ",99)),298,99)))+1,99)),0) + IFERROR(VLOOKUP(LEFT(TRIM(MID(SUBSTITUTE($T87,";",REPT(" ",99)),397,99)),FIND(":",TRIM(MID(SUBSTITUTE($T87,";",REPT(" ",99)),397,99)))-1),Materiales!$A$2:$E$502,5,FALSE)*VALUE(MID(TRIM(MID(SUBSTITUTE($T87,";",REPT(" ",99)),397,99)),FIND(":",TRIM(MID(SUBSTITUTE($T87,";",REPT(" ",99)),397,99)))+1,99)),0) + IFERROR(VLOOKUP(LEFT(TRIM(MID(SUBSTITUTE($T87,";",REPT(" ",99)),496,99)),FIND(":",TRIM(MID(SUBSTITUTE($T87,";",REPT(" ",99)),496,99)))-1),Materiales!$A$2:$E$502,5,FALSE)*VALUE(MID(TRIM(MID(SUBSTITUTE($T87,";",REPT(" ",99)),496,99)),FIND(":",TRIM(MID(SUBSTITUTE($T87,";",REPT(" ",99)),496,99)))+1,99)),0) + IFERROR(VLOOKUP(LEFT(TRIM(MID(SUBSTITUTE($T87,";",REPT(" ",99)),595,99)),FIND(":",TRIM(MID(SUBSTITUTE($T87,";",REPT(" ",99)),595,99)))-1),Materiales!$A$2:$E$502,5,FALSE)*VALUE(MID(TRIM(MID(SUBSTITUTE($T87,";",REPT(" ",99)),595,99)),FIND(":",TRIM(MID(SUBSTITUTE($T87,";",REPT(" ",99)),595,99)))+1,99)),0) + IFERROR(VLOOKUP(LEFT(TRIM(MID(SUBSTITUTE($T87,";",REPT(" ",99)),694,99)),FIND(":",TRIM(MID(SUBSTITUTE($T87,";",REPT(" ",99)),694,99)))-1),Materiales!$A$2:$E$502,5,FALSE)*VALUE(MID(TRIM(MID(SUBSTITUTE($T87,";",REPT(" ",99)),694,99)),FIND(":",TRIM(MID(SUBSTITUTE($T87,";",REPT(" ",99)),694,99)))+1,99)),0) + IFERROR(VLOOKUP(LEFT(TRIM(MID(SUBSTITUTE($T87,";",REPT(" ",99)),793,99)),FIND(":",TRIM(MID(SUBSTITUTE($T87,";",REPT(" ",99)),793,99)))-1),Materiales!$A$2:$E$502,5,FALSE)*VALUE(MID(TRIM(MID(SUBSTITUTE($T87,";",REPT(" ",99)),793,99)),FIND(":",TRIM(MID(SUBSTITUTE($T87,";",REPT(" ",99)),793,99)))+1,99)),0) + IFERROR(VLOOKUP(LEFT(TRIM(MID(SUBSTITUTE($T87,";",REPT(" ",99)),892,99)),FIND(":",TRIM(MID(SUBSTITUTE($T87,";",REPT(" ",99)),892,99)))-1),Materiales!$A$2:$E$502,5,FALSE)*VALUE(MID(TRIM(MID(SUBSTITUTE($T87,";",REPT(" ",99)),892,99)),FIND(":",TRIM(MID(SUBSTITUTE($T87,";",REPT(" ",99)),892,99)))+1,99)),0)))</f>
        <v/>
      </c>
      <c r="V87" s="3"/>
      <c r="W87" s="5" t="str">
        <f t="array" ref="W87">IF($A87="","",IF($V87="",0,IFERROR(VLOOKUP(LEFT(TRIM(MID(SUBSTITUTE($V87,";",REPT(" ",99)),1,99)),FIND(":",TRIM(MID(SUBSTITUTE($V87,";",REPT(" ",99)),1,99)))-1),Materiales!$A$2:$E$502,5,FALSE)*VALUE(MID(TRIM(MID(SUBSTITUTE($V87,";",REPT(" ",99)),1,99)),FIND(":",TRIM(MID(SUBSTITUTE($V87,";",REPT(" ",99)),1,99)))+1,99)),0) + IFERROR(VLOOKUP(LEFT(TRIM(MID(SUBSTITUTE($V87,";",REPT(" ",99)),100,99)),FIND(":",TRIM(MID(SUBSTITUTE($V87,";",REPT(" ",99)),100,99)))-1),Materiales!$A$2:$E$502,5,FALSE)*VALUE(MID(TRIM(MID(SUBSTITUTE($V87,";",REPT(" ",99)),100,99)),FIND(":",TRIM(MID(SUBSTITUTE($V87,";",REPT(" ",99)),100,99)))+1,99)),0) + IFERROR(VLOOKUP(LEFT(TRIM(MID(SUBSTITUTE($V87,";",REPT(" ",99)),199,99)),FIND(":",TRIM(MID(SUBSTITUTE($V87,";",REPT(" ",99)),199,99)))-1),Materiales!$A$2:$E$502,5,FALSE)*VALUE(MID(TRIM(MID(SUBSTITUTE($V87,";",REPT(" ",99)),199,99)),FIND(":",TRIM(MID(SUBSTITUTE($V87,";",REPT(" ",99)),199,99)))+1,99)),0) + IFERROR(VLOOKUP(LEFT(TRIM(MID(SUBSTITUTE($V87,";",REPT(" ",99)),298,99)),FIND(":",TRIM(MID(SUBSTITUTE($V87,";",REPT(" ",99)),298,99)))-1),Materiales!$A$2:$E$502,5,FALSE)*VALUE(MID(TRIM(MID(SUBSTITUTE($V87,";",REPT(" ",99)),298,99)),FIND(":",TRIM(MID(SUBSTITUTE($V87,";",REPT(" ",99)),298,99)))+1,99)),0) + IFERROR(VLOOKUP(LEFT(TRIM(MID(SUBSTITUTE($V87,";",REPT(" ",99)),397,99)),FIND(":",TRIM(MID(SUBSTITUTE($V87,";",REPT(" ",99)),397,99)))-1),Materiales!$A$2:$E$502,5,FALSE)*VALUE(MID(TRIM(MID(SUBSTITUTE($V87,";",REPT(" ",99)),397,99)),FIND(":",TRIM(MID(SUBSTITUTE($V87,";",REPT(" ",99)),397,99)))+1,99)),0) + IFERROR(VLOOKUP(LEFT(TRIM(MID(SUBSTITUTE($V87,";",REPT(" ",99)),496,99)),FIND(":",TRIM(MID(SUBSTITUTE($V87,";",REPT(" ",99)),496,99)))-1),Materiales!$A$2:$E$502,5,FALSE)*VALUE(MID(TRIM(MID(SUBSTITUTE($V87,";",REPT(" ",99)),496,99)),FIND(":",TRIM(MID(SUBSTITUTE($V87,";",REPT(" ",99)),496,99)))+1,99)),0) + IFERROR(VLOOKUP(LEFT(TRIM(MID(SUBSTITUTE($V87,";",REPT(" ",99)),595,99)),FIND(":",TRIM(MID(SUBSTITUTE($V87,";",REPT(" ",99)),595,99)))-1),Materiales!$A$2:$E$502,5,FALSE)*VALUE(MID(TRIM(MID(SUBSTITUTE($V87,";",REPT(" ",99)),595,99)),FIND(":",TRIM(MID(SUBSTITUTE($V87,";",REPT(" ",99)),595,99)))+1,99)),0) + IFERROR(VLOOKUP(LEFT(TRIM(MID(SUBSTITUTE($V87,";",REPT(" ",99)),694,99)),FIND(":",TRIM(MID(SUBSTITUTE($V87,";",REPT(" ",99)),694,99)))-1),Materiales!$A$2:$E$502,5,FALSE)*VALUE(MID(TRIM(MID(SUBSTITUTE($V87,";",REPT(" ",99)),694,99)),FIND(":",TRIM(MID(SUBSTITUTE($V87,";",REPT(" ",99)),694,99)))+1,99)),0) + IFERROR(VLOOKUP(LEFT(TRIM(MID(SUBSTITUTE($V87,";",REPT(" ",99)),793,99)),FIND(":",TRIM(MID(SUBSTITUTE($V87,";",REPT(" ",99)),793,99)))-1),Materiales!$A$2:$E$502,5,FALSE)*VALUE(MID(TRIM(MID(SUBSTITUTE($V87,";",REPT(" ",99)),793,99)),FIND(":",TRIM(MID(SUBSTITUTE($V87,";",REPT(" ",99)),793,99)))+1,99)),0) + IFERROR(VLOOKUP(LEFT(TRIM(MID(SUBSTITUTE($V87,";",REPT(" ",99)),892,99)),FIND(":",TRIM(MID(SUBSTITUTE($V87,";",REPT(" ",99)),892,99)))-1),Materiales!$A$2:$E$502,5,FALSE)*VALUE(MID(TRIM(MID(SUBSTITUTE($V87,";",REPT(" ",99)),892,99)),FIND(":",TRIM(MID(SUBSTITUTE($V87,";",REPT(" ",99)),892,99)))+1,99)),0)))</f>
        <v/>
      </c>
      <c r="X87" s="39" t="str">
        <f t="shared" si="13"/>
        <v/>
      </c>
      <c r="Y87" s="64"/>
      <c r="Z87" s="41"/>
      <c r="AA87" s="65"/>
      <c r="AB87" s="14"/>
      <c r="AC87" s="66"/>
      <c r="AD87" s="65"/>
      <c r="AE87" s="44">
        <f t="shared" si="17"/>
        <v>0</v>
      </c>
      <c r="AF87" s="45" t="str">
        <f t="shared" si="18"/>
        <v>#DIV/0!</v>
      </c>
    </row>
    <row r="88" ht="15.75" customHeight="1">
      <c r="A88" s="3"/>
      <c r="B88" s="3"/>
      <c r="C88" s="38"/>
      <c r="D88" s="38"/>
      <c r="E88" s="38"/>
      <c r="F88" s="14"/>
      <c r="G88" s="5" t="str">
        <f t="array" ref="G88">IF($A88="","",IFERROR($F88*(N($C88)*XLOOKUP($B88,Ceras!$A$2:$A$500,Ceras!$G$2:$G$500,0)+IF($D88="",0,N($E88)*XLOOKUP($D88,Ceras!$A$2:$A$500,Ceras!$G$2:$G$500,0))),"Revisar cera"))</f>
        <v/>
      </c>
      <c r="H88" s="5"/>
      <c r="I88" s="3"/>
      <c r="J88" s="14"/>
      <c r="K88" s="5" t="str">
        <f t="array" ref="K88">IF($A88="","",IFERROR($J88*XLOOKUP($I88,Pabilos!$A$2:$A$500,Pabilos!$H$2:$H$500,0),"Revisar pabilo"))</f>
        <v/>
      </c>
      <c r="L88" s="3"/>
      <c r="M88" s="14"/>
      <c r="N88" s="5" t="str">
        <f t="array" ref="N88">IF($A88="","",IFERROR($M88*XLOOKUP($L88,Esencias!$A$2:$A$501,Esencias!$G$2:$G$501,0),"Revisar esencia"))</f>
        <v/>
      </c>
      <c r="O88" s="3"/>
      <c r="P88" s="14"/>
      <c r="Q88" s="5" t="str">
        <f t="array" ref="Q88">IF($A88="","",IFERROR(IF($P88="",1,$P88)*XLOOKUP($O88,Colores!$A$2:$A$500,Colores!$H$2:$H$500,0),"Revisar color"))</f>
        <v/>
      </c>
      <c r="R88" s="3"/>
      <c r="S88" s="5" t="str">
        <f t="array" ref="S88">IF($A88="","",IF($R88="",0,IFERROR(VLOOKUP(LEFT(TRIM(MID(SUBSTITUTE($R88,";",REPT(" ",99)),1,99)),FIND(":",TRIM(MID(SUBSTITUTE($R88,";",REPT(" ",99)),1,99)))-1),Materiales!$A$2:$E$502,5,FALSE)*VALUE(MID(TRIM(MID(SUBSTITUTE($R88,";",REPT(" ",99)),1,99)),FIND(":",TRIM(MID(SUBSTITUTE($R88,";",REPT(" ",99)),1,99)))+1,99)),0) + IFERROR(VLOOKUP(LEFT(TRIM(MID(SUBSTITUTE($R88,";",REPT(" ",99)),100,99)),FIND(":",TRIM(MID(SUBSTITUTE($R88,";",REPT(" ",99)),100,99)))-1),Materiales!$A$2:$E$502,5,FALSE)*VALUE(MID(TRIM(MID(SUBSTITUTE($R88,";",REPT(" ",99)),100,99)),FIND(":",TRIM(MID(SUBSTITUTE($R88,";",REPT(" ",99)),100,99)))+1,99)),0) + IFERROR(VLOOKUP(LEFT(TRIM(MID(SUBSTITUTE($R88,";",REPT(" ",99)),199,99)),FIND(":",TRIM(MID(SUBSTITUTE($R88,";",REPT(" ",99)),199,99)))-1),Materiales!$A$2:$E$502,5,FALSE)*VALUE(MID(TRIM(MID(SUBSTITUTE($R88,";",REPT(" ",99)),199,99)),FIND(":",TRIM(MID(SUBSTITUTE($R88,";",REPT(" ",99)),199,99)))+1,99)),0) + IFERROR(VLOOKUP(LEFT(TRIM(MID(SUBSTITUTE($R88,";",REPT(" ",99)),298,99)),FIND(":",TRIM(MID(SUBSTITUTE($R88,";",REPT(" ",99)),298,99)))-1),Materiales!$A$2:$E$502,5,FALSE)*VALUE(MID(TRIM(MID(SUBSTITUTE($R88,";",REPT(" ",99)),298,99)),FIND(":",TRIM(MID(SUBSTITUTE($R88,";",REPT(" ",99)),298,99)))+1,99)),0) + IFERROR(VLOOKUP(LEFT(TRIM(MID(SUBSTITUTE($R88,";",REPT(" ",99)),397,99)),FIND(":",TRIM(MID(SUBSTITUTE($R88,";",REPT(" ",99)),397,99)))-1),Materiales!$A$2:$E$502,5,FALSE)*VALUE(MID(TRIM(MID(SUBSTITUTE($R88,";",REPT(" ",99)),397,99)),FIND(":",TRIM(MID(SUBSTITUTE($R88,";",REPT(" ",99)),397,99)))+1,99)),0) + IFERROR(VLOOKUP(LEFT(TRIM(MID(SUBSTITUTE($R88,";",REPT(" ",99)),496,99)),FIND(":",TRIM(MID(SUBSTITUTE($R88,";",REPT(" ",99)),496,99)))-1),Materiales!$A$2:$E$502,5,FALSE)*VALUE(MID(TRIM(MID(SUBSTITUTE($R88,";",REPT(" ",99)),496,99)),FIND(":",TRIM(MID(SUBSTITUTE($R88,";",REPT(" ",99)),496,99)))+1,99)),0) + IFERROR(VLOOKUP(LEFT(TRIM(MID(SUBSTITUTE($R88,";",REPT(" ",99)),595,99)),FIND(":",TRIM(MID(SUBSTITUTE($R88,";",REPT(" ",99)),595,99)))-1),Materiales!$A$2:$E$502,5,FALSE)*VALUE(MID(TRIM(MID(SUBSTITUTE($R88,";",REPT(" ",99)),595,99)),FIND(":",TRIM(MID(SUBSTITUTE($R88,";",REPT(" ",99)),595,99)))+1,99)),0) + IFERROR(VLOOKUP(LEFT(TRIM(MID(SUBSTITUTE($R88,";",REPT(" ",99)),694,99)),FIND(":",TRIM(MID(SUBSTITUTE($R88,";",REPT(" ",99)),694,99)))-1),Materiales!$A$2:$E$502,5,FALSE)*VALUE(MID(TRIM(MID(SUBSTITUTE($R88,";",REPT(" ",99)),694,99)),FIND(":",TRIM(MID(SUBSTITUTE($R88,";",REPT(" ",99)),694,99)))+1,99)),0) + IFERROR(VLOOKUP(LEFT(TRIM(MID(SUBSTITUTE($R88,";",REPT(" ",99)),793,99)),FIND(":",TRIM(MID(SUBSTITUTE($R88,";",REPT(" ",99)),793,99)))-1),Materiales!$A$2:$E$502,5,FALSE)*VALUE(MID(TRIM(MID(SUBSTITUTE($R88,";",REPT(" ",99)),793,99)),FIND(":",TRIM(MID(SUBSTITUTE($R88,";",REPT(" ",99)),793,99)))+1,99)),0) + IFERROR(VLOOKUP(LEFT(TRIM(MID(SUBSTITUTE($R88,";",REPT(" ",99)),892,99)),FIND(":",TRIM(MID(SUBSTITUTE($R88,";",REPT(" ",99)),892,99)))-1),Materiales!$A$2:$E$502,5,FALSE)*VALUE(MID(TRIM(MID(SUBSTITUTE($R88,";",REPT(" ",99)),892,99)),FIND(":",TRIM(MID(SUBSTITUTE($R88,";",REPT(" ",99)),892,99)))+1,99)),0)))</f>
        <v/>
      </c>
      <c r="T88" s="3"/>
      <c r="U88" s="5" t="str">
        <f t="array" ref="U88">IF($A88="","",IF($T88="",0,IFERROR(VLOOKUP(LEFT(TRIM(MID(SUBSTITUTE($T88,";",REPT(" ",99)),1,99)),FIND(":",TRIM(MID(SUBSTITUTE($T88,";",REPT(" ",99)),1,99)))-1),Materiales!$A$2:$E$502,5,FALSE)*VALUE(MID(TRIM(MID(SUBSTITUTE($T88,";",REPT(" ",99)),1,99)),FIND(":",TRIM(MID(SUBSTITUTE($T88,";",REPT(" ",99)),1,99)))+1,99)),0) + IFERROR(VLOOKUP(LEFT(TRIM(MID(SUBSTITUTE($T88,";",REPT(" ",99)),100,99)),FIND(":",TRIM(MID(SUBSTITUTE($T88,";",REPT(" ",99)),100,99)))-1),Materiales!$A$2:$E$502,5,FALSE)*VALUE(MID(TRIM(MID(SUBSTITUTE($T88,";",REPT(" ",99)),100,99)),FIND(":",TRIM(MID(SUBSTITUTE($T88,";",REPT(" ",99)),100,99)))+1,99)),0) + IFERROR(VLOOKUP(LEFT(TRIM(MID(SUBSTITUTE($T88,";",REPT(" ",99)),199,99)),FIND(":",TRIM(MID(SUBSTITUTE($T88,";",REPT(" ",99)),199,99)))-1),Materiales!$A$2:$E$502,5,FALSE)*VALUE(MID(TRIM(MID(SUBSTITUTE($T88,";",REPT(" ",99)),199,99)),FIND(":",TRIM(MID(SUBSTITUTE($T88,";",REPT(" ",99)),199,99)))+1,99)),0) + IFERROR(VLOOKUP(LEFT(TRIM(MID(SUBSTITUTE($T88,";",REPT(" ",99)),298,99)),FIND(":",TRIM(MID(SUBSTITUTE($T88,";",REPT(" ",99)),298,99)))-1),Materiales!$A$2:$E$502,5,FALSE)*VALUE(MID(TRIM(MID(SUBSTITUTE($T88,";",REPT(" ",99)),298,99)),FIND(":",TRIM(MID(SUBSTITUTE($T88,";",REPT(" ",99)),298,99)))+1,99)),0) + IFERROR(VLOOKUP(LEFT(TRIM(MID(SUBSTITUTE($T88,";",REPT(" ",99)),397,99)),FIND(":",TRIM(MID(SUBSTITUTE($T88,";",REPT(" ",99)),397,99)))-1),Materiales!$A$2:$E$502,5,FALSE)*VALUE(MID(TRIM(MID(SUBSTITUTE($T88,";",REPT(" ",99)),397,99)),FIND(":",TRIM(MID(SUBSTITUTE($T88,";",REPT(" ",99)),397,99)))+1,99)),0) + IFERROR(VLOOKUP(LEFT(TRIM(MID(SUBSTITUTE($T88,";",REPT(" ",99)),496,99)),FIND(":",TRIM(MID(SUBSTITUTE($T88,";",REPT(" ",99)),496,99)))-1),Materiales!$A$2:$E$502,5,FALSE)*VALUE(MID(TRIM(MID(SUBSTITUTE($T88,";",REPT(" ",99)),496,99)),FIND(":",TRIM(MID(SUBSTITUTE($T88,";",REPT(" ",99)),496,99)))+1,99)),0) + IFERROR(VLOOKUP(LEFT(TRIM(MID(SUBSTITUTE($T88,";",REPT(" ",99)),595,99)),FIND(":",TRIM(MID(SUBSTITUTE($T88,";",REPT(" ",99)),595,99)))-1),Materiales!$A$2:$E$502,5,FALSE)*VALUE(MID(TRIM(MID(SUBSTITUTE($T88,";",REPT(" ",99)),595,99)),FIND(":",TRIM(MID(SUBSTITUTE($T88,";",REPT(" ",99)),595,99)))+1,99)),0) + IFERROR(VLOOKUP(LEFT(TRIM(MID(SUBSTITUTE($T88,";",REPT(" ",99)),694,99)),FIND(":",TRIM(MID(SUBSTITUTE($T88,";",REPT(" ",99)),694,99)))-1),Materiales!$A$2:$E$502,5,FALSE)*VALUE(MID(TRIM(MID(SUBSTITUTE($T88,";",REPT(" ",99)),694,99)),FIND(":",TRIM(MID(SUBSTITUTE($T88,";",REPT(" ",99)),694,99)))+1,99)),0) + IFERROR(VLOOKUP(LEFT(TRIM(MID(SUBSTITUTE($T88,";",REPT(" ",99)),793,99)),FIND(":",TRIM(MID(SUBSTITUTE($T88,";",REPT(" ",99)),793,99)))-1),Materiales!$A$2:$E$502,5,FALSE)*VALUE(MID(TRIM(MID(SUBSTITUTE($T88,";",REPT(" ",99)),793,99)),FIND(":",TRIM(MID(SUBSTITUTE($T88,";",REPT(" ",99)),793,99)))+1,99)),0) + IFERROR(VLOOKUP(LEFT(TRIM(MID(SUBSTITUTE($T88,";",REPT(" ",99)),892,99)),FIND(":",TRIM(MID(SUBSTITUTE($T88,";",REPT(" ",99)),892,99)))-1),Materiales!$A$2:$E$502,5,FALSE)*VALUE(MID(TRIM(MID(SUBSTITUTE($T88,";",REPT(" ",99)),892,99)),FIND(":",TRIM(MID(SUBSTITUTE($T88,";",REPT(" ",99)),892,99)))+1,99)),0)))</f>
        <v/>
      </c>
      <c r="V88" s="3"/>
      <c r="W88" s="5" t="str">
        <f t="array" ref="W88">IF($A88="","",IF($V88="",0,IFERROR(VLOOKUP(LEFT(TRIM(MID(SUBSTITUTE($V88,";",REPT(" ",99)),1,99)),FIND(":",TRIM(MID(SUBSTITUTE($V88,";",REPT(" ",99)),1,99)))-1),Materiales!$A$2:$E$502,5,FALSE)*VALUE(MID(TRIM(MID(SUBSTITUTE($V88,";",REPT(" ",99)),1,99)),FIND(":",TRIM(MID(SUBSTITUTE($V88,";",REPT(" ",99)),1,99)))+1,99)),0) + IFERROR(VLOOKUP(LEFT(TRIM(MID(SUBSTITUTE($V88,";",REPT(" ",99)),100,99)),FIND(":",TRIM(MID(SUBSTITUTE($V88,";",REPT(" ",99)),100,99)))-1),Materiales!$A$2:$E$502,5,FALSE)*VALUE(MID(TRIM(MID(SUBSTITUTE($V88,";",REPT(" ",99)),100,99)),FIND(":",TRIM(MID(SUBSTITUTE($V88,";",REPT(" ",99)),100,99)))+1,99)),0) + IFERROR(VLOOKUP(LEFT(TRIM(MID(SUBSTITUTE($V88,";",REPT(" ",99)),199,99)),FIND(":",TRIM(MID(SUBSTITUTE($V88,";",REPT(" ",99)),199,99)))-1),Materiales!$A$2:$E$502,5,FALSE)*VALUE(MID(TRIM(MID(SUBSTITUTE($V88,";",REPT(" ",99)),199,99)),FIND(":",TRIM(MID(SUBSTITUTE($V88,";",REPT(" ",99)),199,99)))+1,99)),0) + IFERROR(VLOOKUP(LEFT(TRIM(MID(SUBSTITUTE($V88,";",REPT(" ",99)),298,99)),FIND(":",TRIM(MID(SUBSTITUTE($V88,";",REPT(" ",99)),298,99)))-1),Materiales!$A$2:$E$502,5,FALSE)*VALUE(MID(TRIM(MID(SUBSTITUTE($V88,";",REPT(" ",99)),298,99)),FIND(":",TRIM(MID(SUBSTITUTE($V88,";",REPT(" ",99)),298,99)))+1,99)),0) + IFERROR(VLOOKUP(LEFT(TRIM(MID(SUBSTITUTE($V88,";",REPT(" ",99)),397,99)),FIND(":",TRIM(MID(SUBSTITUTE($V88,";",REPT(" ",99)),397,99)))-1),Materiales!$A$2:$E$502,5,FALSE)*VALUE(MID(TRIM(MID(SUBSTITUTE($V88,";",REPT(" ",99)),397,99)),FIND(":",TRIM(MID(SUBSTITUTE($V88,";",REPT(" ",99)),397,99)))+1,99)),0) + IFERROR(VLOOKUP(LEFT(TRIM(MID(SUBSTITUTE($V88,";",REPT(" ",99)),496,99)),FIND(":",TRIM(MID(SUBSTITUTE($V88,";",REPT(" ",99)),496,99)))-1),Materiales!$A$2:$E$502,5,FALSE)*VALUE(MID(TRIM(MID(SUBSTITUTE($V88,";",REPT(" ",99)),496,99)),FIND(":",TRIM(MID(SUBSTITUTE($V88,";",REPT(" ",99)),496,99)))+1,99)),0) + IFERROR(VLOOKUP(LEFT(TRIM(MID(SUBSTITUTE($V88,";",REPT(" ",99)),595,99)),FIND(":",TRIM(MID(SUBSTITUTE($V88,";",REPT(" ",99)),595,99)))-1),Materiales!$A$2:$E$502,5,FALSE)*VALUE(MID(TRIM(MID(SUBSTITUTE($V88,";",REPT(" ",99)),595,99)),FIND(":",TRIM(MID(SUBSTITUTE($V88,";",REPT(" ",99)),595,99)))+1,99)),0) + IFERROR(VLOOKUP(LEFT(TRIM(MID(SUBSTITUTE($V88,";",REPT(" ",99)),694,99)),FIND(":",TRIM(MID(SUBSTITUTE($V88,";",REPT(" ",99)),694,99)))-1),Materiales!$A$2:$E$502,5,FALSE)*VALUE(MID(TRIM(MID(SUBSTITUTE($V88,";",REPT(" ",99)),694,99)),FIND(":",TRIM(MID(SUBSTITUTE($V88,";",REPT(" ",99)),694,99)))+1,99)),0) + IFERROR(VLOOKUP(LEFT(TRIM(MID(SUBSTITUTE($V88,";",REPT(" ",99)),793,99)),FIND(":",TRIM(MID(SUBSTITUTE($V88,";",REPT(" ",99)),793,99)))-1),Materiales!$A$2:$E$502,5,FALSE)*VALUE(MID(TRIM(MID(SUBSTITUTE($V88,";",REPT(" ",99)),793,99)),FIND(":",TRIM(MID(SUBSTITUTE($V88,";",REPT(" ",99)),793,99)))+1,99)),0) + IFERROR(VLOOKUP(LEFT(TRIM(MID(SUBSTITUTE($V88,";",REPT(" ",99)),892,99)),FIND(":",TRIM(MID(SUBSTITUTE($V88,";",REPT(" ",99)),892,99)))-1),Materiales!$A$2:$E$502,5,FALSE)*VALUE(MID(TRIM(MID(SUBSTITUTE($V88,";",REPT(" ",99)),892,99)),FIND(":",TRIM(MID(SUBSTITUTE($V88,";",REPT(" ",99)),892,99)))+1,99)),0)))</f>
        <v/>
      </c>
      <c r="X88" s="39" t="str">
        <f t="shared" si="13"/>
        <v/>
      </c>
      <c r="Y88" s="64"/>
      <c r="Z88" s="41"/>
      <c r="AA88" s="65"/>
      <c r="AB88" s="14"/>
      <c r="AC88" s="66"/>
      <c r="AD88" s="65"/>
      <c r="AE88" s="44">
        <f t="shared" si="17"/>
        <v>0</v>
      </c>
      <c r="AF88" s="45" t="str">
        <f t="shared" si="18"/>
        <v>#DIV/0!</v>
      </c>
    </row>
    <row r="89" ht="15.75" customHeight="1">
      <c r="A89" s="3"/>
      <c r="B89" s="3"/>
      <c r="C89" s="38"/>
      <c r="D89" s="38"/>
      <c r="E89" s="38"/>
      <c r="F89" s="14"/>
      <c r="G89" s="5" t="str">
        <f t="array" ref="G89">IF($A89="","",IFERROR($F89*(N($C89)*XLOOKUP($B89,Ceras!$A$2:$A$500,Ceras!$G$2:$G$500,0)+IF($D89="",0,N($E89)*XLOOKUP($D89,Ceras!$A$2:$A$500,Ceras!$G$2:$G$500,0))),"Revisar cera"))</f>
        <v/>
      </c>
      <c r="H89" s="5"/>
      <c r="I89" s="3"/>
      <c r="J89" s="14"/>
      <c r="K89" s="5" t="str">
        <f t="array" ref="K89">IF($A89="","",IFERROR($J89*XLOOKUP($I89,Pabilos!$A$2:$A$500,Pabilos!$H$2:$H$500,0),"Revisar pabilo"))</f>
        <v/>
      </c>
      <c r="L89" s="3"/>
      <c r="M89" s="14"/>
      <c r="N89" s="5" t="str">
        <f t="array" ref="N89">IF($A89="","",IFERROR($M89*XLOOKUP($L89,Esencias!$A$2:$A$501,Esencias!$G$2:$G$501,0),"Revisar esencia"))</f>
        <v/>
      </c>
      <c r="O89" s="3"/>
      <c r="P89" s="14"/>
      <c r="Q89" s="5" t="str">
        <f t="array" ref="Q89">IF($A89="","",IFERROR(IF($P89="",1,$P89)*XLOOKUP($O89,Colores!$A$2:$A$500,Colores!$H$2:$H$500,0),"Revisar color"))</f>
        <v/>
      </c>
      <c r="R89" s="3"/>
      <c r="S89" s="5" t="str">
        <f t="array" ref="S89">IF($A89="","",IF($R89="",0,IFERROR(VLOOKUP(LEFT(TRIM(MID(SUBSTITUTE($R89,";",REPT(" ",99)),1,99)),FIND(":",TRIM(MID(SUBSTITUTE($R89,";",REPT(" ",99)),1,99)))-1),Materiales!$A$2:$E$502,5,FALSE)*VALUE(MID(TRIM(MID(SUBSTITUTE($R89,";",REPT(" ",99)),1,99)),FIND(":",TRIM(MID(SUBSTITUTE($R89,";",REPT(" ",99)),1,99)))+1,99)),0) + IFERROR(VLOOKUP(LEFT(TRIM(MID(SUBSTITUTE($R89,";",REPT(" ",99)),100,99)),FIND(":",TRIM(MID(SUBSTITUTE($R89,";",REPT(" ",99)),100,99)))-1),Materiales!$A$2:$E$502,5,FALSE)*VALUE(MID(TRIM(MID(SUBSTITUTE($R89,";",REPT(" ",99)),100,99)),FIND(":",TRIM(MID(SUBSTITUTE($R89,";",REPT(" ",99)),100,99)))+1,99)),0) + IFERROR(VLOOKUP(LEFT(TRIM(MID(SUBSTITUTE($R89,";",REPT(" ",99)),199,99)),FIND(":",TRIM(MID(SUBSTITUTE($R89,";",REPT(" ",99)),199,99)))-1),Materiales!$A$2:$E$502,5,FALSE)*VALUE(MID(TRIM(MID(SUBSTITUTE($R89,";",REPT(" ",99)),199,99)),FIND(":",TRIM(MID(SUBSTITUTE($R89,";",REPT(" ",99)),199,99)))+1,99)),0) + IFERROR(VLOOKUP(LEFT(TRIM(MID(SUBSTITUTE($R89,";",REPT(" ",99)),298,99)),FIND(":",TRIM(MID(SUBSTITUTE($R89,";",REPT(" ",99)),298,99)))-1),Materiales!$A$2:$E$502,5,FALSE)*VALUE(MID(TRIM(MID(SUBSTITUTE($R89,";",REPT(" ",99)),298,99)),FIND(":",TRIM(MID(SUBSTITUTE($R89,";",REPT(" ",99)),298,99)))+1,99)),0) + IFERROR(VLOOKUP(LEFT(TRIM(MID(SUBSTITUTE($R89,";",REPT(" ",99)),397,99)),FIND(":",TRIM(MID(SUBSTITUTE($R89,";",REPT(" ",99)),397,99)))-1),Materiales!$A$2:$E$502,5,FALSE)*VALUE(MID(TRIM(MID(SUBSTITUTE($R89,";",REPT(" ",99)),397,99)),FIND(":",TRIM(MID(SUBSTITUTE($R89,";",REPT(" ",99)),397,99)))+1,99)),0) + IFERROR(VLOOKUP(LEFT(TRIM(MID(SUBSTITUTE($R89,";",REPT(" ",99)),496,99)),FIND(":",TRIM(MID(SUBSTITUTE($R89,";",REPT(" ",99)),496,99)))-1),Materiales!$A$2:$E$502,5,FALSE)*VALUE(MID(TRIM(MID(SUBSTITUTE($R89,";",REPT(" ",99)),496,99)),FIND(":",TRIM(MID(SUBSTITUTE($R89,";",REPT(" ",99)),496,99)))+1,99)),0) + IFERROR(VLOOKUP(LEFT(TRIM(MID(SUBSTITUTE($R89,";",REPT(" ",99)),595,99)),FIND(":",TRIM(MID(SUBSTITUTE($R89,";",REPT(" ",99)),595,99)))-1),Materiales!$A$2:$E$502,5,FALSE)*VALUE(MID(TRIM(MID(SUBSTITUTE($R89,";",REPT(" ",99)),595,99)),FIND(":",TRIM(MID(SUBSTITUTE($R89,";",REPT(" ",99)),595,99)))+1,99)),0) + IFERROR(VLOOKUP(LEFT(TRIM(MID(SUBSTITUTE($R89,";",REPT(" ",99)),694,99)),FIND(":",TRIM(MID(SUBSTITUTE($R89,";",REPT(" ",99)),694,99)))-1),Materiales!$A$2:$E$502,5,FALSE)*VALUE(MID(TRIM(MID(SUBSTITUTE($R89,";",REPT(" ",99)),694,99)),FIND(":",TRIM(MID(SUBSTITUTE($R89,";",REPT(" ",99)),694,99)))+1,99)),0) + IFERROR(VLOOKUP(LEFT(TRIM(MID(SUBSTITUTE($R89,";",REPT(" ",99)),793,99)),FIND(":",TRIM(MID(SUBSTITUTE($R89,";",REPT(" ",99)),793,99)))-1),Materiales!$A$2:$E$502,5,FALSE)*VALUE(MID(TRIM(MID(SUBSTITUTE($R89,";",REPT(" ",99)),793,99)),FIND(":",TRIM(MID(SUBSTITUTE($R89,";",REPT(" ",99)),793,99)))+1,99)),0) + IFERROR(VLOOKUP(LEFT(TRIM(MID(SUBSTITUTE($R89,";",REPT(" ",99)),892,99)),FIND(":",TRIM(MID(SUBSTITUTE($R89,";",REPT(" ",99)),892,99)))-1),Materiales!$A$2:$E$502,5,FALSE)*VALUE(MID(TRIM(MID(SUBSTITUTE($R89,";",REPT(" ",99)),892,99)),FIND(":",TRIM(MID(SUBSTITUTE($R89,";",REPT(" ",99)),892,99)))+1,99)),0)))</f>
        <v/>
      </c>
      <c r="T89" s="3"/>
      <c r="U89" s="5" t="str">
        <f t="array" ref="U89">IF($A89="","",IF($T89="",0,IFERROR(VLOOKUP(LEFT(TRIM(MID(SUBSTITUTE($T89,";",REPT(" ",99)),1,99)),FIND(":",TRIM(MID(SUBSTITUTE($T89,";",REPT(" ",99)),1,99)))-1),Materiales!$A$2:$E$502,5,FALSE)*VALUE(MID(TRIM(MID(SUBSTITUTE($T89,";",REPT(" ",99)),1,99)),FIND(":",TRIM(MID(SUBSTITUTE($T89,";",REPT(" ",99)),1,99)))+1,99)),0) + IFERROR(VLOOKUP(LEFT(TRIM(MID(SUBSTITUTE($T89,";",REPT(" ",99)),100,99)),FIND(":",TRIM(MID(SUBSTITUTE($T89,";",REPT(" ",99)),100,99)))-1),Materiales!$A$2:$E$502,5,FALSE)*VALUE(MID(TRIM(MID(SUBSTITUTE($T89,";",REPT(" ",99)),100,99)),FIND(":",TRIM(MID(SUBSTITUTE($T89,";",REPT(" ",99)),100,99)))+1,99)),0) + IFERROR(VLOOKUP(LEFT(TRIM(MID(SUBSTITUTE($T89,";",REPT(" ",99)),199,99)),FIND(":",TRIM(MID(SUBSTITUTE($T89,";",REPT(" ",99)),199,99)))-1),Materiales!$A$2:$E$502,5,FALSE)*VALUE(MID(TRIM(MID(SUBSTITUTE($T89,";",REPT(" ",99)),199,99)),FIND(":",TRIM(MID(SUBSTITUTE($T89,";",REPT(" ",99)),199,99)))+1,99)),0) + IFERROR(VLOOKUP(LEFT(TRIM(MID(SUBSTITUTE($T89,";",REPT(" ",99)),298,99)),FIND(":",TRIM(MID(SUBSTITUTE($T89,";",REPT(" ",99)),298,99)))-1),Materiales!$A$2:$E$502,5,FALSE)*VALUE(MID(TRIM(MID(SUBSTITUTE($T89,";",REPT(" ",99)),298,99)),FIND(":",TRIM(MID(SUBSTITUTE($T89,";",REPT(" ",99)),298,99)))+1,99)),0) + IFERROR(VLOOKUP(LEFT(TRIM(MID(SUBSTITUTE($T89,";",REPT(" ",99)),397,99)),FIND(":",TRIM(MID(SUBSTITUTE($T89,";",REPT(" ",99)),397,99)))-1),Materiales!$A$2:$E$502,5,FALSE)*VALUE(MID(TRIM(MID(SUBSTITUTE($T89,";",REPT(" ",99)),397,99)),FIND(":",TRIM(MID(SUBSTITUTE($T89,";",REPT(" ",99)),397,99)))+1,99)),0) + IFERROR(VLOOKUP(LEFT(TRIM(MID(SUBSTITUTE($T89,";",REPT(" ",99)),496,99)),FIND(":",TRIM(MID(SUBSTITUTE($T89,";",REPT(" ",99)),496,99)))-1),Materiales!$A$2:$E$502,5,FALSE)*VALUE(MID(TRIM(MID(SUBSTITUTE($T89,";",REPT(" ",99)),496,99)),FIND(":",TRIM(MID(SUBSTITUTE($T89,";",REPT(" ",99)),496,99)))+1,99)),0) + IFERROR(VLOOKUP(LEFT(TRIM(MID(SUBSTITUTE($T89,";",REPT(" ",99)),595,99)),FIND(":",TRIM(MID(SUBSTITUTE($T89,";",REPT(" ",99)),595,99)))-1),Materiales!$A$2:$E$502,5,FALSE)*VALUE(MID(TRIM(MID(SUBSTITUTE($T89,";",REPT(" ",99)),595,99)),FIND(":",TRIM(MID(SUBSTITUTE($T89,";",REPT(" ",99)),595,99)))+1,99)),0) + IFERROR(VLOOKUP(LEFT(TRIM(MID(SUBSTITUTE($T89,";",REPT(" ",99)),694,99)),FIND(":",TRIM(MID(SUBSTITUTE($T89,";",REPT(" ",99)),694,99)))-1),Materiales!$A$2:$E$502,5,FALSE)*VALUE(MID(TRIM(MID(SUBSTITUTE($T89,";",REPT(" ",99)),694,99)),FIND(":",TRIM(MID(SUBSTITUTE($T89,";",REPT(" ",99)),694,99)))+1,99)),0) + IFERROR(VLOOKUP(LEFT(TRIM(MID(SUBSTITUTE($T89,";",REPT(" ",99)),793,99)),FIND(":",TRIM(MID(SUBSTITUTE($T89,";",REPT(" ",99)),793,99)))-1),Materiales!$A$2:$E$502,5,FALSE)*VALUE(MID(TRIM(MID(SUBSTITUTE($T89,";",REPT(" ",99)),793,99)),FIND(":",TRIM(MID(SUBSTITUTE($T89,";",REPT(" ",99)),793,99)))+1,99)),0) + IFERROR(VLOOKUP(LEFT(TRIM(MID(SUBSTITUTE($T89,";",REPT(" ",99)),892,99)),FIND(":",TRIM(MID(SUBSTITUTE($T89,";",REPT(" ",99)),892,99)))-1),Materiales!$A$2:$E$502,5,FALSE)*VALUE(MID(TRIM(MID(SUBSTITUTE($T89,";",REPT(" ",99)),892,99)),FIND(":",TRIM(MID(SUBSTITUTE($T89,";",REPT(" ",99)),892,99)))+1,99)),0)))</f>
        <v/>
      </c>
      <c r="V89" s="3"/>
      <c r="W89" s="5" t="str">
        <f t="array" ref="W89">IF($A89="","",IF($V89="",0,IFERROR(VLOOKUP(LEFT(TRIM(MID(SUBSTITUTE($V89,";",REPT(" ",99)),1,99)),FIND(":",TRIM(MID(SUBSTITUTE($V89,";",REPT(" ",99)),1,99)))-1),Materiales!$A$2:$E$502,5,FALSE)*VALUE(MID(TRIM(MID(SUBSTITUTE($V89,";",REPT(" ",99)),1,99)),FIND(":",TRIM(MID(SUBSTITUTE($V89,";",REPT(" ",99)),1,99)))+1,99)),0) + IFERROR(VLOOKUP(LEFT(TRIM(MID(SUBSTITUTE($V89,";",REPT(" ",99)),100,99)),FIND(":",TRIM(MID(SUBSTITUTE($V89,";",REPT(" ",99)),100,99)))-1),Materiales!$A$2:$E$502,5,FALSE)*VALUE(MID(TRIM(MID(SUBSTITUTE($V89,";",REPT(" ",99)),100,99)),FIND(":",TRIM(MID(SUBSTITUTE($V89,";",REPT(" ",99)),100,99)))+1,99)),0) + IFERROR(VLOOKUP(LEFT(TRIM(MID(SUBSTITUTE($V89,";",REPT(" ",99)),199,99)),FIND(":",TRIM(MID(SUBSTITUTE($V89,";",REPT(" ",99)),199,99)))-1),Materiales!$A$2:$E$502,5,FALSE)*VALUE(MID(TRIM(MID(SUBSTITUTE($V89,";",REPT(" ",99)),199,99)),FIND(":",TRIM(MID(SUBSTITUTE($V89,";",REPT(" ",99)),199,99)))+1,99)),0) + IFERROR(VLOOKUP(LEFT(TRIM(MID(SUBSTITUTE($V89,";",REPT(" ",99)),298,99)),FIND(":",TRIM(MID(SUBSTITUTE($V89,";",REPT(" ",99)),298,99)))-1),Materiales!$A$2:$E$502,5,FALSE)*VALUE(MID(TRIM(MID(SUBSTITUTE($V89,";",REPT(" ",99)),298,99)),FIND(":",TRIM(MID(SUBSTITUTE($V89,";",REPT(" ",99)),298,99)))+1,99)),0) + IFERROR(VLOOKUP(LEFT(TRIM(MID(SUBSTITUTE($V89,";",REPT(" ",99)),397,99)),FIND(":",TRIM(MID(SUBSTITUTE($V89,";",REPT(" ",99)),397,99)))-1),Materiales!$A$2:$E$502,5,FALSE)*VALUE(MID(TRIM(MID(SUBSTITUTE($V89,";",REPT(" ",99)),397,99)),FIND(":",TRIM(MID(SUBSTITUTE($V89,";",REPT(" ",99)),397,99)))+1,99)),0) + IFERROR(VLOOKUP(LEFT(TRIM(MID(SUBSTITUTE($V89,";",REPT(" ",99)),496,99)),FIND(":",TRIM(MID(SUBSTITUTE($V89,";",REPT(" ",99)),496,99)))-1),Materiales!$A$2:$E$502,5,FALSE)*VALUE(MID(TRIM(MID(SUBSTITUTE($V89,";",REPT(" ",99)),496,99)),FIND(":",TRIM(MID(SUBSTITUTE($V89,";",REPT(" ",99)),496,99)))+1,99)),0) + IFERROR(VLOOKUP(LEFT(TRIM(MID(SUBSTITUTE($V89,";",REPT(" ",99)),595,99)),FIND(":",TRIM(MID(SUBSTITUTE($V89,";",REPT(" ",99)),595,99)))-1),Materiales!$A$2:$E$502,5,FALSE)*VALUE(MID(TRIM(MID(SUBSTITUTE($V89,";",REPT(" ",99)),595,99)),FIND(":",TRIM(MID(SUBSTITUTE($V89,";",REPT(" ",99)),595,99)))+1,99)),0) + IFERROR(VLOOKUP(LEFT(TRIM(MID(SUBSTITUTE($V89,";",REPT(" ",99)),694,99)),FIND(":",TRIM(MID(SUBSTITUTE($V89,";",REPT(" ",99)),694,99)))-1),Materiales!$A$2:$E$502,5,FALSE)*VALUE(MID(TRIM(MID(SUBSTITUTE($V89,";",REPT(" ",99)),694,99)),FIND(":",TRIM(MID(SUBSTITUTE($V89,";",REPT(" ",99)),694,99)))+1,99)),0) + IFERROR(VLOOKUP(LEFT(TRIM(MID(SUBSTITUTE($V89,";",REPT(" ",99)),793,99)),FIND(":",TRIM(MID(SUBSTITUTE($V89,";",REPT(" ",99)),793,99)))-1),Materiales!$A$2:$E$502,5,FALSE)*VALUE(MID(TRIM(MID(SUBSTITUTE($V89,";",REPT(" ",99)),793,99)),FIND(":",TRIM(MID(SUBSTITUTE($V89,";",REPT(" ",99)),793,99)))+1,99)),0) + IFERROR(VLOOKUP(LEFT(TRIM(MID(SUBSTITUTE($V89,";",REPT(" ",99)),892,99)),FIND(":",TRIM(MID(SUBSTITUTE($V89,";",REPT(" ",99)),892,99)))-1),Materiales!$A$2:$E$502,5,FALSE)*VALUE(MID(TRIM(MID(SUBSTITUTE($V89,";",REPT(" ",99)),892,99)),FIND(":",TRIM(MID(SUBSTITUTE($V89,";",REPT(" ",99)),892,99)))+1,99)),0)))</f>
        <v/>
      </c>
      <c r="X89" s="39" t="str">
        <f t="shared" si="13"/>
        <v/>
      </c>
      <c r="Y89" s="64"/>
      <c r="Z89" s="41"/>
      <c r="AA89" s="65"/>
      <c r="AB89" s="14"/>
      <c r="AC89" s="66"/>
      <c r="AD89" s="65"/>
      <c r="AE89" s="44">
        <f t="shared" si="17"/>
        <v>0</v>
      </c>
      <c r="AF89" s="45" t="str">
        <f t="shared" si="18"/>
        <v>#DIV/0!</v>
      </c>
    </row>
    <row r="90" ht="15.75" customHeight="1">
      <c r="A90" s="3"/>
      <c r="B90" s="3"/>
      <c r="C90" s="38"/>
      <c r="D90" s="38"/>
      <c r="E90" s="38"/>
      <c r="F90" s="14"/>
      <c r="G90" s="5" t="str">
        <f t="array" ref="G90">IF($A90="","",IFERROR($F90*(N($C90)*XLOOKUP($B90,Ceras!$A$2:$A$500,Ceras!$G$2:$G$500,0)+IF($D90="",0,N($E90)*XLOOKUP($D90,Ceras!$A$2:$A$500,Ceras!$G$2:$G$500,0))),"Revisar cera"))</f>
        <v/>
      </c>
      <c r="H90" s="5"/>
      <c r="I90" s="3"/>
      <c r="J90" s="14"/>
      <c r="K90" s="5" t="str">
        <f t="array" ref="K90">IF($A90="","",IFERROR($J90*XLOOKUP($I90,Pabilos!$A$2:$A$500,Pabilos!$H$2:$H$500,0),"Revisar pabilo"))</f>
        <v/>
      </c>
      <c r="L90" s="3"/>
      <c r="M90" s="14"/>
      <c r="N90" s="5" t="str">
        <f t="array" ref="N90">IF($A90="","",IFERROR($M90*XLOOKUP($L90,Esencias!$A$2:$A$501,Esencias!$G$2:$G$501,0),"Revisar esencia"))</f>
        <v/>
      </c>
      <c r="O90" s="3"/>
      <c r="P90" s="14"/>
      <c r="Q90" s="5" t="str">
        <f t="array" ref="Q90">IF($A90="","",IFERROR(IF($P90="",1,$P90)*XLOOKUP($O90,Colores!$A$2:$A$500,Colores!$H$2:$H$500,0),"Revisar color"))</f>
        <v/>
      </c>
      <c r="R90" s="3"/>
      <c r="S90" s="5" t="str">
        <f t="array" ref="S90">IF($A90="","",IF($R90="",0,IFERROR(VLOOKUP(LEFT(TRIM(MID(SUBSTITUTE($R90,";",REPT(" ",99)),1,99)),FIND(":",TRIM(MID(SUBSTITUTE($R90,";",REPT(" ",99)),1,99)))-1),Materiales!$A$2:$E$502,5,FALSE)*VALUE(MID(TRIM(MID(SUBSTITUTE($R90,";",REPT(" ",99)),1,99)),FIND(":",TRIM(MID(SUBSTITUTE($R90,";",REPT(" ",99)),1,99)))+1,99)),0) + IFERROR(VLOOKUP(LEFT(TRIM(MID(SUBSTITUTE($R90,";",REPT(" ",99)),100,99)),FIND(":",TRIM(MID(SUBSTITUTE($R90,";",REPT(" ",99)),100,99)))-1),Materiales!$A$2:$E$502,5,FALSE)*VALUE(MID(TRIM(MID(SUBSTITUTE($R90,";",REPT(" ",99)),100,99)),FIND(":",TRIM(MID(SUBSTITUTE($R90,";",REPT(" ",99)),100,99)))+1,99)),0) + IFERROR(VLOOKUP(LEFT(TRIM(MID(SUBSTITUTE($R90,";",REPT(" ",99)),199,99)),FIND(":",TRIM(MID(SUBSTITUTE($R90,";",REPT(" ",99)),199,99)))-1),Materiales!$A$2:$E$502,5,FALSE)*VALUE(MID(TRIM(MID(SUBSTITUTE($R90,";",REPT(" ",99)),199,99)),FIND(":",TRIM(MID(SUBSTITUTE($R90,";",REPT(" ",99)),199,99)))+1,99)),0) + IFERROR(VLOOKUP(LEFT(TRIM(MID(SUBSTITUTE($R90,";",REPT(" ",99)),298,99)),FIND(":",TRIM(MID(SUBSTITUTE($R90,";",REPT(" ",99)),298,99)))-1),Materiales!$A$2:$E$502,5,FALSE)*VALUE(MID(TRIM(MID(SUBSTITUTE($R90,";",REPT(" ",99)),298,99)),FIND(":",TRIM(MID(SUBSTITUTE($R90,";",REPT(" ",99)),298,99)))+1,99)),0) + IFERROR(VLOOKUP(LEFT(TRIM(MID(SUBSTITUTE($R90,";",REPT(" ",99)),397,99)),FIND(":",TRIM(MID(SUBSTITUTE($R90,";",REPT(" ",99)),397,99)))-1),Materiales!$A$2:$E$502,5,FALSE)*VALUE(MID(TRIM(MID(SUBSTITUTE($R90,";",REPT(" ",99)),397,99)),FIND(":",TRIM(MID(SUBSTITUTE($R90,";",REPT(" ",99)),397,99)))+1,99)),0) + IFERROR(VLOOKUP(LEFT(TRIM(MID(SUBSTITUTE($R90,";",REPT(" ",99)),496,99)),FIND(":",TRIM(MID(SUBSTITUTE($R90,";",REPT(" ",99)),496,99)))-1),Materiales!$A$2:$E$502,5,FALSE)*VALUE(MID(TRIM(MID(SUBSTITUTE($R90,";",REPT(" ",99)),496,99)),FIND(":",TRIM(MID(SUBSTITUTE($R90,";",REPT(" ",99)),496,99)))+1,99)),0) + IFERROR(VLOOKUP(LEFT(TRIM(MID(SUBSTITUTE($R90,";",REPT(" ",99)),595,99)),FIND(":",TRIM(MID(SUBSTITUTE($R90,";",REPT(" ",99)),595,99)))-1),Materiales!$A$2:$E$502,5,FALSE)*VALUE(MID(TRIM(MID(SUBSTITUTE($R90,";",REPT(" ",99)),595,99)),FIND(":",TRIM(MID(SUBSTITUTE($R90,";",REPT(" ",99)),595,99)))+1,99)),0) + IFERROR(VLOOKUP(LEFT(TRIM(MID(SUBSTITUTE($R90,";",REPT(" ",99)),694,99)),FIND(":",TRIM(MID(SUBSTITUTE($R90,";",REPT(" ",99)),694,99)))-1),Materiales!$A$2:$E$502,5,FALSE)*VALUE(MID(TRIM(MID(SUBSTITUTE($R90,";",REPT(" ",99)),694,99)),FIND(":",TRIM(MID(SUBSTITUTE($R90,";",REPT(" ",99)),694,99)))+1,99)),0) + IFERROR(VLOOKUP(LEFT(TRIM(MID(SUBSTITUTE($R90,";",REPT(" ",99)),793,99)),FIND(":",TRIM(MID(SUBSTITUTE($R90,";",REPT(" ",99)),793,99)))-1),Materiales!$A$2:$E$502,5,FALSE)*VALUE(MID(TRIM(MID(SUBSTITUTE($R90,";",REPT(" ",99)),793,99)),FIND(":",TRIM(MID(SUBSTITUTE($R90,";",REPT(" ",99)),793,99)))+1,99)),0) + IFERROR(VLOOKUP(LEFT(TRIM(MID(SUBSTITUTE($R90,";",REPT(" ",99)),892,99)),FIND(":",TRIM(MID(SUBSTITUTE($R90,";",REPT(" ",99)),892,99)))-1),Materiales!$A$2:$E$502,5,FALSE)*VALUE(MID(TRIM(MID(SUBSTITUTE($R90,";",REPT(" ",99)),892,99)),FIND(":",TRIM(MID(SUBSTITUTE($R90,";",REPT(" ",99)),892,99)))+1,99)),0)))</f>
        <v/>
      </c>
      <c r="T90" s="3"/>
      <c r="U90" s="5" t="str">
        <f t="array" ref="U90">IF($A90="","",IF($T90="",0,IFERROR(VLOOKUP(LEFT(TRIM(MID(SUBSTITUTE($T90,";",REPT(" ",99)),1,99)),FIND(":",TRIM(MID(SUBSTITUTE($T90,";",REPT(" ",99)),1,99)))-1),Materiales!$A$2:$E$502,5,FALSE)*VALUE(MID(TRIM(MID(SUBSTITUTE($T90,";",REPT(" ",99)),1,99)),FIND(":",TRIM(MID(SUBSTITUTE($T90,";",REPT(" ",99)),1,99)))+1,99)),0) + IFERROR(VLOOKUP(LEFT(TRIM(MID(SUBSTITUTE($T90,";",REPT(" ",99)),100,99)),FIND(":",TRIM(MID(SUBSTITUTE($T90,";",REPT(" ",99)),100,99)))-1),Materiales!$A$2:$E$502,5,FALSE)*VALUE(MID(TRIM(MID(SUBSTITUTE($T90,";",REPT(" ",99)),100,99)),FIND(":",TRIM(MID(SUBSTITUTE($T90,";",REPT(" ",99)),100,99)))+1,99)),0) + IFERROR(VLOOKUP(LEFT(TRIM(MID(SUBSTITUTE($T90,";",REPT(" ",99)),199,99)),FIND(":",TRIM(MID(SUBSTITUTE($T90,";",REPT(" ",99)),199,99)))-1),Materiales!$A$2:$E$502,5,FALSE)*VALUE(MID(TRIM(MID(SUBSTITUTE($T90,";",REPT(" ",99)),199,99)),FIND(":",TRIM(MID(SUBSTITUTE($T90,";",REPT(" ",99)),199,99)))+1,99)),0) + IFERROR(VLOOKUP(LEFT(TRIM(MID(SUBSTITUTE($T90,";",REPT(" ",99)),298,99)),FIND(":",TRIM(MID(SUBSTITUTE($T90,";",REPT(" ",99)),298,99)))-1),Materiales!$A$2:$E$502,5,FALSE)*VALUE(MID(TRIM(MID(SUBSTITUTE($T90,";",REPT(" ",99)),298,99)),FIND(":",TRIM(MID(SUBSTITUTE($T90,";",REPT(" ",99)),298,99)))+1,99)),0) + IFERROR(VLOOKUP(LEFT(TRIM(MID(SUBSTITUTE($T90,";",REPT(" ",99)),397,99)),FIND(":",TRIM(MID(SUBSTITUTE($T90,";",REPT(" ",99)),397,99)))-1),Materiales!$A$2:$E$502,5,FALSE)*VALUE(MID(TRIM(MID(SUBSTITUTE($T90,";",REPT(" ",99)),397,99)),FIND(":",TRIM(MID(SUBSTITUTE($T90,";",REPT(" ",99)),397,99)))+1,99)),0) + IFERROR(VLOOKUP(LEFT(TRIM(MID(SUBSTITUTE($T90,";",REPT(" ",99)),496,99)),FIND(":",TRIM(MID(SUBSTITUTE($T90,";",REPT(" ",99)),496,99)))-1),Materiales!$A$2:$E$502,5,FALSE)*VALUE(MID(TRIM(MID(SUBSTITUTE($T90,";",REPT(" ",99)),496,99)),FIND(":",TRIM(MID(SUBSTITUTE($T90,";",REPT(" ",99)),496,99)))+1,99)),0) + IFERROR(VLOOKUP(LEFT(TRIM(MID(SUBSTITUTE($T90,";",REPT(" ",99)),595,99)),FIND(":",TRIM(MID(SUBSTITUTE($T90,";",REPT(" ",99)),595,99)))-1),Materiales!$A$2:$E$502,5,FALSE)*VALUE(MID(TRIM(MID(SUBSTITUTE($T90,";",REPT(" ",99)),595,99)),FIND(":",TRIM(MID(SUBSTITUTE($T90,";",REPT(" ",99)),595,99)))+1,99)),0) + IFERROR(VLOOKUP(LEFT(TRIM(MID(SUBSTITUTE($T90,";",REPT(" ",99)),694,99)),FIND(":",TRIM(MID(SUBSTITUTE($T90,";",REPT(" ",99)),694,99)))-1),Materiales!$A$2:$E$502,5,FALSE)*VALUE(MID(TRIM(MID(SUBSTITUTE($T90,";",REPT(" ",99)),694,99)),FIND(":",TRIM(MID(SUBSTITUTE($T90,";",REPT(" ",99)),694,99)))+1,99)),0) + IFERROR(VLOOKUP(LEFT(TRIM(MID(SUBSTITUTE($T90,";",REPT(" ",99)),793,99)),FIND(":",TRIM(MID(SUBSTITUTE($T90,";",REPT(" ",99)),793,99)))-1),Materiales!$A$2:$E$502,5,FALSE)*VALUE(MID(TRIM(MID(SUBSTITUTE($T90,";",REPT(" ",99)),793,99)),FIND(":",TRIM(MID(SUBSTITUTE($T90,";",REPT(" ",99)),793,99)))+1,99)),0) + IFERROR(VLOOKUP(LEFT(TRIM(MID(SUBSTITUTE($T90,";",REPT(" ",99)),892,99)),FIND(":",TRIM(MID(SUBSTITUTE($T90,";",REPT(" ",99)),892,99)))-1),Materiales!$A$2:$E$502,5,FALSE)*VALUE(MID(TRIM(MID(SUBSTITUTE($T90,";",REPT(" ",99)),892,99)),FIND(":",TRIM(MID(SUBSTITUTE($T90,";",REPT(" ",99)),892,99)))+1,99)),0)))</f>
        <v/>
      </c>
      <c r="V90" s="3"/>
      <c r="W90" s="5" t="str">
        <f t="array" ref="W90">IF($A90="","",IF($V90="",0,IFERROR(VLOOKUP(LEFT(TRIM(MID(SUBSTITUTE($V90,";",REPT(" ",99)),1,99)),FIND(":",TRIM(MID(SUBSTITUTE($V90,";",REPT(" ",99)),1,99)))-1),Materiales!$A$2:$E$502,5,FALSE)*VALUE(MID(TRIM(MID(SUBSTITUTE($V90,";",REPT(" ",99)),1,99)),FIND(":",TRIM(MID(SUBSTITUTE($V90,";",REPT(" ",99)),1,99)))+1,99)),0) + IFERROR(VLOOKUP(LEFT(TRIM(MID(SUBSTITUTE($V90,";",REPT(" ",99)),100,99)),FIND(":",TRIM(MID(SUBSTITUTE($V90,";",REPT(" ",99)),100,99)))-1),Materiales!$A$2:$E$502,5,FALSE)*VALUE(MID(TRIM(MID(SUBSTITUTE($V90,";",REPT(" ",99)),100,99)),FIND(":",TRIM(MID(SUBSTITUTE($V90,";",REPT(" ",99)),100,99)))+1,99)),0) + IFERROR(VLOOKUP(LEFT(TRIM(MID(SUBSTITUTE($V90,";",REPT(" ",99)),199,99)),FIND(":",TRIM(MID(SUBSTITUTE($V90,";",REPT(" ",99)),199,99)))-1),Materiales!$A$2:$E$502,5,FALSE)*VALUE(MID(TRIM(MID(SUBSTITUTE($V90,";",REPT(" ",99)),199,99)),FIND(":",TRIM(MID(SUBSTITUTE($V90,";",REPT(" ",99)),199,99)))+1,99)),0) + IFERROR(VLOOKUP(LEFT(TRIM(MID(SUBSTITUTE($V90,";",REPT(" ",99)),298,99)),FIND(":",TRIM(MID(SUBSTITUTE($V90,";",REPT(" ",99)),298,99)))-1),Materiales!$A$2:$E$502,5,FALSE)*VALUE(MID(TRIM(MID(SUBSTITUTE($V90,";",REPT(" ",99)),298,99)),FIND(":",TRIM(MID(SUBSTITUTE($V90,";",REPT(" ",99)),298,99)))+1,99)),0) + IFERROR(VLOOKUP(LEFT(TRIM(MID(SUBSTITUTE($V90,";",REPT(" ",99)),397,99)),FIND(":",TRIM(MID(SUBSTITUTE($V90,";",REPT(" ",99)),397,99)))-1),Materiales!$A$2:$E$502,5,FALSE)*VALUE(MID(TRIM(MID(SUBSTITUTE($V90,";",REPT(" ",99)),397,99)),FIND(":",TRIM(MID(SUBSTITUTE($V90,";",REPT(" ",99)),397,99)))+1,99)),0) + IFERROR(VLOOKUP(LEFT(TRIM(MID(SUBSTITUTE($V90,";",REPT(" ",99)),496,99)),FIND(":",TRIM(MID(SUBSTITUTE($V90,";",REPT(" ",99)),496,99)))-1),Materiales!$A$2:$E$502,5,FALSE)*VALUE(MID(TRIM(MID(SUBSTITUTE($V90,";",REPT(" ",99)),496,99)),FIND(":",TRIM(MID(SUBSTITUTE($V90,";",REPT(" ",99)),496,99)))+1,99)),0) + IFERROR(VLOOKUP(LEFT(TRIM(MID(SUBSTITUTE($V90,";",REPT(" ",99)),595,99)),FIND(":",TRIM(MID(SUBSTITUTE($V90,";",REPT(" ",99)),595,99)))-1),Materiales!$A$2:$E$502,5,FALSE)*VALUE(MID(TRIM(MID(SUBSTITUTE($V90,";",REPT(" ",99)),595,99)),FIND(":",TRIM(MID(SUBSTITUTE($V90,";",REPT(" ",99)),595,99)))+1,99)),0) + IFERROR(VLOOKUP(LEFT(TRIM(MID(SUBSTITUTE($V90,";",REPT(" ",99)),694,99)),FIND(":",TRIM(MID(SUBSTITUTE($V90,";",REPT(" ",99)),694,99)))-1),Materiales!$A$2:$E$502,5,FALSE)*VALUE(MID(TRIM(MID(SUBSTITUTE($V90,";",REPT(" ",99)),694,99)),FIND(":",TRIM(MID(SUBSTITUTE($V90,";",REPT(" ",99)),694,99)))+1,99)),0) + IFERROR(VLOOKUP(LEFT(TRIM(MID(SUBSTITUTE($V90,";",REPT(" ",99)),793,99)),FIND(":",TRIM(MID(SUBSTITUTE($V90,";",REPT(" ",99)),793,99)))-1),Materiales!$A$2:$E$502,5,FALSE)*VALUE(MID(TRIM(MID(SUBSTITUTE($V90,";",REPT(" ",99)),793,99)),FIND(":",TRIM(MID(SUBSTITUTE($V90,";",REPT(" ",99)),793,99)))+1,99)),0) + IFERROR(VLOOKUP(LEFT(TRIM(MID(SUBSTITUTE($V90,";",REPT(" ",99)),892,99)),FIND(":",TRIM(MID(SUBSTITUTE($V90,";",REPT(" ",99)),892,99)))-1),Materiales!$A$2:$E$502,5,FALSE)*VALUE(MID(TRIM(MID(SUBSTITUTE($V90,";",REPT(" ",99)),892,99)),FIND(":",TRIM(MID(SUBSTITUTE($V90,";",REPT(" ",99)),892,99)))+1,99)),0)))</f>
        <v/>
      </c>
      <c r="X90" s="39" t="str">
        <f t="shared" si="13"/>
        <v/>
      </c>
      <c r="Y90" s="64"/>
      <c r="Z90" s="41"/>
      <c r="AA90" s="65"/>
      <c r="AB90" s="14"/>
      <c r="AC90" s="66"/>
      <c r="AD90" s="65"/>
      <c r="AE90" s="44">
        <f t="shared" si="17"/>
        <v>0</v>
      </c>
      <c r="AF90" s="45" t="str">
        <f t="shared" si="18"/>
        <v>#DIV/0!</v>
      </c>
    </row>
    <row r="91" ht="15.75" customHeight="1">
      <c r="A91" s="3"/>
      <c r="B91" s="3"/>
      <c r="C91" s="38"/>
      <c r="D91" s="38"/>
      <c r="E91" s="38"/>
      <c r="F91" s="14"/>
      <c r="G91" s="5" t="str">
        <f t="array" ref="G91">IF($A91="","",IFERROR($F91*(N($C91)*XLOOKUP($B91,Ceras!$A$2:$A$500,Ceras!$G$2:$G$500,0)+IF($D91="",0,N($E91)*XLOOKUP($D91,Ceras!$A$2:$A$500,Ceras!$G$2:$G$500,0))),"Revisar cera"))</f>
        <v/>
      </c>
      <c r="H91" s="5"/>
      <c r="I91" s="3"/>
      <c r="J91" s="14"/>
      <c r="K91" s="5" t="str">
        <f t="array" ref="K91">IF($A91="","",IFERROR($J91*XLOOKUP($I91,Pabilos!$A$2:$A$500,Pabilos!$H$2:$H$500,0),"Revisar pabilo"))</f>
        <v/>
      </c>
      <c r="L91" s="3"/>
      <c r="M91" s="14"/>
      <c r="N91" s="5" t="str">
        <f t="array" ref="N91">IF($A91="","",IFERROR($M91*XLOOKUP($L91,Esencias!$A$2:$A$501,Esencias!$G$2:$G$501,0),"Revisar esencia"))</f>
        <v/>
      </c>
      <c r="O91" s="3"/>
      <c r="P91" s="14"/>
      <c r="Q91" s="5" t="str">
        <f t="array" ref="Q91">IF($A91="","",IFERROR(IF($P91="",1,$P91)*XLOOKUP($O91,Colores!$A$2:$A$500,Colores!$H$2:$H$500,0),"Revisar color"))</f>
        <v/>
      </c>
      <c r="R91" s="3"/>
      <c r="S91" s="5" t="str">
        <f t="array" ref="S91">IF($A91="","",IF($R91="",0,IFERROR(VLOOKUP(LEFT(TRIM(MID(SUBSTITUTE($R91,";",REPT(" ",99)),1,99)),FIND(":",TRIM(MID(SUBSTITUTE($R91,";",REPT(" ",99)),1,99)))-1),Materiales!$A$2:$E$502,5,FALSE)*VALUE(MID(TRIM(MID(SUBSTITUTE($R91,";",REPT(" ",99)),1,99)),FIND(":",TRIM(MID(SUBSTITUTE($R91,";",REPT(" ",99)),1,99)))+1,99)),0) + IFERROR(VLOOKUP(LEFT(TRIM(MID(SUBSTITUTE($R91,";",REPT(" ",99)),100,99)),FIND(":",TRIM(MID(SUBSTITUTE($R91,";",REPT(" ",99)),100,99)))-1),Materiales!$A$2:$E$502,5,FALSE)*VALUE(MID(TRIM(MID(SUBSTITUTE($R91,";",REPT(" ",99)),100,99)),FIND(":",TRIM(MID(SUBSTITUTE($R91,";",REPT(" ",99)),100,99)))+1,99)),0) + IFERROR(VLOOKUP(LEFT(TRIM(MID(SUBSTITUTE($R91,";",REPT(" ",99)),199,99)),FIND(":",TRIM(MID(SUBSTITUTE($R91,";",REPT(" ",99)),199,99)))-1),Materiales!$A$2:$E$502,5,FALSE)*VALUE(MID(TRIM(MID(SUBSTITUTE($R91,";",REPT(" ",99)),199,99)),FIND(":",TRIM(MID(SUBSTITUTE($R91,";",REPT(" ",99)),199,99)))+1,99)),0) + IFERROR(VLOOKUP(LEFT(TRIM(MID(SUBSTITUTE($R91,";",REPT(" ",99)),298,99)),FIND(":",TRIM(MID(SUBSTITUTE($R91,";",REPT(" ",99)),298,99)))-1),Materiales!$A$2:$E$502,5,FALSE)*VALUE(MID(TRIM(MID(SUBSTITUTE($R91,";",REPT(" ",99)),298,99)),FIND(":",TRIM(MID(SUBSTITUTE($R91,";",REPT(" ",99)),298,99)))+1,99)),0) + IFERROR(VLOOKUP(LEFT(TRIM(MID(SUBSTITUTE($R91,";",REPT(" ",99)),397,99)),FIND(":",TRIM(MID(SUBSTITUTE($R91,";",REPT(" ",99)),397,99)))-1),Materiales!$A$2:$E$502,5,FALSE)*VALUE(MID(TRIM(MID(SUBSTITUTE($R91,";",REPT(" ",99)),397,99)),FIND(":",TRIM(MID(SUBSTITUTE($R91,";",REPT(" ",99)),397,99)))+1,99)),0) + IFERROR(VLOOKUP(LEFT(TRIM(MID(SUBSTITUTE($R91,";",REPT(" ",99)),496,99)),FIND(":",TRIM(MID(SUBSTITUTE($R91,";",REPT(" ",99)),496,99)))-1),Materiales!$A$2:$E$502,5,FALSE)*VALUE(MID(TRIM(MID(SUBSTITUTE($R91,";",REPT(" ",99)),496,99)),FIND(":",TRIM(MID(SUBSTITUTE($R91,";",REPT(" ",99)),496,99)))+1,99)),0) + IFERROR(VLOOKUP(LEFT(TRIM(MID(SUBSTITUTE($R91,";",REPT(" ",99)),595,99)),FIND(":",TRIM(MID(SUBSTITUTE($R91,";",REPT(" ",99)),595,99)))-1),Materiales!$A$2:$E$502,5,FALSE)*VALUE(MID(TRIM(MID(SUBSTITUTE($R91,";",REPT(" ",99)),595,99)),FIND(":",TRIM(MID(SUBSTITUTE($R91,";",REPT(" ",99)),595,99)))+1,99)),0) + IFERROR(VLOOKUP(LEFT(TRIM(MID(SUBSTITUTE($R91,";",REPT(" ",99)),694,99)),FIND(":",TRIM(MID(SUBSTITUTE($R91,";",REPT(" ",99)),694,99)))-1),Materiales!$A$2:$E$502,5,FALSE)*VALUE(MID(TRIM(MID(SUBSTITUTE($R91,";",REPT(" ",99)),694,99)),FIND(":",TRIM(MID(SUBSTITUTE($R91,";",REPT(" ",99)),694,99)))+1,99)),0) + IFERROR(VLOOKUP(LEFT(TRIM(MID(SUBSTITUTE($R91,";",REPT(" ",99)),793,99)),FIND(":",TRIM(MID(SUBSTITUTE($R91,";",REPT(" ",99)),793,99)))-1),Materiales!$A$2:$E$502,5,FALSE)*VALUE(MID(TRIM(MID(SUBSTITUTE($R91,";",REPT(" ",99)),793,99)),FIND(":",TRIM(MID(SUBSTITUTE($R91,";",REPT(" ",99)),793,99)))+1,99)),0) + IFERROR(VLOOKUP(LEFT(TRIM(MID(SUBSTITUTE($R91,";",REPT(" ",99)),892,99)),FIND(":",TRIM(MID(SUBSTITUTE($R91,";",REPT(" ",99)),892,99)))-1),Materiales!$A$2:$E$502,5,FALSE)*VALUE(MID(TRIM(MID(SUBSTITUTE($R91,";",REPT(" ",99)),892,99)),FIND(":",TRIM(MID(SUBSTITUTE($R91,";",REPT(" ",99)),892,99)))+1,99)),0)))</f>
        <v/>
      </c>
      <c r="T91" s="3"/>
      <c r="U91" s="5" t="str">
        <f t="array" ref="U91">IF($A91="","",IF($T91="",0,IFERROR(VLOOKUP(LEFT(TRIM(MID(SUBSTITUTE($T91,";",REPT(" ",99)),1,99)),FIND(":",TRIM(MID(SUBSTITUTE($T91,";",REPT(" ",99)),1,99)))-1),Materiales!$A$2:$E$502,5,FALSE)*VALUE(MID(TRIM(MID(SUBSTITUTE($T91,";",REPT(" ",99)),1,99)),FIND(":",TRIM(MID(SUBSTITUTE($T91,";",REPT(" ",99)),1,99)))+1,99)),0) + IFERROR(VLOOKUP(LEFT(TRIM(MID(SUBSTITUTE($T91,";",REPT(" ",99)),100,99)),FIND(":",TRIM(MID(SUBSTITUTE($T91,";",REPT(" ",99)),100,99)))-1),Materiales!$A$2:$E$502,5,FALSE)*VALUE(MID(TRIM(MID(SUBSTITUTE($T91,";",REPT(" ",99)),100,99)),FIND(":",TRIM(MID(SUBSTITUTE($T91,";",REPT(" ",99)),100,99)))+1,99)),0) + IFERROR(VLOOKUP(LEFT(TRIM(MID(SUBSTITUTE($T91,";",REPT(" ",99)),199,99)),FIND(":",TRIM(MID(SUBSTITUTE($T91,";",REPT(" ",99)),199,99)))-1),Materiales!$A$2:$E$502,5,FALSE)*VALUE(MID(TRIM(MID(SUBSTITUTE($T91,";",REPT(" ",99)),199,99)),FIND(":",TRIM(MID(SUBSTITUTE($T91,";",REPT(" ",99)),199,99)))+1,99)),0) + IFERROR(VLOOKUP(LEFT(TRIM(MID(SUBSTITUTE($T91,";",REPT(" ",99)),298,99)),FIND(":",TRIM(MID(SUBSTITUTE($T91,";",REPT(" ",99)),298,99)))-1),Materiales!$A$2:$E$502,5,FALSE)*VALUE(MID(TRIM(MID(SUBSTITUTE($T91,";",REPT(" ",99)),298,99)),FIND(":",TRIM(MID(SUBSTITUTE($T91,";",REPT(" ",99)),298,99)))+1,99)),0) + IFERROR(VLOOKUP(LEFT(TRIM(MID(SUBSTITUTE($T91,";",REPT(" ",99)),397,99)),FIND(":",TRIM(MID(SUBSTITUTE($T91,";",REPT(" ",99)),397,99)))-1),Materiales!$A$2:$E$502,5,FALSE)*VALUE(MID(TRIM(MID(SUBSTITUTE($T91,";",REPT(" ",99)),397,99)),FIND(":",TRIM(MID(SUBSTITUTE($T91,";",REPT(" ",99)),397,99)))+1,99)),0) + IFERROR(VLOOKUP(LEFT(TRIM(MID(SUBSTITUTE($T91,";",REPT(" ",99)),496,99)),FIND(":",TRIM(MID(SUBSTITUTE($T91,";",REPT(" ",99)),496,99)))-1),Materiales!$A$2:$E$502,5,FALSE)*VALUE(MID(TRIM(MID(SUBSTITUTE($T91,";",REPT(" ",99)),496,99)),FIND(":",TRIM(MID(SUBSTITUTE($T91,";",REPT(" ",99)),496,99)))+1,99)),0) + IFERROR(VLOOKUP(LEFT(TRIM(MID(SUBSTITUTE($T91,";",REPT(" ",99)),595,99)),FIND(":",TRIM(MID(SUBSTITUTE($T91,";",REPT(" ",99)),595,99)))-1),Materiales!$A$2:$E$502,5,FALSE)*VALUE(MID(TRIM(MID(SUBSTITUTE($T91,";",REPT(" ",99)),595,99)),FIND(":",TRIM(MID(SUBSTITUTE($T91,";",REPT(" ",99)),595,99)))+1,99)),0) + IFERROR(VLOOKUP(LEFT(TRIM(MID(SUBSTITUTE($T91,";",REPT(" ",99)),694,99)),FIND(":",TRIM(MID(SUBSTITUTE($T91,";",REPT(" ",99)),694,99)))-1),Materiales!$A$2:$E$502,5,FALSE)*VALUE(MID(TRIM(MID(SUBSTITUTE($T91,";",REPT(" ",99)),694,99)),FIND(":",TRIM(MID(SUBSTITUTE($T91,";",REPT(" ",99)),694,99)))+1,99)),0) + IFERROR(VLOOKUP(LEFT(TRIM(MID(SUBSTITUTE($T91,";",REPT(" ",99)),793,99)),FIND(":",TRIM(MID(SUBSTITUTE($T91,";",REPT(" ",99)),793,99)))-1),Materiales!$A$2:$E$502,5,FALSE)*VALUE(MID(TRIM(MID(SUBSTITUTE($T91,";",REPT(" ",99)),793,99)),FIND(":",TRIM(MID(SUBSTITUTE($T91,";",REPT(" ",99)),793,99)))+1,99)),0) + IFERROR(VLOOKUP(LEFT(TRIM(MID(SUBSTITUTE($T91,";",REPT(" ",99)),892,99)),FIND(":",TRIM(MID(SUBSTITUTE($T91,";",REPT(" ",99)),892,99)))-1),Materiales!$A$2:$E$502,5,FALSE)*VALUE(MID(TRIM(MID(SUBSTITUTE($T91,";",REPT(" ",99)),892,99)),FIND(":",TRIM(MID(SUBSTITUTE($T91,";",REPT(" ",99)),892,99)))+1,99)),0)))</f>
        <v/>
      </c>
      <c r="V91" s="3"/>
      <c r="W91" s="5" t="str">
        <f t="array" ref="W91">IF($A91="","",IF($V91="",0,IFERROR(VLOOKUP(LEFT(TRIM(MID(SUBSTITUTE($V91,";",REPT(" ",99)),1,99)),FIND(":",TRIM(MID(SUBSTITUTE($V91,";",REPT(" ",99)),1,99)))-1),Materiales!$A$2:$E$502,5,FALSE)*VALUE(MID(TRIM(MID(SUBSTITUTE($V91,";",REPT(" ",99)),1,99)),FIND(":",TRIM(MID(SUBSTITUTE($V91,";",REPT(" ",99)),1,99)))+1,99)),0) + IFERROR(VLOOKUP(LEFT(TRIM(MID(SUBSTITUTE($V91,";",REPT(" ",99)),100,99)),FIND(":",TRIM(MID(SUBSTITUTE($V91,";",REPT(" ",99)),100,99)))-1),Materiales!$A$2:$E$502,5,FALSE)*VALUE(MID(TRIM(MID(SUBSTITUTE($V91,";",REPT(" ",99)),100,99)),FIND(":",TRIM(MID(SUBSTITUTE($V91,";",REPT(" ",99)),100,99)))+1,99)),0) + IFERROR(VLOOKUP(LEFT(TRIM(MID(SUBSTITUTE($V91,";",REPT(" ",99)),199,99)),FIND(":",TRIM(MID(SUBSTITUTE($V91,";",REPT(" ",99)),199,99)))-1),Materiales!$A$2:$E$502,5,FALSE)*VALUE(MID(TRIM(MID(SUBSTITUTE($V91,";",REPT(" ",99)),199,99)),FIND(":",TRIM(MID(SUBSTITUTE($V91,";",REPT(" ",99)),199,99)))+1,99)),0) + IFERROR(VLOOKUP(LEFT(TRIM(MID(SUBSTITUTE($V91,";",REPT(" ",99)),298,99)),FIND(":",TRIM(MID(SUBSTITUTE($V91,";",REPT(" ",99)),298,99)))-1),Materiales!$A$2:$E$502,5,FALSE)*VALUE(MID(TRIM(MID(SUBSTITUTE($V91,";",REPT(" ",99)),298,99)),FIND(":",TRIM(MID(SUBSTITUTE($V91,";",REPT(" ",99)),298,99)))+1,99)),0) + IFERROR(VLOOKUP(LEFT(TRIM(MID(SUBSTITUTE($V91,";",REPT(" ",99)),397,99)),FIND(":",TRIM(MID(SUBSTITUTE($V91,";",REPT(" ",99)),397,99)))-1),Materiales!$A$2:$E$502,5,FALSE)*VALUE(MID(TRIM(MID(SUBSTITUTE($V91,";",REPT(" ",99)),397,99)),FIND(":",TRIM(MID(SUBSTITUTE($V91,";",REPT(" ",99)),397,99)))+1,99)),0) + IFERROR(VLOOKUP(LEFT(TRIM(MID(SUBSTITUTE($V91,";",REPT(" ",99)),496,99)),FIND(":",TRIM(MID(SUBSTITUTE($V91,";",REPT(" ",99)),496,99)))-1),Materiales!$A$2:$E$502,5,FALSE)*VALUE(MID(TRIM(MID(SUBSTITUTE($V91,";",REPT(" ",99)),496,99)),FIND(":",TRIM(MID(SUBSTITUTE($V91,";",REPT(" ",99)),496,99)))+1,99)),0) + IFERROR(VLOOKUP(LEFT(TRIM(MID(SUBSTITUTE($V91,";",REPT(" ",99)),595,99)),FIND(":",TRIM(MID(SUBSTITUTE($V91,";",REPT(" ",99)),595,99)))-1),Materiales!$A$2:$E$502,5,FALSE)*VALUE(MID(TRIM(MID(SUBSTITUTE($V91,";",REPT(" ",99)),595,99)),FIND(":",TRIM(MID(SUBSTITUTE($V91,";",REPT(" ",99)),595,99)))+1,99)),0) + IFERROR(VLOOKUP(LEFT(TRIM(MID(SUBSTITUTE($V91,";",REPT(" ",99)),694,99)),FIND(":",TRIM(MID(SUBSTITUTE($V91,";",REPT(" ",99)),694,99)))-1),Materiales!$A$2:$E$502,5,FALSE)*VALUE(MID(TRIM(MID(SUBSTITUTE($V91,";",REPT(" ",99)),694,99)),FIND(":",TRIM(MID(SUBSTITUTE($V91,";",REPT(" ",99)),694,99)))+1,99)),0) + IFERROR(VLOOKUP(LEFT(TRIM(MID(SUBSTITUTE($V91,";",REPT(" ",99)),793,99)),FIND(":",TRIM(MID(SUBSTITUTE($V91,";",REPT(" ",99)),793,99)))-1),Materiales!$A$2:$E$502,5,FALSE)*VALUE(MID(TRIM(MID(SUBSTITUTE($V91,";",REPT(" ",99)),793,99)),FIND(":",TRIM(MID(SUBSTITUTE($V91,";",REPT(" ",99)),793,99)))+1,99)),0) + IFERROR(VLOOKUP(LEFT(TRIM(MID(SUBSTITUTE($V91,";",REPT(" ",99)),892,99)),FIND(":",TRIM(MID(SUBSTITUTE($V91,";",REPT(" ",99)),892,99)))-1),Materiales!$A$2:$E$502,5,FALSE)*VALUE(MID(TRIM(MID(SUBSTITUTE($V91,";",REPT(" ",99)),892,99)),FIND(":",TRIM(MID(SUBSTITUTE($V91,";",REPT(" ",99)),892,99)))+1,99)),0)))</f>
        <v/>
      </c>
      <c r="X91" s="39" t="str">
        <f t="shared" si="13"/>
        <v/>
      </c>
      <c r="Y91" s="64"/>
      <c r="Z91" s="41"/>
      <c r="AA91" s="65"/>
      <c r="AB91" s="14"/>
      <c r="AC91" s="66"/>
      <c r="AD91" s="65"/>
      <c r="AE91" s="44">
        <f t="shared" si="17"/>
        <v>0</v>
      </c>
      <c r="AF91" s="45" t="str">
        <f t="shared" si="18"/>
        <v>#DIV/0!</v>
      </c>
    </row>
    <row r="92" ht="15.75" customHeight="1">
      <c r="A92" s="3"/>
      <c r="B92" s="3"/>
      <c r="C92" s="38"/>
      <c r="D92" s="38"/>
      <c r="E92" s="38"/>
      <c r="F92" s="14"/>
      <c r="G92" s="5" t="str">
        <f t="array" ref="G92">IF($A92="","",IFERROR($F92*(N($C92)*XLOOKUP($B92,Ceras!$A$2:$A$500,Ceras!$G$2:$G$500,0)+IF($D92="",0,N($E92)*XLOOKUP($D92,Ceras!$A$2:$A$500,Ceras!$G$2:$G$500,0))),"Revisar cera"))</f>
        <v/>
      </c>
      <c r="H92" s="5"/>
      <c r="I92" s="3"/>
      <c r="J92" s="14"/>
      <c r="K92" s="5" t="str">
        <f t="array" ref="K92">IF($A92="","",IFERROR($J92*XLOOKUP($I92,Pabilos!$A$2:$A$500,Pabilos!$H$2:$H$500,0),"Revisar pabilo"))</f>
        <v/>
      </c>
      <c r="L92" s="3"/>
      <c r="M92" s="14"/>
      <c r="N92" s="5" t="str">
        <f t="array" ref="N92">IF($A92="","",IFERROR($M92*XLOOKUP($L92,Esencias!$A$2:$A$501,Esencias!$G$2:$G$501,0),"Revisar esencia"))</f>
        <v/>
      </c>
      <c r="O92" s="3"/>
      <c r="P92" s="14"/>
      <c r="Q92" s="5" t="str">
        <f t="array" ref="Q92">IF($A92="","",IFERROR(IF($P92="",1,$P92)*XLOOKUP($O92,Colores!$A$2:$A$500,Colores!$H$2:$H$500,0),"Revisar color"))</f>
        <v/>
      </c>
      <c r="R92" s="3"/>
      <c r="S92" s="5" t="str">
        <f t="array" ref="S92">IF($A92="","",IF($R92="",0,IFERROR(VLOOKUP(LEFT(TRIM(MID(SUBSTITUTE($R92,";",REPT(" ",99)),1,99)),FIND(":",TRIM(MID(SUBSTITUTE($R92,";",REPT(" ",99)),1,99)))-1),Materiales!$A$2:$E$502,5,FALSE)*VALUE(MID(TRIM(MID(SUBSTITUTE($R92,";",REPT(" ",99)),1,99)),FIND(":",TRIM(MID(SUBSTITUTE($R92,";",REPT(" ",99)),1,99)))+1,99)),0) + IFERROR(VLOOKUP(LEFT(TRIM(MID(SUBSTITUTE($R92,";",REPT(" ",99)),100,99)),FIND(":",TRIM(MID(SUBSTITUTE($R92,";",REPT(" ",99)),100,99)))-1),Materiales!$A$2:$E$502,5,FALSE)*VALUE(MID(TRIM(MID(SUBSTITUTE($R92,";",REPT(" ",99)),100,99)),FIND(":",TRIM(MID(SUBSTITUTE($R92,";",REPT(" ",99)),100,99)))+1,99)),0) + IFERROR(VLOOKUP(LEFT(TRIM(MID(SUBSTITUTE($R92,";",REPT(" ",99)),199,99)),FIND(":",TRIM(MID(SUBSTITUTE($R92,";",REPT(" ",99)),199,99)))-1),Materiales!$A$2:$E$502,5,FALSE)*VALUE(MID(TRIM(MID(SUBSTITUTE($R92,";",REPT(" ",99)),199,99)),FIND(":",TRIM(MID(SUBSTITUTE($R92,";",REPT(" ",99)),199,99)))+1,99)),0) + IFERROR(VLOOKUP(LEFT(TRIM(MID(SUBSTITUTE($R92,";",REPT(" ",99)),298,99)),FIND(":",TRIM(MID(SUBSTITUTE($R92,";",REPT(" ",99)),298,99)))-1),Materiales!$A$2:$E$502,5,FALSE)*VALUE(MID(TRIM(MID(SUBSTITUTE($R92,";",REPT(" ",99)),298,99)),FIND(":",TRIM(MID(SUBSTITUTE($R92,";",REPT(" ",99)),298,99)))+1,99)),0) + IFERROR(VLOOKUP(LEFT(TRIM(MID(SUBSTITUTE($R92,";",REPT(" ",99)),397,99)),FIND(":",TRIM(MID(SUBSTITUTE($R92,";",REPT(" ",99)),397,99)))-1),Materiales!$A$2:$E$502,5,FALSE)*VALUE(MID(TRIM(MID(SUBSTITUTE($R92,";",REPT(" ",99)),397,99)),FIND(":",TRIM(MID(SUBSTITUTE($R92,";",REPT(" ",99)),397,99)))+1,99)),0) + IFERROR(VLOOKUP(LEFT(TRIM(MID(SUBSTITUTE($R92,";",REPT(" ",99)),496,99)),FIND(":",TRIM(MID(SUBSTITUTE($R92,";",REPT(" ",99)),496,99)))-1),Materiales!$A$2:$E$502,5,FALSE)*VALUE(MID(TRIM(MID(SUBSTITUTE($R92,";",REPT(" ",99)),496,99)),FIND(":",TRIM(MID(SUBSTITUTE($R92,";",REPT(" ",99)),496,99)))+1,99)),0) + IFERROR(VLOOKUP(LEFT(TRIM(MID(SUBSTITUTE($R92,";",REPT(" ",99)),595,99)),FIND(":",TRIM(MID(SUBSTITUTE($R92,";",REPT(" ",99)),595,99)))-1),Materiales!$A$2:$E$502,5,FALSE)*VALUE(MID(TRIM(MID(SUBSTITUTE($R92,";",REPT(" ",99)),595,99)),FIND(":",TRIM(MID(SUBSTITUTE($R92,";",REPT(" ",99)),595,99)))+1,99)),0) + IFERROR(VLOOKUP(LEFT(TRIM(MID(SUBSTITUTE($R92,";",REPT(" ",99)),694,99)),FIND(":",TRIM(MID(SUBSTITUTE($R92,";",REPT(" ",99)),694,99)))-1),Materiales!$A$2:$E$502,5,FALSE)*VALUE(MID(TRIM(MID(SUBSTITUTE($R92,";",REPT(" ",99)),694,99)),FIND(":",TRIM(MID(SUBSTITUTE($R92,";",REPT(" ",99)),694,99)))+1,99)),0) + IFERROR(VLOOKUP(LEFT(TRIM(MID(SUBSTITUTE($R92,";",REPT(" ",99)),793,99)),FIND(":",TRIM(MID(SUBSTITUTE($R92,";",REPT(" ",99)),793,99)))-1),Materiales!$A$2:$E$502,5,FALSE)*VALUE(MID(TRIM(MID(SUBSTITUTE($R92,";",REPT(" ",99)),793,99)),FIND(":",TRIM(MID(SUBSTITUTE($R92,";",REPT(" ",99)),793,99)))+1,99)),0) + IFERROR(VLOOKUP(LEFT(TRIM(MID(SUBSTITUTE($R92,";",REPT(" ",99)),892,99)),FIND(":",TRIM(MID(SUBSTITUTE($R92,";",REPT(" ",99)),892,99)))-1),Materiales!$A$2:$E$502,5,FALSE)*VALUE(MID(TRIM(MID(SUBSTITUTE($R92,";",REPT(" ",99)),892,99)),FIND(":",TRIM(MID(SUBSTITUTE($R92,";",REPT(" ",99)),892,99)))+1,99)),0)))</f>
        <v/>
      </c>
      <c r="T92" s="3"/>
      <c r="U92" s="5" t="str">
        <f t="array" ref="U92">IF($A92="","",IF($T92="",0,IFERROR(VLOOKUP(LEFT(TRIM(MID(SUBSTITUTE($T92,";",REPT(" ",99)),1,99)),FIND(":",TRIM(MID(SUBSTITUTE($T92,";",REPT(" ",99)),1,99)))-1),Materiales!$A$2:$E$502,5,FALSE)*VALUE(MID(TRIM(MID(SUBSTITUTE($T92,";",REPT(" ",99)),1,99)),FIND(":",TRIM(MID(SUBSTITUTE($T92,";",REPT(" ",99)),1,99)))+1,99)),0) + IFERROR(VLOOKUP(LEFT(TRIM(MID(SUBSTITUTE($T92,";",REPT(" ",99)),100,99)),FIND(":",TRIM(MID(SUBSTITUTE($T92,";",REPT(" ",99)),100,99)))-1),Materiales!$A$2:$E$502,5,FALSE)*VALUE(MID(TRIM(MID(SUBSTITUTE($T92,";",REPT(" ",99)),100,99)),FIND(":",TRIM(MID(SUBSTITUTE($T92,";",REPT(" ",99)),100,99)))+1,99)),0) + IFERROR(VLOOKUP(LEFT(TRIM(MID(SUBSTITUTE($T92,";",REPT(" ",99)),199,99)),FIND(":",TRIM(MID(SUBSTITUTE($T92,";",REPT(" ",99)),199,99)))-1),Materiales!$A$2:$E$502,5,FALSE)*VALUE(MID(TRIM(MID(SUBSTITUTE($T92,";",REPT(" ",99)),199,99)),FIND(":",TRIM(MID(SUBSTITUTE($T92,";",REPT(" ",99)),199,99)))+1,99)),0) + IFERROR(VLOOKUP(LEFT(TRIM(MID(SUBSTITUTE($T92,";",REPT(" ",99)),298,99)),FIND(":",TRIM(MID(SUBSTITUTE($T92,";",REPT(" ",99)),298,99)))-1),Materiales!$A$2:$E$502,5,FALSE)*VALUE(MID(TRIM(MID(SUBSTITUTE($T92,";",REPT(" ",99)),298,99)),FIND(":",TRIM(MID(SUBSTITUTE($T92,";",REPT(" ",99)),298,99)))+1,99)),0) + IFERROR(VLOOKUP(LEFT(TRIM(MID(SUBSTITUTE($T92,";",REPT(" ",99)),397,99)),FIND(":",TRIM(MID(SUBSTITUTE($T92,";",REPT(" ",99)),397,99)))-1),Materiales!$A$2:$E$502,5,FALSE)*VALUE(MID(TRIM(MID(SUBSTITUTE($T92,";",REPT(" ",99)),397,99)),FIND(":",TRIM(MID(SUBSTITUTE($T92,";",REPT(" ",99)),397,99)))+1,99)),0) + IFERROR(VLOOKUP(LEFT(TRIM(MID(SUBSTITUTE($T92,";",REPT(" ",99)),496,99)),FIND(":",TRIM(MID(SUBSTITUTE($T92,";",REPT(" ",99)),496,99)))-1),Materiales!$A$2:$E$502,5,FALSE)*VALUE(MID(TRIM(MID(SUBSTITUTE($T92,";",REPT(" ",99)),496,99)),FIND(":",TRIM(MID(SUBSTITUTE($T92,";",REPT(" ",99)),496,99)))+1,99)),0) + IFERROR(VLOOKUP(LEFT(TRIM(MID(SUBSTITUTE($T92,";",REPT(" ",99)),595,99)),FIND(":",TRIM(MID(SUBSTITUTE($T92,";",REPT(" ",99)),595,99)))-1),Materiales!$A$2:$E$502,5,FALSE)*VALUE(MID(TRIM(MID(SUBSTITUTE($T92,";",REPT(" ",99)),595,99)),FIND(":",TRIM(MID(SUBSTITUTE($T92,";",REPT(" ",99)),595,99)))+1,99)),0) + IFERROR(VLOOKUP(LEFT(TRIM(MID(SUBSTITUTE($T92,";",REPT(" ",99)),694,99)),FIND(":",TRIM(MID(SUBSTITUTE($T92,";",REPT(" ",99)),694,99)))-1),Materiales!$A$2:$E$502,5,FALSE)*VALUE(MID(TRIM(MID(SUBSTITUTE($T92,";",REPT(" ",99)),694,99)),FIND(":",TRIM(MID(SUBSTITUTE($T92,";",REPT(" ",99)),694,99)))+1,99)),0) + IFERROR(VLOOKUP(LEFT(TRIM(MID(SUBSTITUTE($T92,";",REPT(" ",99)),793,99)),FIND(":",TRIM(MID(SUBSTITUTE($T92,";",REPT(" ",99)),793,99)))-1),Materiales!$A$2:$E$502,5,FALSE)*VALUE(MID(TRIM(MID(SUBSTITUTE($T92,";",REPT(" ",99)),793,99)),FIND(":",TRIM(MID(SUBSTITUTE($T92,";",REPT(" ",99)),793,99)))+1,99)),0) + IFERROR(VLOOKUP(LEFT(TRIM(MID(SUBSTITUTE($T92,";",REPT(" ",99)),892,99)),FIND(":",TRIM(MID(SUBSTITUTE($T92,";",REPT(" ",99)),892,99)))-1),Materiales!$A$2:$E$502,5,FALSE)*VALUE(MID(TRIM(MID(SUBSTITUTE($T92,";",REPT(" ",99)),892,99)),FIND(":",TRIM(MID(SUBSTITUTE($T92,";",REPT(" ",99)),892,99)))+1,99)),0)))</f>
        <v/>
      </c>
      <c r="V92" s="3"/>
      <c r="W92" s="5" t="str">
        <f t="array" ref="W92">IF($A92="","",IF($V92="",0,IFERROR(VLOOKUP(LEFT(TRIM(MID(SUBSTITUTE($V92,";",REPT(" ",99)),1,99)),FIND(":",TRIM(MID(SUBSTITUTE($V92,";",REPT(" ",99)),1,99)))-1),Materiales!$A$2:$E$502,5,FALSE)*VALUE(MID(TRIM(MID(SUBSTITUTE($V92,";",REPT(" ",99)),1,99)),FIND(":",TRIM(MID(SUBSTITUTE($V92,";",REPT(" ",99)),1,99)))+1,99)),0) + IFERROR(VLOOKUP(LEFT(TRIM(MID(SUBSTITUTE($V92,";",REPT(" ",99)),100,99)),FIND(":",TRIM(MID(SUBSTITUTE($V92,";",REPT(" ",99)),100,99)))-1),Materiales!$A$2:$E$502,5,FALSE)*VALUE(MID(TRIM(MID(SUBSTITUTE($V92,";",REPT(" ",99)),100,99)),FIND(":",TRIM(MID(SUBSTITUTE($V92,";",REPT(" ",99)),100,99)))+1,99)),0) + IFERROR(VLOOKUP(LEFT(TRIM(MID(SUBSTITUTE($V92,";",REPT(" ",99)),199,99)),FIND(":",TRIM(MID(SUBSTITUTE($V92,";",REPT(" ",99)),199,99)))-1),Materiales!$A$2:$E$502,5,FALSE)*VALUE(MID(TRIM(MID(SUBSTITUTE($V92,";",REPT(" ",99)),199,99)),FIND(":",TRIM(MID(SUBSTITUTE($V92,";",REPT(" ",99)),199,99)))+1,99)),0) + IFERROR(VLOOKUP(LEFT(TRIM(MID(SUBSTITUTE($V92,";",REPT(" ",99)),298,99)),FIND(":",TRIM(MID(SUBSTITUTE($V92,";",REPT(" ",99)),298,99)))-1),Materiales!$A$2:$E$502,5,FALSE)*VALUE(MID(TRIM(MID(SUBSTITUTE($V92,";",REPT(" ",99)),298,99)),FIND(":",TRIM(MID(SUBSTITUTE($V92,";",REPT(" ",99)),298,99)))+1,99)),0) + IFERROR(VLOOKUP(LEFT(TRIM(MID(SUBSTITUTE($V92,";",REPT(" ",99)),397,99)),FIND(":",TRIM(MID(SUBSTITUTE($V92,";",REPT(" ",99)),397,99)))-1),Materiales!$A$2:$E$502,5,FALSE)*VALUE(MID(TRIM(MID(SUBSTITUTE($V92,";",REPT(" ",99)),397,99)),FIND(":",TRIM(MID(SUBSTITUTE($V92,";",REPT(" ",99)),397,99)))+1,99)),0) + IFERROR(VLOOKUP(LEFT(TRIM(MID(SUBSTITUTE($V92,";",REPT(" ",99)),496,99)),FIND(":",TRIM(MID(SUBSTITUTE($V92,";",REPT(" ",99)),496,99)))-1),Materiales!$A$2:$E$502,5,FALSE)*VALUE(MID(TRIM(MID(SUBSTITUTE($V92,";",REPT(" ",99)),496,99)),FIND(":",TRIM(MID(SUBSTITUTE($V92,";",REPT(" ",99)),496,99)))+1,99)),0) + IFERROR(VLOOKUP(LEFT(TRIM(MID(SUBSTITUTE($V92,";",REPT(" ",99)),595,99)),FIND(":",TRIM(MID(SUBSTITUTE($V92,";",REPT(" ",99)),595,99)))-1),Materiales!$A$2:$E$502,5,FALSE)*VALUE(MID(TRIM(MID(SUBSTITUTE($V92,";",REPT(" ",99)),595,99)),FIND(":",TRIM(MID(SUBSTITUTE($V92,";",REPT(" ",99)),595,99)))+1,99)),0) + IFERROR(VLOOKUP(LEFT(TRIM(MID(SUBSTITUTE($V92,";",REPT(" ",99)),694,99)),FIND(":",TRIM(MID(SUBSTITUTE($V92,";",REPT(" ",99)),694,99)))-1),Materiales!$A$2:$E$502,5,FALSE)*VALUE(MID(TRIM(MID(SUBSTITUTE($V92,";",REPT(" ",99)),694,99)),FIND(":",TRIM(MID(SUBSTITUTE($V92,";",REPT(" ",99)),694,99)))+1,99)),0) + IFERROR(VLOOKUP(LEFT(TRIM(MID(SUBSTITUTE($V92,";",REPT(" ",99)),793,99)),FIND(":",TRIM(MID(SUBSTITUTE($V92,";",REPT(" ",99)),793,99)))-1),Materiales!$A$2:$E$502,5,FALSE)*VALUE(MID(TRIM(MID(SUBSTITUTE($V92,";",REPT(" ",99)),793,99)),FIND(":",TRIM(MID(SUBSTITUTE($V92,";",REPT(" ",99)),793,99)))+1,99)),0) + IFERROR(VLOOKUP(LEFT(TRIM(MID(SUBSTITUTE($V92,";",REPT(" ",99)),892,99)),FIND(":",TRIM(MID(SUBSTITUTE($V92,";",REPT(" ",99)),892,99)))-1),Materiales!$A$2:$E$502,5,FALSE)*VALUE(MID(TRIM(MID(SUBSTITUTE($V92,";",REPT(" ",99)),892,99)),FIND(":",TRIM(MID(SUBSTITUTE($V92,";",REPT(" ",99)),892,99)))+1,99)),0)))</f>
        <v/>
      </c>
      <c r="X92" s="39" t="str">
        <f t="shared" si="13"/>
        <v/>
      </c>
      <c r="Y92" s="64"/>
      <c r="Z92" s="41"/>
      <c r="AA92" s="65"/>
      <c r="AB92" s="14"/>
      <c r="AC92" s="66"/>
      <c r="AD92" s="65"/>
      <c r="AE92" s="44">
        <f t="shared" si="17"/>
        <v>0</v>
      </c>
      <c r="AF92" s="45" t="str">
        <f t="shared" si="18"/>
        <v>#DIV/0!</v>
      </c>
    </row>
    <row r="93" ht="15.75" customHeight="1">
      <c r="A93" s="3"/>
      <c r="B93" s="3"/>
      <c r="C93" s="38"/>
      <c r="D93" s="38"/>
      <c r="E93" s="38"/>
      <c r="F93" s="14"/>
      <c r="G93" s="5" t="str">
        <f t="array" ref="G93">IF($A93="","",IFERROR($F93*(N($C93)*XLOOKUP($B93,Ceras!$A$2:$A$500,Ceras!$G$2:$G$500,0)+IF($D93="",0,N($E93)*XLOOKUP($D93,Ceras!$A$2:$A$500,Ceras!$G$2:$G$500,0))),"Revisar cera"))</f>
        <v/>
      </c>
      <c r="H93" s="5"/>
      <c r="I93" s="3"/>
      <c r="J93" s="14"/>
      <c r="K93" s="5" t="str">
        <f t="array" ref="K93">IF($A93="","",IFERROR($J93*XLOOKUP($I93,Pabilos!$A$2:$A$500,Pabilos!$H$2:$H$500,0),"Revisar pabilo"))</f>
        <v/>
      </c>
      <c r="L93" s="3"/>
      <c r="M93" s="14"/>
      <c r="N93" s="5" t="str">
        <f t="array" ref="N93">IF($A93="","",IFERROR($M93*XLOOKUP($L93,Esencias!$A$2:$A$501,Esencias!$G$2:$G$501,0),"Revisar esencia"))</f>
        <v/>
      </c>
      <c r="O93" s="3"/>
      <c r="P93" s="14"/>
      <c r="Q93" s="5" t="str">
        <f t="array" ref="Q93">IF($A93="","",IFERROR(IF($P93="",1,$P93)*XLOOKUP($O93,Colores!$A$2:$A$500,Colores!$H$2:$H$500,0),"Revisar color"))</f>
        <v/>
      </c>
      <c r="R93" s="3"/>
      <c r="S93" s="5" t="str">
        <f t="array" ref="S93">IF($A93="","",IF($R93="",0,IFERROR(VLOOKUP(LEFT(TRIM(MID(SUBSTITUTE($R93,";",REPT(" ",99)),1,99)),FIND(":",TRIM(MID(SUBSTITUTE($R93,";",REPT(" ",99)),1,99)))-1),Materiales!$A$2:$E$502,5,FALSE)*VALUE(MID(TRIM(MID(SUBSTITUTE($R93,";",REPT(" ",99)),1,99)),FIND(":",TRIM(MID(SUBSTITUTE($R93,";",REPT(" ",99)),1,99)))+1,99)),0) + IFERROR(VLOOKUP(LEFT(TRIM(MID(SUBSTITUTE($R93,";",REPT(" ",99)),100,99)),FIND(":",TRIM(MID(SUBSTITUTE($R93,";",REPT(" ",99)),100,99)))-1),Materiales!$A$2:$E$502,5,FALSE)*VALUE(MID(TRIM(MID(SUBSTITUTE($R93,";",REPT(" ",99)),100,99)),FIND(":",TRIM(MID(SUBSTITUTE($R93,";",REPT(" ",99)),100,99)))+1,99)),0) + IFERROR(VLOOKUP(LEFT(TRIM(MID(SUBSTITUTE($R93,";",REPT(" ",99)),199,99)),FIND(":",TRIM(MID(SUBSTITUTE($R93,";",REPT(" ",99)),199,99)))-1),Materiales!$A$2:$E$502,5,FALSE)*VALUE(MID(TRIM(MID(SUBSTITUTE($R93,";",REPT(" ",99)),199,99)),FIND(":",TRIM(MID(SUBSTITUTE($R93,";",REPT(" ",99)),199,99)))+1,99)),0) + IFERROR(VLOOKUP(LEFT(TRIM(MID(SUBSTITUTE($R93,";",REPT(" ",99)),298,99)),FIND(":",TRIM(MID(SUBSTITUTE($R93,";",REPT(" ",99)),298,99)))-1),Materiales!$A$2:$E$502,5,FALSE)*VALUE(MID(TRIM(MID(SUBSTITUTE($R93,";",REPT(" ",99)),298,99)),FIND(":",TRIM(MID(SUBSTITUTE($R93,";",REPT(" ",99)),298,99)))+1,99)),0) + IFERROR(VLOOKUP(LEFT(TRIM(MID(SUBSTITUTE($R93,";",REPT(" ",99)),397,99)),FIND(":",TRIM(MID(SUBSTITUTE($R93,";",REPT(" ",99)),397,99)))-1),Materiales!$A$2:$E$502,5,FALSE)*VALUE(MID(TRIM(MID(SUBSTITUTE($R93,";",REPT(" ",99)),397,99)),FIND(":",TRIM(MID(SUBSTITUTE($R93,";",REPT(" ",99)),397,99)))+1,99)),0) + IFERROR(VLOOKUP(LEFT(TRIM(MID(SUBSTITUTE($R93,";",REPT(" ",99)),496,99)),FIND(":",TRIM(MID(SUBSTITUTE($R93,";",REPT(" ",99)),496,99)))-1),Materiales!$A$2:$E$502,5,FALSE)*VALUE(MID(TRIM(MID(SUBSTITUTE($R93,";",REPT(" ",99)),496,99)),FIND(":",TRIM(MID(SUBSTITUTE($R93,";",REPT(" ",99)),496,99)))+1,99)),0) + IFERROR(VLOOKUP(LEFT(TRIM(MID(SUBSTITUTE($R93,";",REPT(" ",99)),595,99)),FIND(":",TRIM(MID(SUBSTITUTE($R93,";",REPT(" ",99)),595,99)))-1),Materiales!$A$2:$E$502,5,FALSE)*VALUE(MID(TRIM(MID(SUBSTITUTE($R93,";",REPT(" ",99)),595,99)),FIND(":",TRIM(MID(SUBSTITUTE($R93,";",REPT(" ",99)),595,99)))+1,99)),0) + IFERROR(VLOOKUP(LEFT(TRIM(MID(SUBSTITUTE($R93,";",REPT(" ",99)),694,99)),FIND(":",TRIM(MID(SUBSTITUTE($R93,";",REPT(" ",99)),694,99)))-1),Materiales!$A$2:$E$502,5,FALSE)*VALUE(MID(TRIM(MID(SUBSTITUTE($R93,";",REPT(" ",99)),694,99)),FIND(":",TRIM(MID(SUBSTITUTE($R93,";",REPT(" ",99)),694,99)))+1,99)),0) + IFERROR(VLOOKUP(LEFT(TRIM(MID(SUBSTITUTE($R93,";",REPT(" ",99)),793,99)),FIND(":",TRIM(MID(SUBSTITUTE($R93,";",REPT(" ",99)),793,99)))-1),Materiales!$A$2:$E$502,5,FALSE)*VALUE(MID(TRIM(MID(SUBSTITUTE($R93,";",REPT(" ",99)),793,99)),FIND(":",TRIM(MID(SUBSTITUTE($R93,";",REPT(" ",99)),793,99)))+1,99)),0) + IFERROR(VLOOKUP(LEFT(TRIM(MID(SUBSTITUTE($R93,";",REPT(" ",99)),892,99)),FIND(":",TRIM(MID(SUBSTITUTE($R93,";",REPT(" ",99)),892,99)))-1),Materiales!$A$2:$E$502,5,FALSE)*VALUE(MID(TRIM(MID(SUBSTITUTE($R93,";",REPT(" ",99)),892,99)),FIND(":",TRIM(MID(SUBSTITUTE($R93,";",REPT(" ",99)),892,99)))+1,99)),0)))</f>
        <v/>
      </c>
      <c r="T93" s="3"/>
      <c r="U93" s="5" t="str">
        <f t="array" ref="U93">IF($A93="","",IF($T93="",0,IFERROR(VLOOKUP(LEFT(TRIM(MID(SUBSTITUTE($T93,";",REPT(" ",99)),1,99)),FIND(":",TRIM(MID(SUBSTITUTE($T93,";",REPT(" ",99)),1,99)))-1),Materiales!$A$2:$E$502,5,FALSE)*VALUE(MID(TRIM(MID(SUBSTITUTE($T93,";",REPT(" ",99)),1,99)),FIND(":",TRIM(MID(SUBSTITUTE($T93,";",REPT(" ",99)),1,99)))+1,99)),0) + IFERROR(VLOOKUP(LEFT(TRIM(MID(SUBSTITUTE($T93,";",REPT(" ",99)),100,99)),FIND(":",TRIM(MID(SUBSTITUTE($T93,";",REPT(" ",99)),100,99)))-1),Materiales!$A$2:$E$502,5,FALSE)*VALUE(MID(TRIM(MID(SUBSTITUTE($T93,";",REPT(" ",99)),100,99)),FIND(":",TRIM(MID(SUBSTITUTE($T93,";",REPT(" ",99)),100,99)))+1,99)),0) + IFERROR(VLOOKUP(LEFT(TRIM(MID(SUBSTITUTE($T93,";",REPT(" ",99)),199,99)),FIND(":",TRIM(MID(SUBSTITUTE($T93,";",REPT(" ",99)),199,99)))-1),Materiales!$A$2:$E$502,5,FALSE)*VALUE(MID(TRIM(MID(SUBSTITUTE($T93,";",REPT(" ",99)),199,99)),FIND(":",TRIM(MID(SUBSTITUTE($T93,";",REPT(" ",99)),199,99)))+1,99)),0) + IFERROR(VLOOKUP(LEFT(TRIM(MID(SUBSTITUTE($T93,";",REPT(" ",99)),298,99)),FIND(":",TRIM(MID(SUBSTITUTE($T93,";",REPT(" ",99)),298,99)))-1),Materiales!$A$2:$E$502,5,FALSE)*VALUE(MID(TRIM(MID(SUBSTITUTE($T93,";",REPT(" ",99)),298,99)),FIND(":",TRIM(MID(SUBSTITUTE($T93,";",REPT(" ",99)),298,99)))+1,99)),0) + IFERROR(VLOOKUP(LEFT(TRIM(MID(SUBSTITUTE($T93,";",REPT(" ",99)),397,99)),FIND(":",TRIM(MID(SUBSTITUTE($T93,";",REPT(" ",99)),397,99)))-1),Materiales!$A$2:$E$502,5,FALSE)*VALUE(MID(TRIM(MID(SUBSTITUTE($T93,";",REPT(" ",99)),397,99)),FIND(":",TRIM(MID(SUBSTITUTE($T93,";",REPT(" ",99)),397,99)))+1,99)),0) + IFERROR(VLOOKUP(LEFT(TRIM(MID(SUBSTITUTE($T93,";",REPT(" ",99)),496,99)),FIND(":",TRIM(MID(SUBSTITUTE($T93,";",REPT(" ",99)),496,99)))-1),Materiales!$A$2:$E$502,5,FALSE)*VALUE(MID(TRIM(MID(SUBSTITUTE($T93,";",REPT(" ",99)),496,99)),FIND(":",TRIM(MID(SUBSTITUTE($T93,";",REPT(" ",99)),496,99)))+1,99)),0) + IFERROR(VLOOKUP(LEFT(TRIM(MID(SUBSTITUTE($T93,";",REPT(" ",99)),595,99)),FIND(":",TRIM(MID(SUBSTITUTE($T93,";",REPT(" ",99)),595,99)))-1),Materiales!$A$2:$E$502,5,FALSE)*VALUE(MID(TRIM(MID(SUBSTITUTE($T93,";",REPT(" ",99)),595,99)),FIND(":",TRIM(MID(SUBSTITUTE($T93,";",REPT(" ",99)),595,99)))+1,99)),0) + IFERROR(VLOOKUP(LEFT(TRIM(MID(SUBSTITUTE($T93,";",REPT(" ",99)),694,99)),FIND(":",TRIM(MID(SUBSTITUTE($T93,";",REPT(" ",99)),694,99)))-1),Materiales!$A$2:$E$502,5,FALSE)*VALUE(MID(TRIM(MID(SUBSTITUTE($T93,";",REPT(" ",99)),694,99)),FIND(":",TRIM(MID(SUBSTITUTE($T93,";",REPT(" ",99)),694,99)))+1,99)),0) + IFERROR(VLOOKUP(LEFT(TRIM(MID(SUBSTITUTE($T93,";",REPT(" ",99)),793,99)),FIND(":",TRIM(MID(SUBSTITUTE($T93,";",REPT(" ",99)),793,99)))-1),Materiales!$A$2:$E$502,5,FALSE)*VALUE(MID(TRIM(MID(SUBSTITUTE($T93,";",REPT(" ",99)),793,99)),FIND(":",TRIM(MID(SUBSTITUTE($T93,";",REPT(" ",99)),793,99)))+1,99)),0) + IFERROR(VLOOKUP(LEFT(TRIM(MID(SUBSTITUTE($T93,";",REPT(" ",99)),892,99)),FIND(":",TRIM(MID(SUBSTITUTE($T93,";",REPT(" ",99)),892,99)))-1),Materiales!$A$2:$E$502,5,FALSE)*VALUE(MID(TRIM(MID(SUBSTITUTE($T93,";",REPT(" ",99)),892,99)),FIND(":",TRIM(MID(SUBSTITUTE($T93,";",REPT(" ",99)),892,99)))+1,99)),0)))</f>
        <v/>
      </c>
      <c r="V93" s="3"/>
      <c r="W93" s="5" t="str">
        <f t="array" ref="W93">IF($A93="","",IF($V93="",0,IFERROR(VLOOKUP(LEFT(TRIM(MID(SUBSTITUTE($V93,";",REPT(" ",99)),1,99)),FIND(":",TRIM(MID(SUBSTITUTE($V93,";",REPT(" ",99)),1,99)))-1),Materiales!$A$2:$E$502,5,FALSE)*VALUE(MID(TRIM(MID(SUBSTITUTE($V93,";",REPT(" ",99)),1,99)),FIND(":",TRIM(MID(SUBSTITUTE($V93,";",REPT(" ",99)),1,99)))+1,99)),0) + IFERROR(VLOOKUP(LEFT(TRIM(MID(SUBSTITUTE($V93,";",REPT(" ",99)),100,99)),FIND(":",TRIM(MID(SUBSTITUTE($V93,";",REPT(" ",99)),100,99)))-1),Materiales!$A$2:$E$502,5,FALSE)*VALUE(MID(TRIM(MID(SUBSTITUTE($V93,";",REPT(" ",99)),100,99)),FIND(":",TRIM(MID(SUBSTITUTE($V93,";",REPT(" ",99)),100,99)))+1,99)),0) + IFERROR(VLOOKUP(LEFT(TRIM(MID(SUBSTITUTE($V93,";",REPT(" ",99)),199,99)),FIND(":",TRIM(MID(SUBSTITUTE($V93,";",REPT(" ",99)),199,99)))-1),Materiales!$A$2:$E$502,5,FALSE)*VALUE(MID(TRIM(MID(SUBSTITUTE($V93,";",REPT(" ",99)),199,99)),FIND(":",TRIM(MID(SUBSTITUTE($V93,";",REPT(" ",99)),199,99)))+1,99)),0) + IFERROR(VLOOKUP(LEFT(TRIM(MID(SUBSTITUTE($V93,";",REPT(" ",99)),298,99)),FIND(":",TRIM(MID(SUBSTITUTE($V93,";",REPT(" ",99)),298,99)))-1),Materiales!$A$2:$E$502,5,FALSE)*VALUE(MID(TRIM(MID(SUBSTITUTE($V93,";",REPT(" ",99)),298,99)),FIND(":",TRIM(MID(SUBSTITUTE($V93,";",REPT(" ",99)),298,99)))+1,99)),0) + IFERROR(VLOOKUP(LEFT(TRIM(MID(SUBSTITUTE($V93,";",REPT(" ",99)),397,99)),FIND(":",TRIM(MID(SUBSTITUTE($V93,";",REPT(" ",99)),397,99)))-1),Materiales!$A$2:$E$502,5,FALSE)*VALUE(MID(TRIM(MID(SUBSTITUTE($V93,";",REPT(" ",99)),397,99)),FIND(":",TRIM(MID(SUBSTITUTE($V93,";",REPT(" ",99)),397,99)))+1,99)),0) + IFERROR(VLOOKUP(LEFT(TRIM(MID(SUBSTITUTE($V93,";",REPT(" ",99)),496,99)),FIND(":",TRIM(MID(SUBSTITUTE($V93,";",REPT(" ",99)),496,99)))-1),Materiales!$A$2:$E$502,5,FALSE)*VALUE(MID(TRIM(MID(SUBSTITUTE($V93,";",REPT(" ",99)),496,99)),FIND(":",TRIM(MID(SUBSTITUTE($V93,";",REPT(" ",99)),496,99)))+1,99)),0) + IFERROR(VLOOKUP(LEFT(TRIM(MID(SUBSTITUTE($V93,";",REPT(" ",99)),595,99)),FIND(":",TRIM(MID(SUBSTITUTE($V93,";",REPT(" ",99)),595,99)))-1),Materiales!$A$2:$E$502,5,FALSE)*VALUE(MID(TRIM(MID(SUBSTITUTE($V93,";",REPT(" ",99)),595,99)),FIND(":",TRIM(MID(SUBSTITUTE($V93,";",REPT(" ",99)),595,99)))+1,99)),0) + IFERROR(VLOOKUP(LEFT(TRIM(MID(SUBSTITUTE($V93,";",REPT(" ",99)),694,99)),FIND(":",TRIM(MID(SUBSTITUTE($V93,";",REPT(" ",99)),694,99)))-1),Materiales!$A$2:$E$502,5,FALSE)*VALUE(MID(TRIM(MID(SUBSTITUTE($V93,";",REPT(" ",99)),694,99)),FIND(":",TRIM(MID(SUBSTITUTE($V93,";",REPT(" ",99)),694,99)))+1,99)),0) + IFERROR(VLOOKUP(LEFT(TRIM(MID(SUBSTITUTE($V93,";",REPT(" ",99)),793,99)),FIND(":",TRIM(MID(SUBSTITUTE($V93,";",REPT(" ",99)),793,99)))-1),Materiales!$A$2:$E$502,5,FALSE)*VALUE(MID(TRIM(MID(SUBSTITUTE($V93,";",REPT(" ",99)),793,99)),FIND(":",TRIM(MID(SUBSTITUTE($V93,";",REPT(" ",99)),793,99)))+1,99)),0) + IFERROR(VLOOKUP(LEFT(TRIM(MID(SUBSTITUTE($V93,";",REPT(" ",99)),892,99)),FIND(":",TRIM(MID(SUBSTITUTE($V93,";",REPT(" ",99)),892,99)))-1),Materiales!$A$2:$E$502,5,FALSE)*VALUE(MID(TRIM(MID(SUBSTITUTE($V93,";",REPT(" ",99)),892,99)),FIND(":",TRIM(MID(SUBSTITUTE($V93,";",REPT(" ",99)),892,99)))+1,99)),0)))</f>
        <v/>
      </c>
      <c r="X93" s="39" t="str">
        <f t="shared" si="13"/>
        <v/>
      </c>
      <c r="Y93" s="64"/>
      <c r="Z93" s="41"/>
      <c r="AA93" s="65"/>
      <c r="AB93" s="14"/>
      <c r="AC93" s="66"/>
      <c r="AD93" s="65"/>
      <c r="AE93" s="44">
        <f t="shared" si="17"/>
        <v>0</v>
      </c>
      <c r="AF93" s="45" t="str">
        <f t="shared" si="18"/>
        <v>#DIV/0!</v>
      </c>
    </row>
    <row r="94" ht="15.75" customHeight="1">
      <c r="A94" s="3"/>
      <c r="B94" s="3"/>
      <c r="C94" s="38"/>
      <c r="D94" s="38"/>
      <c r="E94" s="38"/>
      <c r="F94" s="14"/>
      <c r="G94" s="5" t="str">
        <f t="array" ref="G94">IF($A94="","",IFERROR($F94*(N($C94)*XLOOKUP($B94,Ceras!$A$2:$A$500,Ceras!$G$2:$G$500,0)+IF($D94="",0,N($E94)*XLOOKUP($D94,Ceras!$A$2:$A$500,Ceras!$G$2:$G$500,0))),"Revisar cera"))</f>
        <v/>
      </c>
      <c r="H94" s="5"/>
      <c r="I94" s="3"/>
      <c r="J94" s="14"/>
      <c r="K94" s="5" t="str">
        <f t="array" ref="K94">IF($A94="","",IFERROR($J94*XLOOKUP($I94,Pabilos!$A$2:$A$500,Pabilos!$H$2:$H$500,0),"Revisar pabilo"))</f>
        <v/>
      </c>
      <c r="L94" s="3"/>
      <c r="M94" s="14"/>
      <c r="N94" s="5" t="str">
        <f t="array" ref="N94">IF($A94="","",IFERROR($M94*XLOOKUP($L94,Esencias!$A$2:$A$501,Esencias!$G$2:$G$501,0),"Revisar esencia"))</f>
        <v/>
      </c>
      <c r="O94" s="3"/>
      <c r="P94" s="14"/>
      <c r="Q94" s="5" t="str">
        <f t="array" ref="Q94">IF($A94="","",IFERROR(IF($P94="",1,$P94)*XLOOKUP($O94,Colores!$A$2:$A$500,Colores!$H$2:$H$500,0),"Revisar color"))</f>
        <v/>
      </c>
      <c r="R94" s="3"/>
      <c r="S94" s="5" t="str">
        <f t="array" ref="S94">IF($A94="","",IF($R94="",0,IFERROR(VLOOKUP(LEFT(TRIM(MID(SUBSTITUTE($R94,";",REPT(" ",99)),1,99)),FIND(":",TRIM(MID(SUBSTITUTE($R94,";",REPT(" ",99)),1,99)))-1),Materiales!$A$2:$E$502,5,FALSE)*VALUE(MID(TRIM(MID(SUBSTITUTE($R94,";",REPT(" ",99)),1,99)),FIND(":",TRIM(MID(SUBSTITUTE($R94,";",REPT(" ",99)),1,99)))+1,99)),0) + IFERROR(VLOOKUP(LEFT(TRIM(MID(SUBSTITUTE($R94,";",REPT(" ",99)),100,99)),FIND(":",TRIM(MID(SUBSTITUTE($R94,";",REPT(" ",99)),100,99)))-1),Materiales!$A$2:$E$502,5,FALSE)*VALUE(MID(TRIM(MID(SUBSTITUTE($R94,";",REPT(" ",99)),100,99)),FIND(":",TRIM(MID(SUBSTITUTE($R94,";",REPT(" ",99)),100,99)))+1,99)),0) + IFERROR(VLOOKUP(LEFT(TRIM(MID(SUBSTITUTE($R94,";",REPT(" ",99)),199,99)),FIND(":",TRIM(MID(SUBSTITUTE($R94,";",REPT(" ",99)),199,99)))-1),Materiales!$A$2:$E$502,5,FALSE)*VALUE(MID(TRIM(MID(SUBSTITUTE($R94,";",REPT(" ",99)),199,99)),FIND(":",TRIM(MID(SUBSTITUTE($R94,";",REPT(" ",99)),199,99)))+1,99)),0) + IFERROR(VLOOKUP(LEFT(TRIM(MID(SUBSTITUTE($R94,";",REPT(" ",99)),298,99)),FIND(":",TRIM(MID(SUBSTITUTE($R94,";",REPT(" ",99)),298,99)))-1),Materiales!$A$2:$E$502,5,FALSE)*VALUE(MID(TRIM(MID(SUBSTITUTE($R94,";",REPT(" ",99)),298,99)),FIND(":",TRIM(MID(SUBSTITUTE($R94,";",REPT(" ",99)),298,99)))+1,99)),0) + IFERROR(VLOOKUP(LEFT(TRIM(MID(SUBSTITUTE($R94,";",REPT(" ",99)),397,99)),FIND(":",TRIM(MID(SUBSTITUTE($R94,";",REPT(" ",99)),397,99)))-1),Materiales!$A$2:$E$502,5,FALSE)*VALUE(MID(TRIM(MID(SUBSTITUTE($R94,";",REPT(" ",99)),397,99)),FIND(":",TRIM(MID(SUBSTITUTE($R94,";",REPT(" ",99)),397,99)))+1,99)),0) + IFERROR(VLOOKUP(LEFT(TRIM(MID(SUBSTITUTE($R94,";",REPT(" ",99)),496,99)),FIND(":",TRIM(MID(SUBSTITUTE($R94,";",REPT(" ",99)),496,99)))-1),Materiales!$A$2:$E$502,5,FALSE)*VALUE(MID(TRIM(MID(SUBSTITUTE($R94,";",REPT(" ",99)),496,99)),FIND(":",TRIM(MID(SUBSTITUTE($R94,";",REPT(" ",99)),496,99)))+1,99)),0) + IFERROR(VLOOKUP(LEFT(TRIM(MID(SUBSTITUTE($R94,";",REPT(" ",99)),595,99)),FIND(":",TRIM(MID(SUBSTITUTE($R94,";",REPT(" ",99)),595,99)))-1),Materiales!$A$2:$E$502,5,FALSE)*VALUE(MID(TRIM(MID(SUBSTITUTE($R94,";",REPT(" ",99)),595,99)),FIND(":",TRIM(MID(SUBSTITUTE($R94,";",REPT(" ",99)),595,99)))+1,99)),0) + IFERROR(VLOOKUP(LEFT(TRIM(MID(SUBSTITUTE($R94,";",REPT(" ",99)),694,99)),FIND(":",TRIM(MID(SUBSTITUTE($R94,";",REPT(" ",99)),694,99)))-1),Materiales!$A$2:$E$502,5,FALSE)*VALUE(MID(TRIM(MID(SUBSTITUTE($R94,";",REPT(" ",99)),694,99)),FIND(":",TRIM(MID(SUBSTITUTE($R94,";",REPT(" ",99)),694,99)))+1,99)),0) + IFERROR(VLOOKUP(LEFT(TRIM(MID(SUBSTITUTE($R94,";",REPT(" ",99)),793,99)),FIND(":",TRIM(MID(SUBSTITUTE($R94,";",REPT(" ",99)),793,99)))-1),Materiales!$A$2:$E$502,5,FALSE)*VALUE(MID(TRIM(MID(SUBSTITUTE($R94,";",REPT(" ",99)),793,99)),FIND(":",TRIM(MID(SUBSTITUTE($R94,";",REPT(" ",99)),793,99)))+1,99)),0) + IFERROR(VLOOKUP(LEFT(TRIM(MID(SUBSTITUTE($R94,";",REPT(" ",99)),892,99)),FIND(":",TRIM(MID(SUBSTITUTE($R94,";",REPT(" ",99)),892,99)))-1),Materiales!$A$2:$E$502,5,FALSE)*VALUE(MID(TRIM(MID(SUBSTITUTE($R94,";",REPT(" ",99)),892,99)),FIND(":",TRIM(MID(SUBSTITUTE($R94,";",REPT(" ",99)),892,99)))+1,99)),0)))</f>
        <v/>
      </c>
      <c r="T94" s="3"/>
      <c r="U94" s="5" t="str">
        <f t="array" ref="U94">IF($A94="","",IF($T94="",0,IFERROR(VLOOKUP(LEFT(TRIM(MID(SUBSTITUTE($T94,";",REPT(" ",99)),1,99)),FIND(":",TRIM(MID(SUBSTITUTE($T94,";",REPT(" ",99)),1,99)))-1),Materiales!$A$2:$E$502,5,FALSE)*VALUE(MID(TRIM(MID(SUBSTITUTE($T94,";",REPT(" ",99)),1,99)),FIND(":",TRIM(MID(SUBSTITUTE($T94,";",REPT(" ",99)),1,99)))+1,99)),0) + IFERROR(VLOOKUP(LEFT(TRIM(MID(SUBSTITUTE($T94,";",REPT(" ",99)),100,99)),FIND(":",TRIM(MID(SUBSTITUTE($T94,";",REPT(" ",99)),100,99)))-1),Materiales!$A$2:$E$502,5,FALSE)*VALUE(MID(TRIM(MID(SUBSTITUTE($T94,";",REPT(" ",99)),100,99)),FIND(":",TRIM(MID(SUBSTITUTE($T94,";",REPT(" ",99)),100,99)))+1,99)),0) + IFERROR(VLOOKUP(LEFT(TRIM(MID(SUBSTITUTE($T94,";",REPT(" ",99)),199,99)),FIND(":",TRIM(MID(SUBSTITUTE($T94,";",REPT(" ",99)),199,99)))-1),Materiales!$A$2:$E$502,5,FALSE)*VALUE(MID(TRIM(MID(SUBSTITUTE($T94,";",REPT(" ",99)),199,99)),FIND(":",TRIM(MID(SUBSTITUTE($T94,";",REPT(" ",99)),199,99)))+1,99)),0) + IFERROR(VLOOKUP(LEFT(TRIM(MID(SUBSTITUTE($T94,";",REPT(" ",99)),298,99)),FIND(":",TRIM(MID(SUBSTITUTE($T94,";",REPT(" ",99)),298,99)))-1),Materiales!$A$2:$E$502,5,FALSE)*VALUE(MID(TRIM(MID(SUBSTITUTE($T94,";",REPT(" ",99)),298,99)),FIND(":",TRIM(MID(SUBSTITUTE($T94,";",REPT(" ",99)),298,99)))+1,99)),0) + IFERROR(VLOOKUP(LEFT(TRIM(MID(SUBSTITUTE($T94,";",REPT(" ",99)),397,99)),FIND(":",TRIM(MID(SUBSTITUTE($T94,";",REPT(" ",99)),397,99)))-1),Materiales!$A$2:$E$502,5,FALSE)*VALUE(MID(TRIM(MID(SUBSTITUTE($T94,";",REPT(" ",99)),397,99)),FIND(":",TRIM(MID(SUBSTITUTE($T94,";",REPT(" ",99)),397,99)))+1,99)),0) + IFERROR(VLOOKUP(LEFT(TRIM(MID(SUBSTITUTE($T94,";",REPT(" ",99)),496,99)),FIND(":",TRIM(MID(SUBSTITUTE($T94,";",REPT(" ",99)),496,99)))-1),Materiales!$A$2:$E$502,5,FALSE)*VALUE(MID(TRIM(MID(SUBSTITUTE($T94,";",REPT(" ",99)),496,99)),FIND(":",TRIM(MID(SUBSTITUTE($T94,";",REPT(" ",99)),496,99)))+1,99)),0) + IFERROR(VLOOKUP(LEFT(TRIM(MID(SUBSTITUTE($T94,";",REPT(" ",99)),595,99)),FIND(":",TRIM(MID(SUBSTITUTE($T94,";",REPT(" ",99)),595,99)))-1),Materiales!$A$2:$E$502,5,FALSE)*VALUE(MID(TRIM(MID(SUBSTITUTE($T94,";",REPT(" ",99)),595,99)),FIND(":",TRIM(MID(SUBSTITUTE($T94,";",REPT(" ",99)),595,99)))+1,99)),0) + IFERROR(VLOOKUP(LEFT(TRIM(MID(SUBSTITUTE($T94,";",REPT(" ",99)),694,99)),FIND(":",TRIM(MID(SUBSTITUTE($T94,";",REPT(" ",99)),694,99)))-1),Materiales!$A$2:$E$502,5,FALSE)*VALUE(MID(TRIM(MID(SUBSTITUTE($T94,";",REPT(" ",99)),694,99)),FIND(":",TRIM(MID(SUBSTITUTE($T94,";",REPT(" ",99)),694,99)))+1,99)),0) + IFERROR(VLOOKUP(LEFT(TRIM(MID(SUBSTITUTE($T94,";",REPT(" ",99)),793,99)),FIND(":",TRIM(MID(SUBSTITUTE($T94,";",REPT(" ",99)),793,99)))-1),Materiales!$A$2:$E$502,5,FALSE)*VALUE(MID(TRIM(MID(SUBSTITUTE($T94,";",REPT(" ",99)),793,99)),FIND(":",TRIM(MID(SUBSTITUTE($T94,";",REPT(" ",99)),793,99)))+1,99)),0) + IFERROR(VLOOKUP(LEFT(TRIM(MID(SUBSTITUTE($T94,";",REPT(" ",99)),892,99)),FIND(":",TRIM(MID(SUBSTITUTE($T94,";",REPT(" ",99)),892,99)))-1),Materiales!$A$2:$E$502,5,FALSE)*VALUE(MID(TRIM(MID(SUBSTITUTE($T94,";",REPT(" ",99)),892,99)),FIND(":",TRIM(MID(SUBSTITUTE($T94,";",REPT(" ",99)),892,99)))+1,99)),0)))</f>
        <v/>
      </c>
      <c r="V94" s="3"/>
      <c r="W94" s="5" t="str">
        <f t="array" ref="W94">IF($A94="","",IF($V94="",0,IFERROR(VLOOKUP(LEFT(TRIM(MID(SUBSTITUTE($V94,";",REPT(" ",99)),1,99)),FIND(":",TRIM(MID(SUBSTITUTE($V94,";",REPT(" ",99)),1,99)))-1),Materiales!$A$2:$E$502,5,FALSE)*VALUE(MID(TRIM(MID(SUBSTITUTE($V94,";",REPT(" ",99)),1,99)),FIND(":",TRIM(MID(SUBSTITUTE($V94,";",REPT(" ",99)),1,99)))+1,99)),0) + IFERROR(VLOOKUP(LEFT(TRIM(MID(SUBSTITUTE($V94,";",REPT(" ",99)),100,99)),FIND(":",TRIM(MID(SUBSTITUTE($V94,";",REPT(" ",99)),100,99)))-1),Materiales!$A$2:$E$502,5,FALSE)*VALUE(MID(TRIM(MID(SUBSTITUTE($V94,";",REPT(" ",99)),100,99)),FIND(":",TRIM(MID(SUBSTITUTE($V94,";",REPT(" ",99)),100,99)))+1,99)),0) + IFERROR(VLOOKUP(LEFT(TRIM(MID(SUBSTITUTE($V94,";",REPT(" ",99)),199,99)),FIND(":",TRIM(MID(SUBSTITUTE($V94,";",REPT(" ",99)),199,99)))-1),Materiales!$A$2:$E$502,5,FALSE)*VALUE(MID(TRIM(MID(SUBSTITUTE($V94,";",REPT(" ",99)),199,99)),FIND(":",TRIM(MID(SUBSTITUTE($V94,";",REPT(" ",99)),199,99)))+1,99)),0) + IFERROR(VLOOKUP(LEFT(TRIM(MID(SUBSTITUTE($V94,";",REPT(" ",99)),298,99)),FIND(":",TRIM(MID(SUBSTITUTE($V94,";",REPT(" ",99)),298,99)))-1),Materiales!$A$2:$E$502,5,FALSE)*VALUE(MID(TRIM(MID(SUBSTITUTE($V94,";",REPT(" ",99)),298,99)),FIND(":",TRIM(MID(SUBSTITUTE($V94,";",REPT(" ",99)),298,99)))+1,99)),0) + IFERROR(VLOOKUP(LEFT(TRIM(MID(SUBSTITUTE($V94,";",REPT(" ",99)),397,99)),FIND(":",TRIM(MID(SUBSTITUTE($V94,";",REPT(" ",99)),397,99)))-1),Materiales!$A$2:$E$502,5,FALSE)*VALUE(MID(TRIM(MID(SUBSTITUTE($V94,";",REPT(" ",99)),397,99)),FIND(":",TRIM(MID(SUBSTITUTE($V94,";",REPT(" ",99)),397,99)))+1,99)),0) + IFERROR(VLOOKUP(LEFT(TRIM(MID(SUBSTITUTE($V94,";",REPT(" ",99)),496,99)),FIND(":",TRIM(MID(SUBSTITUTE($V94,";",REPT(" ",99)),496,99)))-1),Materiales!$A$2:$E$502,5,FALSE)*VALUE(MID(TRIM(MID(SUBSTITUTE($V94,";",REPT(" ",99)),496,99)),FIND(":",TRIM(MID(SUBSTITUTE($V94,";",REPT(" ",99)),496,99)))+1,99)),0) + IFERROR(VLOOKUP(LEFT(TRIM(MID(SUBSTITUTE($V94,";",REPT(" ",99)),595,99)),FIND(":",TRIM(MID(SUBSTITUTE($V94,";",REPT(" ",99)),595,99)))-1),Materiales!$A$2:$E$502,5,FALSE)*VALUE(MID(TRIM(MID(SUBSTITUTE($V94,";",REPT(" ",99)),595,99)),FIND(":",TRIM(MID(SUBSTITUTE($V94,";",REPT(" ",99)),595,99)))+1,99)),0) + IFERROR(VLOOKUP(LEFT(TRIM(MID(SUBSTITUTE($V94,";",REPT(" ",99)),694,99)),FIND(":",TRIM(MID(SUBSTITUTE($V94,";",REPT(" ",99)),694,99)))-1),Materiales!$A$2:$E$502,5,FALSE)*VALUE(MID(TRIM(MID(SUBSTITUTE($V94,";",REPT(" ",99)),694,99)),FIND(":",TRIM(MID(SUBSTITUTE($V94,";",REPT(" ",99)),694,99)))+1,99)),0) + IFERROR(VLOOKUP(LEFT(TRIM(MID(SUBSTITUTE($V94,";",REPT(" ",99)),793,99)),FIND(":",TRIM(MID(SUBSTITUTE($V94,";",REPT(" ",99)),793,99)))-1),Materiales!$A$2:$E$502,5,FALSE)*VALUE(MID(TRIM(MID(SUBSTITUTE($V94,";",REPT(" ",99)),793,99)),FIND(":",TRIM(MID(SUBSTITUTE($V94,";",REPT(" ",99)),793,99)))+1,99)),0) + IFERROR(VLOOKUP(LEFT(TRIM(MID(SUBSTITUTE($V94,";",REPT(" ",99)),892,99)),FIND(":",TRIM(MID(SUBSTITUTE($V94,";",REPT(" ",99)),892,99)))-1),Materiales!$A$2:$E$502,5,FALSE)*VALUE(MID(TRIM(MID(SUBSTITUTE($V94,";",REPT(" ",99)),892,99)),FIND(":",TRIM(MID(SUBSTITUTE($V94,";",REPT(" ",99)),892,99)))+1,99)),0)))</f>
        <v/>
      </c>
      <c r="X94" s="39" t="str">
        <f t="shared" si="13"/>
        <v/>
      </c>
      <c r="Y94" s="64"/>
      <c r="Z94" s="41"/>
      <c r="AA94" s="65"/>
      <c r="AB94" s="14"/>
      <c r="AC94" s="66"/>
      <c r="AD94" s="65"/>
      <c r="AE94" s="44">
        <f t="shared" si="17"/>
        <v>0</v>
      </c>
      <c r="AF94" s="45" t="str">
        <f t="shared" si="18"/>
        <v>#DIV/0!</v>
      </c>
    </row>
    <row r="95" ht="15.75" customHeight="1">
      <c r="A95" s="3"/>
      <c r="B95" s="3"/>
      <c r="C95" s="38"/>
      <c r="D95" s="38"/>
      <c r="E95" s="38"/>
      <c r="F95" s="14"/>
      <c r="G95" s="5" t="str">
        <f t="array" ref="G95">IF($A95="","",IFERROR($F95*(N($C95)*XLOOKUP($B95,Ceras!$A$2:$A$500,Ceras!$G$2:$G$500,0)+IF($D95="",0,N($E95)*XLOOKUP($D95,Ceras!$A$2:$A$500,Ceras!$G$2:$G$500,0))),"Revisar cera"))</f>
        <v/>
      </c>
      <c r="H95" s="5"/>
      <c r="I95" s="3"/>
      <c r="J95" s="14"/>
      <c r="K95" s="5" t="str">
        <f t="array" ref="K95">IF($A95="","",IFERROR($J95*XLOOKUP($I95,Pabilos!$A$2:$A$500,Pabilos!$H$2:$H$500,0),"Revisar pabilo"))</f>
        <v/>
      </c>
      <c r="L95" s="3"/>
      <c r="M95" s="14"/>
      <c r="N95" s="5" t="str">
        <f t="array" ref="N95">IF($A95="","",IFERROR($M95*XLOOKUP($L95,Esencias!$A$2:$A$501,Esencias!$G$2:$G$501,0),"Revisar esencia"))</f>
        <v/>
      </c>
      <c r="O95" s="3"/>
      <c r="P95" s="14"/>
      <c r="Q95" s="5" t="str">
        <f t="array" ref="Q95">IF($A95="","",IFERROR(IF($P95="",1,$P95)*XLOOKUP($O95,Colores!$A$2:$A$500,Colores!$H$2:$H$500,0),"Revisar color"))</f>
        <v/>
      </c>
      <c r="R95" s="3"/>
      <c r="S95" s="5" t="str">
        <f t="array" ref="S95">IF($A95="","",IF($R95="",0,IFERROR(VLOOKUP(LEFT(TRIM(MID(SUBSTITUTE($R95,";",REPT(" ",99)),1,99)),FIND(":",TRIM(MID(SUBSTITUTE($R95,";",REPT(" ",99)),1,99)))-1),Materiales!$A$2:$E$502,5,FALSE)*VALUE(MID(TRIM(MID(SUBSTITUTE($R95,";",REPT(" ",99)),1,99)),FIND(":",TRIM(MID(SUBSTITUTE($R95,";",REPT(" ",99)),1,99)))+1,99)),0) + IFERROR(VLOOKUP(LEFT(TRIM(MID(SUBSTITUTE($R95,";",REPT(" ",99)),100,99)),FIND(":",TRIM(MID(SUBSTITUTE($R95,";",REPT(" ",99)),100,99)))-1),Materiales!$A$2:$E$502,5,FALSE)*VALUE(MID(TRIM(MID(SUBSTITUTE($R95,";",REPT(" ",99)),100,99)),FIND(":",TRIM(MID(SUBSTITUTE($R95,";",REPT(" ",99)),100,99)))+1,99)),0) + IFERROR(VLOOKUP(LEFT(TRIM(MID(SUBSTITUTE($R95,";",REPT(" ",99)),199,99)),FIND(":",TRIM(MID(SUBSTITUTE($R95,";",REPT(" ",99)),199,99)))-1),Materiales!$A$2:$E$502,5,FALSE)*VALUE(MID(TRIM(MID(SUBSTITUTE($R95,";",REPT(" ",99)),199,99)),FIND(":",TRIM(MID(SUBSTITUTE($R95,";",REPT(" ",99)),199,99)))+1,99)),0) + IFERROR(VLOOKUP(LEFT(TRIM(MID(SUBSTITUTE($R95,";",REPT(" ",99)),298,99)),FIND(":",TRIM(MID(SUBSTITUTE($R95,";",REPT(" ",99)),298,99)))-1),Materiales!$A$2:$E$502,5,FALSE)*VALUE(MID(TRIM(MID(SUBSTITUTE($R95,";",REPT(" ",99)),298,99)),FIND(":",TRIM(MID(SUBSTITUTE($R95,";",REPT(" ",99)),298,99)))+1,99)),0) + IFERROR(VLOOKUP(LEFT(TRIM(MID(SUBSTITUTE($R95,";",REPT(" ",99)),397,99)),FIND(":",TRIM(MID(SUBSTITUTE($R95,";",REPT(" ",99)),397,99)))-1),Materiales!$A$2:$E$502,5,FALSE)*VALUE(MID(TRIM(MID(SUBSTITUTE($R95,";",REPT(" ",99)),397,99)),FIND(":",TRIM(MID(SUBSTITUTE($R95,";",REPT(" ",99)),397,99)))+1,99)),0) + IFERROR(VLOOKUP(LEFT(TRIM(MID(SUBSTITUTE($R95,";",REPT(" ",99)),496,99)),FIND(":",TRIM(MID(SUBSTITUTE($R95,";",REPT(" ",99)),496,99)))-1),Materiales!$A$2:$E$502,5,FALSE)*VALUE(MID(TRIM(MID(SUBSTITUTE($R95,";",REPT(" ",99)),496,99)),FIND(":",TRIM(MID(SUBSTITUTE($R95,";",REPT(" ",99)),496,99)))+1,99)),0) + IFERROR(VLOOKUP(LEFT(TRIM(MID(SUBSTITUTE($R95,";",REPT(" ",99)),595,99)),FIND(":",TRIM(MID(SUBSTITUTE($R95,";",REPT(" ",99)),595,99)))-1),Materiales!$A$2:$E$502,5,FALSE)*VALUE(MID(TRIM(MID(SUBSTITUTE($R95,";",REPT(" ",99)),595,99)),FIND(":",TRIM(MID(SUBSTITUTE($R95,";",REPT(" ",99)),595,99)))+1,99)),0) + IFERROR(VLOOKUP(LEFT(TRIM(MID(SUBSTITUTE($R95,";",REPT(" ",99)),694,99)),FIND(":",TRIM(MID(SUBSTITUTE($R95,";",REPT(" ",99)),694,99)))-1),Materiales!$A$2:$E$502,5,FALSE)*VALUE(MID(TRIM(MID(SUBSTITUTE($R95,";",REPT(" ",99)),694,99)),FIND(":",TRIM(MID(SUBSTITUTE($R95,";",REPT(" ",99)),694,99)))+1,99)),0) + IFERROR(VLOOKUP(LEFT(TRIM(MID(SUBSTITUTE($R95,";",REPT(" ",99)),793,99)),FIND(":",TRIM(MID(SUBSTITUTE($R95,";",REPT(" ",99)),793,99)))-1),Materiales!$A$2:$E$502,5,FALSE)*VALUE(MID(TRIM(MID(SUBSTITUTE($R95,";",REPT(" ",99)),793,99)),FIND(":",TRIM(MID(SUBSTITUTE($R95,";",REPT(" ",99)),793,99)))+1,99)),0) + IFERROR(VLOOKUP(LEFT(TRIM(MID(SUBSTITUTE($R95,";",REPT(" ",99)),892,99)),FIND(":",TRIM(MID(SUBSTITUTE($R95,";",REPT(" ",99)),892,99)))-1),Materiales!$A$2:$E$502,5,FALSE)*VALUE(MID(TRIM(MID(SUBSTITUTE($R95,";",REPT(" ",99)),892,99)),FIND(":",TRIM(MID(SUBSTITUTE($R95,";",REPT(" ",99)),892,99)))+1,99)),0)))</f>
        <v/>
      </c>
      <c r="T95" s="3"/>
      <c r="U95" s="5" t="str">
        <f t="array" ref="U95">IF($A95="","",IF($T95="",0,IFERROR(VLOOKUP(LEFT(TRIM(MID(SUBSTITUTE($T95,";",REPT(" ",99)),1,99)),FIND(":",TRIM(MID(SUBSTITUTE($T95,";",REPT(" ",99)),1,99)))-1),Materiales!$A$2:$E$502,5,FALSE)*VALUE(MID(TRIM(MID(SUBSTITUTE($T95,";",REPT(" ",99)),1,99)),FIND(":",TRIM(MID(SUBSTITUTE($T95,";",REPT(" ",99)),1,99)))+1,99)),0) + IFERROR(VLOOKUP(LEFT(TRIM(MID(SUBSTITUTE($T95,";",REPT(" ",99)),100,99)),FIND(":",TRIM(MID(SUBSTITUTE($T95,";",REPT(" ",99)),100,99)))-1),Materiales!$A$2:$E$502,5,FALSE)*VALUE(MID(TRIM(MID(SUBSTITUTE($T95,";",REPT(" ",99)),100,99)),FIND(":",TRIM(MID(SUBSTITUTE($T95,";",REPT(" ",99)),100,99)))+1,99)),0) + IFERROR(VLOOKUP(LEFT(TRIM(MID(SUBSTITUTE($T95,";",REPT(" ",99)),199,99)),FIND(":",TRIM(MID(SUBSTITUTE($T95,";",REPT(" ",99)),199,99)))-1),Materiales!$A$2:$E$502,5,FALSE)*VALUE(MID(TRIM(MID(SUBSTITUTE($T95,";",REPT(" ",99)),199,99)),FIND(":",TRIM(MID(SUBSTITUTE($T95,";",REPT(" ",99)),199,99)))+1,99)),0) + IFERROR(VLOOKUP(LEFT(TRIM(MID(SUBSTITUTE($T95,";",REPT(" ",99)),298,99)),FIND(":",TRIM(MID(SUBSTITUTE($T95,";",REPT(" ",99)),298,99)))-1),Materiales!$A$2:$E$502,5,FALSE)*VALUE(MID(TRIM(MID(SUBSTITUTE($T95,";",REPT(" ",99)),298,99)),FIND(":",TRIM(MID(SUBSTITUTE($T95,";",REPT(" ",99)),298,99)))+1,99)),0) + IFERROR(VLOOKUP(LEFT(TRIM(MID(SUBSTITUTE($T95,";",REPT(" ",99)),397,99)),FIND(":",TRIM(MID(SUBSTITUTE($T95,";",REPT(" ",99)),397,99)))-1),Materiales!$A$2:$E$502,5,FALSE)*VALUE(MID(TRIM(MID(SUBSTITUTE($T95,";",REPT(" ",99)),397,99)),FIND(":",TRIM(MID(SUBSTITUTE($T95,";",REPT(" ",99)),397,99)))+1,99)),0) + IFERROR(VLOOKUP(LEFT(TRIM(MID(SUBSTITUTE($T95,";",REPT(" ",99)),496,99)),FIND(":",TRIM(MID(SUBSTITUTE($T95,";",REPT(" ",99)),496,99)))-1),Materiales!$A$2:$E$502,5,FALSE)*VALUE(MID(TRIM(MID(SUBSTITUTE($T95,";",REPT(" ",99)),496,99)),FIND(":",TRIM(MID(SUBSTITUTE($T95,";",REPT(" ",99)),496,99)))+1,99)),0) + IFERROR(VLOOKUP(LEFT(TRIM(MID(SUBSTITUTE($T95,";",REPT(" ",99)),595,99)),FIND(":",TRIM(MID(SUBSTITUTE($T95,";",REPT(" ",99)),595,99)))-1),Materiales!$A$2:$E$502,5,FALSE)*VALUE(MID(TRIM(MID(SUBSTITUTE($T95,";",REPT(" ",99)),595,99)),FIND(":",TRIM(MID(SUBSTITUTE($T95,";",REPT(" ",99)),595,99)))+1,99)),0) + IFERROR(VLOOKUP(LEFT(TRIM(MID(SUBSTITUTE($T95,";",REPT(" ",99)),694,99)),FIND(":",TRIM(MID(SUBSTITUTE($T95,";",REPT(" ",99)),694,99)))-1),Materiales!$A$2:$E$502,5,FALSE)*VALUE(MID(TRIM(MID(SUBSTITUTE($T95,";",REPT(" ",99)),694,99)),FIND(":",TRIM(MID(SUBSTITUTE($T95,";",REPT(" ",99)),694,99)))+1,99)),0) + IFERROR(VLOOKUP(LEFT(TRIM(MID(SUBSTITUTE($T95,";",REPT(" ",99)),793,99)),FIND(":",TRIM(MID(SUBSTITUTE($T95,";",REPT(" ",99)),793,99)))-1),Materiales!$A$2:$E$502,5,FALSE)*VALUE(MID(TRIM(MID(SUBSTITUTE($T95,";",REPT(" ",99)),793,99)),FIND(":",TRIM(MID(SUBSTITUTE($T95,";",REPT(" ",99)),793,99)))+1,99)),0) + IFERROR(VLOOKUP(LEFT(TRIM(MID(SUBSTITUTE($T95,";",REPT(" ",99)),892,99)),FIND(":",TRIM(MID(SUBSTITUTE($T95,";",REPT(" ",99)),892,99)))-1),Materiales!$A$2:$E$502,5,FALSE)*VALUE(MID(TRIM(MID(SUBSTITUTE($T95,";",REPT(" ",99)),892,99)),FIND(":",TRIM(MID(SUBSTITUTE($T95,";",REPT(" ",99)),892,99)))+1,99)),0)))</f>
        <v/>
      </c>
      <c r="V95" s="3"/>
      <c r="W95" s="5" t="str">
        <f t="array" ref="W95">IF($A95="","",IF($V95="",0,IFERROR(VLOOKUP(LEFT(TRIM(MID(SUBSTITUTE($V95,";",REPT(" ",99)),1,99)),FIND(":",TRIM(MID(SUBSTITUTE($V95,";",REPT(" ",99)),1,99)))-1),Materiales!$A$2:$E$502,5,FALSE)*VALUE(MID(TRIM(MID(SUBSTITUTE($V95,";",REPT(" ",99)),1,99)),FIND(":",TRIM(MID(SUBSTITUTE($V95,";",REPT(" ",99)),1,99)))+1,99)),0) + IFERROR(VLOOKUP(LEFT(TRIM(MID(SUBSTITUTE($V95,";",REPT(" ",99)),100,99)),FIND(":",TRIM(MID(SUBSTITUTE($V95,";",REPT(" ",99)),100,99)))-1),Materiales!$A$2:$E$502,5,FALSE)*VALUE(MID(TRIM(MID(SUBSTITUTE($V95,";",REPT(" ",99)),100,99)),FIND(":",TRIM(MID(SUBSTITUTE($V95,";",REPT(" ",99)),100,99)))+1,99)),0) + IFERROR(VLOOKUP(LEFT(TRIM(MID(SUBSTITUTE($V95,";",REPT(" ",99)),199,99)),FIND(":",TRIM(MID(SUBSTITUTE($V95,";",REPT(" ",99)),199,99)))-1),Materiales!$A$2:$E$502,5,FALSE)*VALUE(MID(TRIM(MID(SUBSTITUTE($V95,";",REPT(" ",99)),199,99)),FIND(":",TRIM(MID(SUBSTITUTE($V95,";",REPT(" ",99)),199,99)))+1,99)),0) + IFERROR(VLOOKUP(LEFT(TRIM(MID(SUBSTITUTE($V95,";",REPT(" ",99)),298,99)),FIND(":",TRIM(MID(SUBSTITUTE($V95,";",REPT(" ",99)),298,99)))-1),Materiales!$A$2:$E$502,5,FALSE)*VALUE(MID(TRIM(MID(SUBSTITUTE($V95,";",REPT(" ",99)),298,99)),FIND(":",TRIM(MID(SUBSTITUTE($V95,";",REPT(" ",99)),298,99)))+1,99)),0) + IFERROR(VLOOKUP(LEFT(TRIM(MID(SUBSTITUTE($V95,";",REPT(" ",99)),397,99)),FIND(":",TRIM(MID(SUBSTITUTE($V95,";",REPT(" ",99)),397,99)))-1),Materiales!$A$2:$E$502,5,FALSE)*VALUE(MID(TRIM(MID(SUBSTITUTE($V95,";",REPT(" ",99)),397,99)),FIND(":",TRIM(MID(SUBSTITUTE($V95,";",REPT(" ",99)),397,99)))+1,99)),0) + IFERROR(VLOOKUP(LEFT(TRIM(MID(SUBSTITUTE($V95,";",REPT(" ",99)),496,99)),FIND(":",TRIM(MID(SUBSTITUTE($V95,";",REPT(" ",99)),496,99)))-1),Materiales!$A$2:$E$502,5,FALSE)*VALUE(MID(TRIM(MID(SUBSTITUTE($V95,";",REPT(" ",99)),496,99)),FIND(":",TRIM(MID(SUBSTITUTE($V95,";",REPT(" ",99)),496,99)))+1,99)),0) + IFERROR(VLOOKUP(LEFT(TRIM(MID(SUBSTITUTE($V95,";",REPT(" ",99)),595,99)),FIND(":",TRIM(MID(SUBSTITUTE($V95,";",REPT(" ",99)),595,99)))-1),Materiales!$A$2:$E$502,5,FALSE)*VALUE(MID(TRIM(MID(SUBSTITUTE($V95,";",REPT(" ",99)),595,99)),FIND(":",TRIM(MID(SUBSTITUTE($V95,";",REPT(" ",99)),595,99)))+1,99)),0) + IFERROR(VLOOKUP(LEFT(TRIM(MID(SUBSTITUTE($V95,";",REPT(" ",99)),694,99)),FIND(":",TRIM(MID(SUBSTITUTE($V95,";",REPT(" ",99)),694,99)))-1),Materiales!$A$2:$E$502,5,FALSE)*VALUE(MID(TRIM(MID(SUBSTITUTE($V95,";",REPT(" ",99)),694,99)),FIND(":",TRIM(MID(SUBSTITUTE($V95,";",REPT(" ",99)),694,99)))+1,99)),0) + IFERROR(VLOOKUP(LEFT(TRIM(MID(SUBSTITUTE($V95,";",REPT(" ",99)),793,99)),FIND(":",TRIM(MID(SUBSTITUTE($V95,";",REPT(" ",99)),793,99)))-1),Materiales!$A$2:$E$502,5,FALSE)*VALUE(MID(TRIM(MID(SUBSTITUTE($V95,";",REPT(" ",99)),793,99)),FIND(":",TRIM(MID(SUBSTITUTE($V95,";",REPT(" ",99)),793,99)))+1,99)),0) + IFERROR(VLOOKUP(LEFT(TRIM(MID(SUBSTITUTE($V95,";",REPT(" ",99)),892,99)),FIND(":",TRIM(MID(SUBSTITUTE($V95,";",REPT(" ",99)),892,99)))-1),Materiales!$A$2:$E$502,5,FALSE)*VALUE(MID(TRIM(MID(SUBSTITUTE($V95,";",REPT(" ",99)),892,99)),FIND(":",TRIM(MID(SUBSTITUTE($V95,";",REPT(" ",99)),892,99)))+1,99)),0)))</f>
        <v/>
      </c>
      <c r="X95" s="39" t="str">
        <f t="shared" si="13"/>
        <v/>
      </c>
      <c r="Y95" s="64"/>
      <c r="Z95" s="41"/>
      <c r="AA95" s="65"/>
      <c r="AB95" s="14"/>
      <c r="AC95" s="66"/>
      <c r="AD95" s="65"/>
      <c r="AE95" s="44">
        <f t="shared" si="17"/>
        <v>0</v>
      </c>
      <c r="AF95" s="45" t="str">
        <f t="shared" si="18"/>
        <v>#DIV/0!</v>
      </c>
    </row>
    <row r="96" ht="15.75" customHeight="1">
      <c r="A96" s="3"/>
      <c r="B96" s="3"/>
      <c r="C96" s="38"/>
      <c r="D96" s="38"/>
      <c r="E96" s="38"/>
      <c r="F96" s="14"/>
      <c r="G96" s="5" t="str">
        <f t="array" ref="G96">IF($A96="","",IFERROR($F96*(N($C96)*XLOOKUP($B96,Ceras!$A$2:$A$500,Ceras!$G$2:$G$500,0)+IF($D96="",0,N($E96)*XLOOKUP($D96,Ceras!$A$2:$A$500,Ceras!$G$2:$G$500,0))),"Revisar cera"))</f>
        <v/>
      </c>
      <c r="H96" s="5"/>
      <c r="I96" s="3"/>
      <c r="J96" s="14"/>
      <c r="K96" s="5" t="str">
        <f t="array" ref="K96">IF($A96="","",IFERROR($J96*XLOOKUP($I96,Pabilos!$A$2:$A$500,Pabilos!$H$2:$H$500,0),"Revisar pabilo"))</f>
        <v/>
      </c>
      <c r="L96" s="3"/>
      <c r="M96" s="14"/>
      <c r="N96" s="5" t="str">
        <f t="array" ref="N96">IF($A96="","",IFERROR($M96*XLOOKUP($L96,Esencias!$A$2:$A$501,Esencias!$G$2:$G$501,0),"Revisar esencia"))</f>
        <v/>
      </c>
      <c r="O96" s="3"/>
      <c r="P96" s="14"/>
      <c r="Q96" s="5" t="str">
        <f t="array" ref="Q96">IF($A96="","",IFERROR(IF($P96="",1,$P96)*XLOOKUP($O96,Colores!$A$2:$A$500,Colores!$H$2:$H$500,0),"Revisar color"))</f>
        <v/>
      </c>
      <c r="R96" s="3"/>
      <c r="S96" s="5" t="str">
        <f t="array" ref="S96">IF($A96="","",IF($R96="",0,IFERROR(VLOOKUP(LEFT(TRIM(MID(SUBSTITUTE($R96,";",REPT(" ",99)),1,99)),FIND(":",TRIM(MID(SUBSTITUTE($R96,";",REPT(" ",99)),1,99)))-1),Materiales!$A$2:$E$502,5,FALSE)*VALUE(MID(TRIM(MID(SUBSTITUTE($R96,";",REPT(" ",99)),1,99)),FIND(":",TRIM(MID(SUBSTITUTE($R96,";",REPT(" ",99)),1,99)))+1,99)),0) + IFERROR(VLOOKUP(LEFT(TRIM(MID(SUBSTITUTE($R96,";",REPT(" ",99)),100,99)),FIND(":",TRIM(MID(SUBSTITUTE($R96,";",REPT(" ",99)),100,99)))-1),Materiales!$A$2:$E$502,5,FALSE)*VALUE(MID(TRIM(MID(SUBSTITUTE($R96,";",REPT(" ",99)),100,99)),FIND(":",TRIM(MID(SUBSTITUTE($R96,";",REPT(" ",99)),100,99)))+1,99)),0) + IFERROR(VLOOKUP(LEFT(TRIM(MID(SUBSTITUTE($R96,";",REPT(" ",99)),199,99)),FIND(":",TRIM(MID(SUBSTITUTE($R96,";",REPT(" ",99)),199,99)))-1),Materiales!$A$2:$E$502,5,FALSE)*VALUE(MID(TRIM(MID(SUBSTITUTE($R96,";",REPT(" ",99)),199,99)),FIND(":",TRIM(MID(SUBSTITUTE($R96,";",REPT(" ",99)),199,99)))+1,99)),0) + IFERROR(VLOOKUP(LEFT(TRIM(MID(SUBSTITUTE($R96,";",REPT(" ",99)),298,99)),FIND(":",TRIM(MID(SUBSTITUTE($R96,";",REPT(" ",99)),298,99)))-1),Materiales!$A$2:$E$502,5,FALSE)*VALUE(MID(TRIM(MID(SUBSTITUTE($R96,";",REPT(" ",99)),298,99)),FIND(":",TRIM(MID(SUBSTITUTE($R96,";",REPT(" ",99)),298,99)))+1,99)),0) + IFERROR(VLOOKUP(LEFT(TRIM(MID(SUBSTITUTE($R96,";",REPT(" ",99)),397,99)),FIND(":",TRIM(MID(SUBSTITUTE($R96,";",REPT(" ",99)),397,99)))-1),Materiales!$A$2:$E$502,5,FALSE)*VALUE(MID(TRIM(MID(SUBSTITUTE($R96,";",REPT(" ",99)),397,99)),FIND(":",TRIM(MID(SUBSTITUTE($R96,";",REPT(" ",99)),397,99)))+1,99)),0) + IFERROR(VLOOKUP(LEFT(TRIM(MID(SUBSTITUTE($R96,";",REPT(" ",99)),496,99)),FIND(":",TRIM(MID(SUBSTITUTE($R96,";",REPT(" ",99)),496,99)))-1),Materiales!$A$2:$E$502,5,FALSE)*VALUE(MID(TRIM(MID(SUBSTITUTE($R96,";",REPT(" ",99)),496,99)),FIND(":",TRIM(MID(SUBSTITUTE($R96,";",REPT(" ",99)),496,99)))+1,99)),0) + IFERROR(VLOOKUP(LEFT(TRIM(MID(SUBSTITUTE($R96,";",REPT(" ",99)),595,99)),FIND(":",TRIM(MID(SUBSTITUTE($R96,";",REPT(" ",99)),595,99)))-1),Materiales!$A$2:$E$502,5,FALSE)*VALUE(MID(TRIM(MID(SUBSTITUTE($R96,";",REPT(" ",99)),595,99)),FIND(":",TRIM(MID(SUBSTITUTE($R96,";",REPT(" ",99)),595,99)))+1,99)),0) + IFERROR(VLOOKUP(LEFT(TRIM(MID(SUBSTITUTE($R96,";",REPT(" ",99)),694,99)),FIND(":",TRIM(MID(SUBSTITUTE($R96,";",REPT(" ",99)),694,99)))-1),Materiales!$A$2:$E$502,5,FALSE)*VALUE(MID(TRIM(MID(SUBSTITUTE($R96,";",REPT(" ",99)),694,99)),FIND(":",TRIM(MID(SUBSTITUTE($R96,";",REPT(" ",99)),694,99)))+1,99)),0) + IFERROR(VLOOKUP(LEFT(TRIM(MID(SUBSTITUTE($R96,";",REPT(" ",99)),793,99)),FIND(":",TRIM(MID(SUBSTITUTE($R96,";",REPT(" ",99)),793,99)))-1),Materiales!$A$2:$E$502,5,FALSE)*VALUE(MID(TRIM(MID(SUBSTITUTE($R96,";",REPT(" ",99)),793,99)),FIND(":",TRIM(MID(SUBSTITUTE($R96,";",REPT(" ",99)),793,99)))+1,99)),0) + IFERROR(VLOOKUP(LEFT(TRIM(MID(SUBSTITUTE($R96,";",REPT(" ",99)),892,99)),FIND(":",TRIM(MID(SUBSTITUTE($R96,";",REPT(" ",99)),892,99)))-1),Materiales!$A$2:$E$502,5,FALSE)*VALUE(MID(TRIM(MID(SUBSTITUTE($R96,";",REPT(" ",99)),892,99)),FIND(":",TRIM(MID(SUBSTITUTE($R96,";",REPT(" ",99)),892,99)))+1,99)),0)))</f>
        <v/>
      </c>
      <c r="T96" s="3"/>
      <c r="U96" s="5" t="str">
        <f t="array" ref="U96">IF($A96="","",IF($T96="",0,IFERROR(VLOOKUP(LEFT(TRIM(MID(SUBSTITUTE($T96,";",REPT(" ",99)),1,99)),FIND(":",TRIM(MID(SUBSTITUTE($T96,";",REPT(" ",99)),1,99)))-1),Materiales!$A$2:$E$502,5,FALSE)*VALUE(MID(TRIM(MID(SUBSTITUTE($T96,";",REPT(" ",99)),1,99)),FIND(":",TRIM(MID(SUBSTITUTE($T96,";",REPT(" ",99)),1,99)))+1,99)),0) + IFERROR(VLOOKUP(LEFT(TRIM(MID(SUBSTITUTE($T96,";",REPT(" ",99)),100,99)),FIND(":",TRIM(MID(SUBSTITUTE($T96,";",REPT(" ",99)),100,99)))-1),Materiales!$A$2:$E$502,5,FALSE)*VALUE(MID(TRIM(MID(SUBSTITUTE($T96,";",REPT(" ",99)),100,99)),FIND(":",TRIM(MID(SUBSTITUTE($T96,";",REPT(" ",99)),100,99)))+1,99)),0) + IFERROR(VLOOKUP(LEFT(TRIM(MID(SUBSTITUTE($T96,";",REPT(" ",99)),199,99)),FIND(":",TRIM(MID(SUBSTITUTE($T96,";",REPT(" ",99)),199,99)))-1),Materiales!$A$2:$E$502,5,FALSE)*VALUE(MID(TRIM(MID(SUBSTITUTE($T96,";",REPT(" ",99)),199,99)),FIND(":",TRIM(MID(SUBSTITUTE($T96,";",REPT(" ",99)),199,99)))+1,99)),0) + IFERROR(VLOOKUP(LEFT(TRIM(MID(SUBSTITUTE($T96,";",REPT(" ",99)),298,99)),FIND(":",TRIM(MID(SUBSTITUTE($T96,";",REPT(" ",99)),298,99)))-1),Materiales!$A$2:$E$502,5,FALSE)*VALUE(MID(TRIM(MID(SUBSTITUTE($T96,";",REPT(" ",99)),298,99)),FIND(":",TRIM(MID(SUBSTITUTE($T96,";",REPT(" ",99)),298,99)))+1,99)),0) + IFERROR(VLOOKUP(LEFT(TRIM(MID(SUBSTITUTE($T96,";",REPT(" ",99)),397,99)),FIND(":",TRIM(MID(SUBSTITUTE($T96,";",REPT(" ",99)),397,99)))-1),Materiales!$A$2:$E$502,5,FALSE)*VALUE(MID(TRIM(MID(SUBSTITUTE($T96,";",REPT(" ",99)),397,99)),FIND(":",TRIM(MID(SUBSTITUTE($T96,";",REPT(" ",99)),397,99)))+1,99)),0) + IFERROR(VLOOKUP(LEFT(TRIM(MID(SUBSTITUTE($T96,";",REPT(" ",99)),496,99)),FIND(":",TRIM(MID(SUBSTITUTE($T96,";",REPT(" ",99)),496,99)))-1),Materiales!$A$2:$E$502,5,FALSE)*VALUE(MID(TRIM(MID(SUBSTITUTE($T96,";",REPT(" ",99)),496,99)),FIND(":",TRIM(MID(SUBSTITUTE($T96,";",REPT(" ",99)),496,99)))+1,99)),0) + IFERROR(VLOOKUP(LEFT(TRIM(MID(SUBSTITUTE($T96,";",REPT(" ",99)),595,99)),FIND(":",TRIM(MID(SUBSTITUTE($T96,";",REPT(" ",99)),595,99)))-1),Materiales!$A$2:$E$502,5,FALSE)*VALUE(MID(TRIM(MID(SUBSTITUTE($T96,";",REPT(" ",99)),595,99)),FIND(":",TRIM(MID(SUBSTITUTE($T96,";",REPT(" ",99)),595,99)))+1,99)),0) + IFERROR(VLOOKUP(LEFT(TRIM(MID(SUBSTITUTE($T96,";",REPT(" ",99)),694,99)),FIND(":",TRIM(MID(SUBSTITUTE($T96,";",REPT(" ",99)),694,99)))-1),Materiales!$A$2:$E$502,5,FALSE)*VALUE(MID(TRIM(MID(SUBSTITUTE($T96,";",REPT(" ",99)),694,99)),FIND(":",TRIM(MID(SUBSTITUTE($T96,";",REPT(" ",99)),694,99)))+1,99)),0) + IFERROR(VLOOKUP(LEFT(TRIM(MID(SUBSTITUTE($T96,";",REPT(" ",99)),793,99)),FIND(":",TRIM(MID(SUBSTITUTE($T96,";",REPT(" ",99)),793,99)))-1),Materiales!$A$2:$E$502,5,FALSE)*VALUE(MID(TRIM(MID(SUBSTITUTE($T96,";",REPT(" ",99)),793,99)),FIND(":",TRIM(MID(SUBSTITUTE($T96,";",REPT(" ",99)),793,99)))+1,99)),0) + IFERROR(VLOOKUP(LEFT(TRIM(MID(SUBSTITUTE($T96,";",REPT(" ",99)),892,99)),FIND(":",TRIM(MID(SUBSTITUTE($T96,";",REPT(" ",99)),892,99)))-1),Materiales!$A$2:$E$502,5,FALSE)*VALUE(MID(TRIM(MID(SUBSTITUTE($T96,";",REPT(" ",99)),892,99)),FIND(":",TRIM(MID(SUBSTITUTE($T96,";",REPT(" ",99)),892,99)))+1,99)),0)))</f>
        <v/>
      </c>
      <c r="V96" s="3"/>
      <c r="W96" s="5" t="str">
        <f t="array" ref="W96">IF($A96="","",IF($V96="",0,IFERROR(VLOOKUP(LEFT(TRIM(MID(SUBSTITUTE($V96,";",REPT(" ",99)),1,99)),FIND(":",TRIM(MID(SUBSTITUTE($V96,";",REPT(" ",99)),1,99)))-1),Materiales!$A$2:$E$502,5,FALSE)*VALUE(MID(TRIM(MID(SUBSTITUTE($V96,";",REPT(" ",99)),1,99)),FIND(":",TRIM(MID(SUBSTITUTE($V96,";",REPT(" ",99)),1,99)))+1,99)),0) + IFERROR(VLOOKUP(LEFT(TRIM(MID(SUBSTITUTE($V96,";",REPT(" ",99)),100,99)),FIND(":",TRIM(MID(SUBSTITUTE($V96,";",REPT(" ",99)),100,99)))-1),Materiales!$A$2:$E$502,5,FALSE)*VALUE(MID(TRIM(MID(SUBSTITUTE($V96,";",REPT(" ",99)),100,99)),FIND(":",TRIM(MID(SUBSTITUTE($V96,";",REPT(" ",99)),100,99)))+1,99)),0) + IFERROR(VLOOKUP(LEFT(TRIM(MID(SUBSTITUTE($V96,";",REPT(" ",99)),199,99)),FIND(":",TRIM(MID(SUBSTITUTE($V96,";",REPT(" ",99)),199,99)))-1),Materiales!$A$2:$E$502,5,FALSE)*VALUE(MID(TRIM(MID(SUBSTITUTE($V96,";",REPT(" ",99)),199,99)),FIND(":",TRIM(MID(SUBSTITUTE($V96,";",REPT(" ",99)),199,99)))+1,99)),0) + IFERROR(VLOOKUP(LEFT(TRIM(MID(SUBSTITUTE($V96,";",REPT(" ",99)),298,99)),FIND(":",TRIM(MID(SUBSTITUTE($V96,";",REPT(" ",99)),298,99)))-1),Materiales!$A$2:$E$502,5,FALSE)*VALUE(MID(TRIM(MID(SUBSTITUTE($V96,";",REPT(" ",99)),298,99)),FIND(":",TRIM(MID(SUBSTITUTE($V96,";",REPT(" ",99)),298,99)))+1,99)),0) + IFERROR(VLOOKUP(LEFT(TRIM(MID(SUBSTITUTE($V96,";",REPT(" ",99)),397,99)),FIND(":",TRIM(MID(SUBSTITUTE($V96,";",REPT(" ",99)),397,99)))-1),Materiales!$A$2:$E$502,5,FALSE)*VALUE(MID(TRIM(MID(SUBSTITUTE($V96,";",REPT(" ",99)),397,99)),FIND(":",TRIM(MID(SUBSTITUTE($V96,";",REPT(" ",99)),397,99)))+1,99)),0) + IFERROR(VLOOKUP(LEFT(TRIM(MID(SUBSTITUTE($V96,";",REPT(" ",99)),496,99)),FIND(":",TRIM(MID(SUBSTITUTE($V96,";",REPT(" ",99)),496,99)))-1),Materiales!$A$2:$E$502,5,FALSE)*VALUE(MID(TRIM(MID(SUBSTITUTE($V96,";",REPT(" ",99)),496,99)),FIND(":",TRIM(MID(SUBSTITUTE($V96,";",REPT(" ",99)),496,99)))+1,99)),0) + IFERROR(VLOOKUP(LEFT(TRIM(MID(SUBSTITUTE($V96,";",REPT(" ",99)),595,99)),FIND(":",TRIM(MID(SUBSTITUTE($V96,";",REPT(" ",99)),595,99)))-1),Materiales!$A$2:$E$502,5,FALSE)*VALUE(MID(TRIM(MID(SUBSTITUTE($V96,";",REPT(" ",99)),595,99)),FIND(":",TRIM(MID(SUBSTITUTE($V96,";",REPT(" ",99)),595,99)))+1,99)),0) + IFERROR(VLOOKUP(LEFT(TRIM(MID(SUBSTITUTE($V96,";",REPT(" ",99)),694,99)),FIND(":",TRIM(MID(SUBSTITUTE($V96,";",REPT(" ",99)),694,99)))-1),Materiales!$A$2:$E$502,5,FALSE)*VALUE(MID(TRIM(MID(SUBSTITUTE($V96,";",REPT(" ",99)),694,99)),FIND(":",TRIM(MID(SUBSTITUTE($V96,";",REPT(" ",99)),694,99)))+1,99)),0) + IFERROR(VLOOKUP(LEFT(TRIM(MID(SUBSTITUTE($V96,";",REPT(" ",99)),793,99)),FIND(":",TRIM(MID(SUBSTITUTE($V96,";",REPT(" ",99)),793,99)))-1),Materiales!$A$2:$E$502,5,FALSE)*VALUE(MID(TRIM(MID(SUBSTITUTE($V96,";",REPT(" ",99)),793,99)),FIND(":",TRIM(MID(SUBSTITUTE($V96,";",REPT(" ",99)),793,99)))+1,99)),0) + IFERROR(VLOOKUP(LEFT(TRIM(MID(SUBSTITUTE($V96,";",REPT(" ",99)),892,99)),FIND(":",TRIM(MID(SUBSTITUTE($V96,";",REPT(" ",99)),892,99)))-1),Materiales!$A$2:$E$502,5,FALSE)*VALUE(MID(TRIM(MID(SUBSTITUTE($V96,";",REPT(" ",99)),892,99)),FIND(":",TRIM(MID(SUBSTITUTE($V96,";",REPT(" ",99)),892,99)))+1,99)),0)))</f>
        <v/>
      </c>
      <c r="X96" s="39" t="str">
        <f t="shared" si="13"/>
        <v/>
      </c>
      <c r="Y96" s="64"/>
      <c r="Z96" s="41"/>
      <c r="AA96" s="65"/>
      <c r="AB96" s="14"/>
      <c r="AC96" s="66"/>
      <c r="AD96" s="65"/>
      <c r="AE96" s="44">
        <f t="shared" si="17"/>
        <v>0</v>
      </c>
      <c r="AF96" s="45" t="str">
        <f t="shared" si="18"/>
        <v>#DIV/0!</v>
      </c>
    </row>
    <row r="97" ht="15.75" customHeight="1">
      <c r="A97" s="3"/>
      <c r="B97" s="3"/>
      <c r="C97" s="38"/>
      <c r="D97" s="38"/>
      <c r="E97" s="38"/>
      <c r="F97" s="14"/>
      <c r="G97" s="5" t="str">
        <f t="array" ref="G97">IF($A97="","",IFERROR($F97*(N($C97)*XLOOKUP($B97,Ceras!$A$2:$A$500,Ceras!$G$2:$G$500,0)+IF($D97="",0,N($E97)*XLOOKUP($D97,Ceras!$A$2:$A$500,Ceras!$G$2:$G$500,0))),"Revisar cera"))</f>
        <v/>
      </c>
      <c r="H97" s="5"/>
      <c r="I97" s="3"/>
      <c r="J97" s="14"/>
      <c r="K97" s="5" t="str">
        <f t="array" ref="K97">IF($A97="","",IFERROR($J97*XLOOKUP($I97,Pabilos!$A$2:$A$500,Pabilos!$H$2:$H$500,0),"Revisar pabilo"))</f>
        <v/>
      </c>
      <c r="L97" s="3"/>
      <c r="M97" s="14"/>
      <c r="N97" s="5" t="str">
        <f t="array" ref="N97">IF($A97="","",IFERROR($M97*XLOOKUP($L97,Esencias!$A$2:$A$501,Esencias!$G$2:$G$501,0),"Revisar esencia"))</f>
        <v/>
      </c>
      <c r="O97" s="3"/>
      <c r="P97" s="14"/>
      <c r="Q97" s="5" t="str">
        <f t="array" ref="Q97">IF($A97="","",IFERROR(IF($P97="",1,$P97)*XLOOKUP($O97,Colores!$A$2:$A$500,Colores!$H$2:$H$500,0),"Revisar color"))</f>
        <v/>
      </c>
      <c r="R97" s="3"/>
      <c r="S97" s="5" t="str">
        <f t="array" ref="S97">IF($A97="","",IF($R97="",0,IFERROR(VLOOKUP(LEFT(TRIM(MID(SUBSTITUTE($R97,";",REPT(" ",99)),1,99)),FIND(":",TRIM(MID(SUBSTITUTE($R97,";",REPT(" ",99)),1,99)))-1),Materiales!$A$2:$E$502,5,FALSE)*VALUE(MID(TRIM(MID(SUBSTITUTE($R97,";",REPT(" ",99)),1,99)),FIND(":",TRIM(MID(SUBSTITUTE($R97,";",REPT(" ",99)),1,99)))+1,99)),0) + IFERROR(VLOOKUP(LEFT(TRIM(MID(SUBSTITUTE($R97,";",REPT(" ",99)),100,99)),FIND(":",TRIM(MID(SUBSTITUTE($R97,";",REPT(" ",99)),100,99)))-1),Materiales!$A$2:$E$502,5,FALSE)*VALUE(MID(TRIM(MID(SUBSTITUTE($R97,";",REPT(" ",99)),100,99)),FIND(":",TRIM(MID(SUBSTITUTE($R97,";",REPT(" ",99)),100,99)))+1,99)),0) + IFERROR(VLOOKUP(LEFT(TRIM(MID(SUBSTITUTE($R97,";",REPT(" ",99)),199,99)),FIND(":",TRIM(MID(SUBSTITUTE($R97,";",REPT(" ",99)),199,99)))-1),Materiales!$A$2:$E$502,5,FALSE)*VALUE(MID(TRIM(MID(SUBSTITUTE($R97,";",REPT(" ",99)),199,99)),FIND(":",TRIM(MID(SUBSTITUTE($R97,";",REPT(" ",99)),199,99)))+1,99)),0) + IFERROR(VLOOKUP(LEFT(TRIM(MID(SUBSTITUTE($R97,";",REPT(" ",99)),298,99)),FIND(":",TRIM(MID(SUBSTITUTE($R97,";",REPT(" ",99)),298,99)))-1),Materiales!$A$2:$E$502,5,FALSE)*VALUE(MID(TRIM(MID(SUBSTITUTE($R97,";",REPT(" ",99)),298,99)),FIND(":",TRIM(MID(SUBSTITUTE($R97,";",REPT(" ",99)),298,99)))+1,99)),0) + IFERROR(VLOOKUP(LEFT(TRIM(MID(SUBSTITUTE($R97,";",REPT(" ",99)),397,99)),FIND(":",TRIM(MID(SUBSTITUTE($R97,";",REPT(" ",99)),397,99)))-1),Materiales!$A$2:$E$502,5,FALSE)*VALUE(MID(TRIM(MID(SUBSTITUTE($R97,";",REPT(" ",99)),397,99)),FIND(":",TRIM(MID(SUBSTITUTE($R97,";",REPT(" ",99)),397,99)))+1,99)),0) + IFERROR(VLOOKUP(LEFT(TRIM(MID(SUBSTITUTE($R97,";",REPT(" ",99)),496,99)),FIND(":",TRIM(MID(SUBSTITUTE($R97,";",REPT(" ",99)),496,99)))-1),Materiales!$A$2:$E$502,5,FALSE)*VALUE(MID(TRIM(MID(SUBSTITUTE($R97,";",REPT(" ",99)),496,99)),FIND(":",TRIM(MID(SUBSTITUTE($R97,";",REPT(" ",99)),496,99)))+1,99)),0) + IFERROR(VLOOKUP(LEFT(TRIM(MID(SUBSTITUTE($R97,";",REPT(" ",99)),595,99)),FIND(":",TRIM(MID(SUBSTITUTE($R97,";",REPT(" ",99)),595,99)))-1),Materiales!$A$2:$E$502,5,FALSE)*VALUE(MID(TRIM(MID(SUBSTITUTE($R97,";",REPT(" ",99)),595,99)),FIND(":",TRIM(MID(SUBSTITUTE($R97,";",REPT(" ",99)),595,99)))+1,99)),0) + IFERROR(VLOOKUP(LEFT(TRIM(MID(SUBSTITUTE($R97,";",REPT(" ",99)),694,99)),FIND(":",TRIM(MID(SUBSTITUTE($R97,";",REPT(" ",99)),694,99)))-1),Materiales!$A$2:$E$502,5,FALSE)*VALUE(MID(TRIM(MID(SUBSTITUTE($R97,";",REPT(" ",99)),694,99)),FIND(":",TRIM(MID(SUBSTITUTE($R97,";",REPT(" ",99)),694,99)))+1,99)),0) + IFERROR(VLOOKUP(LEFT(TRIM(MID(SUBSTITUTE($R97,";",REPT(" ",99)),793,99)),FIND(":",TRIM(MID(SUBSTITUTE($R97,";",REPT(" ",99)),793,99)))-1),Materiales!$A$2:$E$502,5,FALSE)*VALUE(MID(TRIM(MID(SUBSTITUTE($R97,";",REPT(" ",99)),793,99)),FIND(":",TRIM(MID(SUBSTITUTE($R97,";",REPT(" ",99)),793,99)))+1,99)),0) + IFERROR(VLOOKUP(LEFT(TRIM(MID(SUBSTITUTE($R97,";",REPT(" ",99)),892,99)),FIND(":",TRIM(MID(SUBSTITUTE($R97,";",REPT(" ",99)),892,99)))-1),Materiales!$A$2:$E$502,5,FALSE)*VALUE(MID(TRIM(MID(SUBSTITUTE($R97,";",REPT(" ",99)),892,99)),FIND(":",TRIM(MID(SUBSTITUTE($R97,";",REPT(" ",99)),892,99)))+1,99)),0)))</f>
        <v/>
      </c>
      <c r="T97" s="3"/>
      <c r="U97" s="5" t="str">
        <f t="array" ref="U97">IF($A97="","",IF($T97="",0,IFERROR(VLOOKUP(LEFT(TRIM(MID(SUBSTITUTE($T97,";",REPT(" ",99)),1,99)),FIND(":",TRIM(MID(SUBSTITUTE($T97,";",REPT(" ",99)),1,99)))-1),Materiales!$A$2:$E$502,5,FALSE)*VALUE(MID(TRIM(MID(SUBSTITUTE($T97,";",REPT(" ",99)),1,99)),FIND(":",TRIM(MID(SUBSTITUTE($T97,";",REPT(" ",99)),1,99)))+1,99)),0) + IFERROR(VLOOKUP(LEFT(TRIM(MID(SUBSTITUTE($T97,";",REPT(" ",99)),100,99)),FIND(":",TRIM(MID(SUBSTITUTE($T97,";",REPT(" ",99)),100,99)))-1),Materiales!$A$2:$E$502,5,FALSE)*VALUE(MID(TRIM(MID(SUBSTITUTE($T97,";",REPT(" ",99)),100,99)),FIND(":",TRIM(MID(SUBSTITUTE($T97,";",REPT(" ",99)),100,99)))+1,99)),0) + IFERROR(VLOOKUP(LEFT(TRIM(MID(SUBSTITUTE($T97,";",REPT(" ",99)),199,99)),FIND(":",TRIM(MID(SUBSTITUTE($T97,";",REPT(" ",99)),199,99)))-1),Materiales!$A$2:$E$502,5,FALSE)*VALUE(MID(TRIM(MID(SUBSTITUTE($T97,";",REPT(" ",99)),199,99)),FIND(":",TRIM(MID(SUBSTITUTE($T97,";",REPT(" ",99)),199,99)))+1,99)),0) + IFERROR(VLOOKUP(LEFT(TRIM(MID(SUBSTITUTE($T97,";",REPT(" ",99)),298,99)),FIND(":",TRIM(MID(SUBSTITUTE($T97,";",REPT(" ",99)),298,99)))-1),Materiales!$A$2:$E$502,5,FALSE)*VALUE(MID(TRIM(MID(SUBSTITUTE($T97,";",REPT(" ",99)),298,99)),FIND(":",TRIM(MID(SUBSTITUTE($T97,";",REPT(" ",99)),298,99)))+1,99)),0) + IFERROR(VLOOKUP(LEFT(TRIM(MID(SUBSTITUTE($T97,";",REPT(" ",99)),397,99)),FIND(":",TRIM(MID(SUBSTITUTE($T97,";",REPT(" ",99)),397,99)))-1),Materiales!$A$2:$E$502,5,FALSE)*VALUE(MID(TRIM(MID(SUBSTITUTE($T97,";",REPT(" ",99)),397,99)),FIND(":",TRIM(MID(SUBSTITUTE($T97,";",REPT(" ",99)),397,99)))+1,99)),0) + IFERROR(VLOOKUP(LEFT(TRIM(MID(SUBSTITUTE($T97,";",REPT(" ",99)),496,99)),FIND(":",TRIM(MID(SUBSTITUTE($T97,";",REPT(" ",99)),496,99)))-1),Materiales!$A$2:$E$502,5,FALSE)*VALUE(MID(TRIM(MID(SUBSTITUTE($T97,";",REPT(" ",99)),496,99)),FIND(":",TRIM(MID(SUBSTITUTE($T97,";",REPT(" ",99)),496,99)))+1,99)),0) + IFERROR(VLOOKUP(LEFT(TRIM(MID(SUBSTITUTE($T97,";",REPT(" ",99)),595,99)),FIND(":",TRIM(MID(SUBSTITUTE($T97,";",REPT(" ",99)),595,99)))-1),Materiales!$A$2:$E$502,5,FALSE)*VALUE(MID(TRIM(MID(SUBSTITUTE($T97,";",REPT(" ",99)),595,99)),FIND(":",TRIM(MID(SUBSTITUTE($T97,";",REPT(" ",99)),595,99)))+1,99)),0) + IFERROR(VLOOKUP(LEFT(TRIM(MID(SUBSTITUTE($T97,";",REPT(" ",99)),694,99)),FIND(":",TRIM(MID(SUBSTITUTE($T97,";",REPT(" ",99)),694,99)))-1),Materiales!$A$2:$E$502,5,FALSE)*VALUE(MID(TRIM(MID(SUBSTITUTE($T97,";",REPT(" ",99)),694,99)),FIND(":",TRIM(MID(SUBSTITUTE($T97,";",REPT(" ",99)),694,99)))+1,99)),0) + IFERROR(VLOOKUP(LEFT(TRIM(MID(SUBSTITUTE($T97,";",REPT(" ",99)),793,99)),FIND(":",TRIM(MID(SUBSTITUTE($T97,";",REPT(" ",99)),793,99)))-1),Materiales!$A$2:$E$502,5,FALSE)*VALUE(MID(TRIM(MID(SUBSTITUTE($T97,";",REPT(" ",99)),793,99)),FIND(":",TRIM(MID(SUBSTITUTE($T97,";",REPT(" ",99)),793,99)))+1,99)),0) + IFERROR(VLOOKUP(LEFT(TRIM(MID(SUBSTITUTE($T97,";",REPT(" ",99)),892,99)),FIND(":",TRIM(MID(SUBSTITUTE($T97,";",REPT(" ",99)),892,99)))-1),Materiales!$A$2:$E$502,5,FALSE)*VALUE(MID(TRIM(MID(SUBSTITUTE($T97,";",REPT(" ",99)),892,99)),FIND(":",TRIM(MID(SUBSTITUTE($T97,";",REPT(" ",99)),892,99)))+1,99)),0)))</f>
        <v/>
      </c>
      <c r="V97" s="3"/>
      <c r="W97" s="5" t="str">
        <f t="array" ref="W97">IF($A97="","",IF($V97="",0,IFERROR(VLOOKUP(LEFT(TRIM(MID(SUBSTITUTE($V97,";",REPT(" ",99)),1,99)),FIND(":",TRIM(MID(SUBSTITUTE($V97,";",REPT(" ",99)),1,99)))-1),Materiales!$A$2:$E$502,5,FALSE)*VALUE(MID(TRIM(MID(SUBSTITUTE($V97,";",REPT(" ",99)),1,99)),FIND(":",TRIM(MID(SUBSTITUTE($V97,";",REPT(" ",99)),1,99)))+1,99)),0) + IFERROR(VLOOKUP(LEFT(TRIM(MID(SUBSTITUTE($V97,";",REPT(" ",99)),100,99)),FIND(":",TRIM(MID(SUBSTITUTE($V97,";",REPT(" ",99)),100,99)))-1),Materiales!$A$2:$E$502,5,FALSE)*VALUE(MID(TRIM(MID(SUBSTITUTE($V97,";",REPT(" ",99)),100,99)),FIND(":",TRIM(MID(SUBSTITUTE($V97,";",REPT(" ",99)),100,99)))+1,99)),0) + IFERROR(VLOOKUP(LEFT(TRIM(MID(SUBSTITUTE($V97,";",REPT(" ",99)),199,99)),FIND(":",TRIM(MID(SUBSTITUTE($V97,";",REPT(" ",99)),199,99)))-1),Materiales!$A$2:$E$502,5,FALSE)*VALUE(MID(TRIM(MID(SUBSTITUTE($V97,";",REPT(" ",99)),199,99)),FIND(":",TRIM(MID(SUBSTITUTE($V97,";",REPT(" ",99)),199,99)))+1,99)),0) + IFERROR(VLOOKUP(LEFT(TRIM(MID(SUBSTITUTE($V97,";",REPT(" ",99)),298,99)),FIND(":",TRIM(MID(SUBSTITUTE($V97,";",REPT(" ",99)),298,99)))-1),Materiales!$A$2:$E$502,5,FALSE)*VALUE(MID(TRIM(MID(SUBSTITUTE($V97,";",REPT(" ",99)),298,99)),FIND(":",TRIM(MID(SUBSTITUTE($V97,";",REPT(" ",99)),298,99)))+1,99)),0) + IFERROR(VLOOKUP(LEFT(TRIM(MID(SUBSTITUTE($V97,";",REPT(" ",99)),397,99)),FIND(":",TRIM(MID(SUBSTITUTE($V97,";",REPT(" ",99)),397,99)))-1),Materiales!$A$2:$E$502,5,FALSE)*VALUE(MID(TRIM(MID(SUBSTITUTE($V97,";",REPT(" ",99)),397,99)),FIND(":",TRIM(MID(SUBSTITUTE($V97,";",REPT(" ",99)),397,99)))+1,99)),0) + IFERROR(VLOOKUP(LEFT(TRIM(MID(SUBSTITUTE($V97,";",REPT(" ",99)),496,99)),FIND(":",TRIM(MID(SUBSTITUTE($V97,";",REPT(" ",99)),496,99)))-1),Materiales!$A$2:$E$502,5,FALSE)*VALUE(MID(TRIM(MID(SUBSTITUTE($V97,";",REPT(" ",99)),496,99)),FIND(":",TRIM(MID(SUBSTITUTE($V97,";",REPT(" ",99)),496,99)))+1,99)),0) + IFERROR(VLOOKUP(LEFT(TRIM(MID(SUBSTITUTE($V97,";",REPT(" ",99)),595,99)),FIND(":",TRIM(MID(SUBSTITUTE($V97,";",REPT(" ",99)),595,99)))-1),Materiales!$A$2:$E$502,5,FALSE)*VALUE(MID(TRIM(MID(SUBSTITUTE($V97,";",REPT(" ",99)),595,99)),FIND(":",TRIM(MID(SUBSTITUTE($V97,";",REPT(" ",99)),595,99)))+1,99)),0) + IFERROR(VLOOKUP(LEFT(TRIM(MID(SUBSTITUTE($V97,";",REPT(" ",99)),694,99)),FIND(":",TRIM(MID(SUBSTITUTE($V97,";",REPT(" ",99)),694,99)))-1),Materiales!$A$2:$E$502,5,FALSE)*VALUE(MID(TRIM(MID(SUBSTITUTE($V97,";",REPT(" ",99)),694,99)),FIND(":",TRIM(MID(SUBSTITUTE($V97,";",REPT(" ",99)),694,99)))+1,99)),0) + IFERROR(VLOOKUP(LEFT(TRIM(MID(SUBSTITUTE($V97,";",REPT(" ",99)),793,99)),FIND(":",TRIM(MID(SUBSTITUTE($V97,";",REPT(" ",99)),793,99)))-1),Materiales!$A$2:$E$502,5,FALSE)*VALUE(MID(TRIM(MID(SUBSTITUTE($V97,";",REPT(" ",99)),793,99)),FIND(":",TRIM(MID(SUBSTITUTE($V97,";",REPT(" ",99)),793,99)))+1,99)),0) + IFERROR(VLOOKUP(LEFT(TRIM(MID(SUBSTITUTE($V97,";",REPT(" ",99)),892,99)),FIND(":",TRIM(MID(SUBSTITUTE($V97,";",REPT(" ",99)),892,99)))-1),Materiales!$A$2:$E$502,5,FALSE)*VALUE(MID(TRIM(MID(SUBSTITUTE($V97,";",REPT(" ",99)),892,99)),FIND(":",TRIM(MID(SUBSTITUTE($V97,";",REPT(" ",99)),892,99)))+1,99)),0)))</f>
        <v/>
      </c>
      <c r="X97" s="39" t="str">
        <f t="shared" si="13"/>
        <v/>
      </c>
      <c r="Y97" s="64"/>
      <c r="Z97" s="41"/>
      <c r="AA97" s="65"/>
      <c r="AB97" s="14"/>
      <c r="AC97" s="66"/>
      <c r="AD97" s="65"/>
      <c r="AE97" s="44">
        <f t="shared" si="17"/>
        <v>0</v>
      </c>
      <c r="AF97" s="45" t="str">
        <f t="shared" si="18"/>
        <v>#DIV/0!</v>
      </c>
    </row>
    <row r="98" ht="15.75" customHeight="1">
      <c r="A98" s="3"/>
      <c r="B98" s="3"/>
      <c r="C98" s="38"/>
      <c r="D98" s="38"/>
      <c r="E98" s="38"/>
      <c r="F98" s="14"/>
      <c r="G98" s="5" t="str">
        <f t="array" ref="G98">IF($A98="","",IFERROR($F98*(N($C98)*XLOOKUP($B98,Ceras!$A$2:$A$500,Ceras!$G$2:$G$500,0)+IF($D98="",0,N($E98)*XLOOKUP($D98,Ceras!$A$2:$A$500,Ceras!$G$2:$G$500,0))),"Revisar cera"))</f>
        <v/>
      </c>
      <c r="H98" s="5"/>
      <c r="I98" s="3"/>
      <c r="J98" s="14"/>
      <c r="K98" s="5" t="str">
        <f t="array" ref="K98">IF($A98="","",IFERROR($J98*XLOOKUP($I98,Pabilos!$A$2:$A$500,Pabilos!$H$2:$H$500,0),"Revisar pabilo"))</f>
        <v/>
      </c>
      <c r="L98" s="3"/>
      <c r="M98" s="14"/>
      <c r="N98" s="5" t="str">
        <f t="array" ref="N98">IF($A98="","",IFERROR($M98*XLOOKUP($L98,Esencias!$A$2:$A$501,Esencias!$G$2:$G$501,0),"Revisar esencia"))</f>
        <v/>
      </c>
      <c r="O98" s="3"/>
      <c r="P98" s="14"/>
      <c r="Q98" s="5" t="str">
        <f t="array" ref="Q98">IF($A98="","",IFERROR(IF($P98="",1,$P98)*XLOOKUP($O98,Colores!$A$2:$A$500,Colores!$H$2:$H$500,0),"Revisar color"))</f>
        <v/>
      </c>
      <c r="R98" s="3"/>
      <c r="S98" s="5" t="str">
        <f t="array" ref="S98">IF($A98="","",IF($R98="",0,IFERROR(VLOOKUP(LEFT(TRIM(MID(SUBSTITUTE($R98,";",REPT(" ",99)),1,99)),FIND(":",TRIM(MID(SUBSTITUTE($R98,";",REPT(" ",99)),1,99)))-1),Materiales!$A$2:$E$502,5,FALSE)*VALUE(MID(TRIM(MID(SUBSTITUTE($R98,";",REPT(" ",99)),1,99)),FIND(":",TRIM(MID(SUBSTITUTE($R98,";",REPT(" ",99)),1,99)))+1,99)),0) + IFERROR(VLOOKUP(LEFT(TRIM(MID(SUBSTITUTE($R98,";",REPT(" ",99)),100,99)),FIND(":",TRIM(MID(SUBSTITUTE($R98,";",REPT(" ",99)),100,99)))-1),Materiales!$A$2:$E$502,5,FALSE)*VALUE(MID(TRIM(MID(SUBSTITUTE($R98,";",REPT(" ",99)),100,99)),FIND(":",TRIM(MID(SUBSTITUTE($R98,";",REPT(" ",99)),100,99)))+1,99)),0) + IFERROR(VLOOKUP(LEFT(TRIM(MID(SUBSTITUTE($R98,";",REPT(" ",99)),199,99)),FIND(":",TRIM(MID(SUBSTITUTE($R98,";",REPT(" ",99)),199,99)))-1),Materiales!$A$2:$E$502,5,FALSE)*VALUE(MID(TRIM(MID(SUBSTITUTE($R98,";",REPT(" ",99)),199,99)),FIND(":",TRIM(MID(SUBSTITUTE($R98,";",REPT(" ",99)),199,99)))+1,99)),0) + IFERROR(VLOOKUP(LEFT(TRIM(MID(SUBSTITUTE($R98,";",REPT(" ",99)),298,99)),FIND(":",TRIM(MID(SUBSTITUTE($R98,";",REPT(" ",99)),298,99)))-1),Materiales!$A$2:$E$502,5,FALSE)*VALUE(MID(TRIM(MID(SUBSTITUTE($R98,";",REPT(" ",99)),298,99)),FIND(":",TRIM(MID(SUBSTITUTE($R98,";",REPT(" ",99)),298,99)))+1,99)),0) + IFERROR(VLOOKUP(LEFT(TRIM(MID(SUBSTITUTE($R98,";",REPT(" ",99)),397,99)),FIND(":",TRIM(MID(SUBSTITUTE($R98,";",REPT(" ",99)),397,99)))-1),Materiales!$A$2:$E$502,5,FALSE)*VALUE(MID(TRIM(MID(SUBSTITUTE($R98,";",REPT(" ",99)),397,99)),FIND(":",TRIM(MID(SUBSTITUTE($R98,";",REPT(" ",99)),397,99)))+1,99)),0) + IFERROR(VLOOKUP(LEFT(TRIM(MID(SUBSTITUTE($R98,";",REPT(" ",99)),496,99)),FIND(":",TRIM(MID(SUBSTITUTE($R98,";",REPT(" ",99)),496,99)))-1),Materiales!$A$2:$E$502,5,FALSE)*VALUE(MID(TRIM(MID(SUBSTITUTE($R98,";",REPT(" ",99)),496,99)),FIND(":",TRIM(MID(SUBSTITUTE($R98,";",REPT(" ",99)),496,99)))+1,99)),0) + IFERROR(VLOOKUP(LEFT(TRIM(MID(SUBSTITUTE($R98,";",REPT(" ",99)),595,99)),FIND(":",TRIM(MID(SUBSTITUTE($R98,";",REPT(" ",99)),595,99)))-1),Materiales!$A$2:$E$502,5,FALSE)*VALUE(MID(TRIM(MID(SUBSTITUTE($R98,";",REPT(" ",99)),595,99)),FIND(":",TRIM(MID(SUBSTITUTE($R98,";",REPT(" ",99)),595,99)))+1,99)),0) + IFERROR(VLOOKUP(LEFT(TRIM(MID(SUBSTITUTE($R98,";",REPT(" ",99)),694,99)),FIND(":",TRIM(MID(SUBSTITUTE($R98,";",REPT(" ",99)),694,99)))-1),Materiales!$A$2:$E$502,5,FALSE)*VALUE(MID(TRIM(MID(SUBSTITUTE($R98,";",REPT(" ",99)),694,99)),FIND(":",TRIM(MID(SUBSTITUTE($R98,";",REPT(" ",99)),694,99)))+1,99)),0) + IFERROR(VLOOKUP(LEFT(TRIM(MID(SUBSTITUTE($R98,";",REPT(" ",99)),793,99)),FIND(":",TRIM(MID(SUBSTITUTE($R98,";",REPT(" ",99)),793,99)))-1),Materiales!$A$2:$E$502,5,FALSE)*VALUE(MID(TRIM(MID(SUBSTITUTE($R98,";",REPT(" ",99)),793,99)),FIND(":",TRIM(MID(SUBSTITUTE($R98,";",REPT(" ",99)),793,99)))+1,99)),0) + IFERROR(VLOOKUP(LEFT(TRIM(MID(SUBSTITUTE($R98,";",REPT(" ",99)),892,99)),FIND(":",TRIM(MID(SUBSTITUTE($R98,";",REPT(" ",99)),892,99)))-1),Materiales!$A$2:$E$502,5,FALSE)*VALUE(MID(TRIM(MID(SUBSTITUTE($R98,";",REPT(" ",99)),892,99)),FIND(":",TRIM(MID(SUBSTITUTE($R98,";",REPT(" ",99)),892,99)))+1,99)),0)))</f>
        <v/>
      </c>
      <c r="T98" s="3"/>
      <c r="U98" s="5" t="str">
        <f t="array" ref="U98">IF($A98="","",IF($T98="",0,IFERROR(VLOOKUP(LEFT(TRIM(MID(SUBSTITUTE($T98,";",REPT(" ",99)),1,99)),FIND(":",TRIM(MID(SUBSTITUTE($T98,";",REPT(" ",99)),1,99)))-1),Materiales!$A$2:$E$502,5,FALSE)*VALUE(MID(TRIM(MID(SUBSTITUTE($T98,";",REPT(" ",99)),1,99)),FIND(":",TRIM(MID(SUBSTITUTE($T98,";",REPT(" ",99)),1,99)))+1,99)),0) + IFERROR(VLOOKUP(LEFT(TRIM(MID(SUBSTITUTE($T98,";",REPT(" ",99)),100,99)),FIND(":",TRIM(MID(SUBSTITUTE($T98,";",REPT(" ",99)),100,99)))-1),Materiales!$A$2:$E$502,5,FALSE)*VALUE(MID(TRIM(MID(SUBSTITUTE($T98,";",REPT(" ",99)),100,99)),FIND(":",TRIM(MID(SUBSTITUTE($T98,";",REPT(" ",99)),100,99)))+1,99)),0) + IFERROR(VLOOKUP(LEFT(TRIM(MID(SUBSTITUTE($T98,";",REPT(" ",99)),199,99)),FIND(":",TRIM(MID(SUBSTITUTE($T98,";",REPT(" ",99)),199,99)))-1),Materiales!$A$2:$E$502,5,FALSE)*VALUE(MID(TRIM(MID(SUBSTITUTE($T98,";",REPT(" ",99)),199,99)),FIND(":",TRIM(MID(SUBSTITUTE($T98,";",REPT(" ",99)),199,99)))+1,99)),0) + IFERROR(VLOOKUP(LEFT(TRIM(MID(SUBSTITUTE($T98,";",REPT(" ",99)),298,99)),FIND(":",TRIM(MID(SUBSTITUTE($T98,";",REPT(" ",99)),298,99)))-1),Materiales!$A$2:$E$502,5,FALSE)*VALUE(MID(TRIM(MID(SUBSTITUTE($T98,";",REPT(" ",99)),298,99)),FIND(":",TRIM(MID(SUBSTITUTE($T98,";",REPT(" ",99)),298,99)))+1,99)),0) + IFERROR(VLOOKUP(LEFT(TRIM(MID(SUBSTITUTE($T98,";",REPT(" ",99)),397,99)),FIND(":",TRIM(MID(SUBSTITUTE($T98,";",REPT(" ",99)),397,99)))-1),Materiales!$A$2:$E$502,5,FALSE)*VALUE(MID(TRIM(MID(SUBSTITUTE($T98,";",REPT(" ",99)),397,99)),FIND(":",TRIM(MID(SUBSTITUTE($T98,";",REPT(" ",99)),397,99)))+1,99)),0) + IFERROR(VLOOKUP(LEFT(TRIM(MID(SUBSTITUTE($T98,";",REPT(" ",99)),496,99)),FIND(":",TRIM(MID(SUBSTITUTE($T98,";",REPT(" ",99)),496,99)))-1),Materiales!$A$2:$E$502,5,FALSE)*VALUE(MID(TRIM(MID(SUBSTITUTE($T98,";",REPT(" ",99)),496,99)),FIND(":",TRIM(MID(SUBSTITUTE($T98,";",REPT(" ",99)),496,99)))+1,99)),0) + IFERROR(VLOOKUP(LEFT(TRIM(MID(SUBSTITUTE($T98,";",REPT(" ",99)),595,99)),FIND(":",TRIM(MID(SUBSTITUTE($T98,";",REPT(" ",99)),595,99)))-1),Materiales!$A$2:$E$502,5,FALSE)*VALUE(MID(TRIM(MID(SUBSTITUTE($T98,";",REPT(" ",99)),595,99)),FIND(":",TRIM(MID(SUBSTITUTE($T98,";",REPT(" ",99)),595,99)))+1,99)),0) + IFERROR(VLOOKUP(LEFT(TRIM(MID(SUBSTITUTE($T98,";",REPT(" ",99)),694,99)),FIND(":",TRIM(MID(SUBSTITUTE($T98,";",REPT(" ",99)),694,99)))-1),Materiales!$A$2:$E$502,5,FALSE)*VALUE(MID(TRIM(MID(SUBSTITUTE($T98,";",REPT(" ",99)),694,99)),FIND(":",TRIM(MID(SUBSTITUTE($T98,";",REPT(" ",99)),694,99)))+1,99)),0) + IFERROR(VLOOKUP(LEFT(TRIM(MID(SUBSTITUTE($T98,";",REPT(" ",99)),793,99)),FIND(":",TRIM(MID(SUBSTITUTE($T98,";",REPT(" ",99)),793,99)))-1),Materiales!$A$2:$E$502,5,FALSE)*VALUE(MID(TRIM(MID(SUBSTITUTE($T98,";",REPT(" ",99)),793,99)),FIND(":",TRIM(MID(SUBSTITUTE($T98,";",REPT(" ",99)),793,99)))+1,99)),0) + IFERROR(VLOOKUP(LEFT(TRIM(MID(SUBSTITUTE($T98,";",REPT(" ",99)),892,99)),FIND(":",TRIM(MID(SUBSTITUTE($T98,";",REPT(" ",99)),892,99)))-1),Materiales!$A$2:$E$502,5,FALSE)*VALUE(MID(TRIM(MID(SUBSTITUTE($T98,";",REPT(" ",99)),892,99)),FIND(":",TRIM(MID(SUBSTITUTE($T98,";",REPT(" ",99)),892,99)))+1,99)),0)))</f>
        <v/>
      </c>
      <c r="V98" s="3"/>
      <c r="W98" s="5" t="str">
        <f t="array" ref="W98">IF($A98="","",IF($V98="",0,IFERROR(VLOOKUP(LEFT(TRIM(MID(SUBSTITUTE($V98,";",REPT(" ",99)),1,99)),FIND(":",TRIM(MID(SUBSTITUTE($V98,";",REPT(" ",99)),1,99)))-1),Materiales!$A$2:$E$502,5,FALSE)*VALUE(MID(TRIM(MID(SUBSTITUTE($V98,";",REPT(" ",99)),1,99)),FIND(":",TRIM(MID(SUBSTITUTE($V98,";",REPT(" ",99)),1,99)))+1,99)),0) + IFERROR(VLOOKUP(LEFT(TRIM(MID(SUBSTITUTE($V98,";",REPT(" ",99)),100,99)),FIND(":",TRIM(MID(SUBSTITUTE($V98,";",REPT(" ",99)),100,99)))-1),Materiales!$A$2:$E$502,5,FALSE)*VALUE(MID(TRIM(MID(SUBSTITUTE($V98,";",REPT(" ",99)),100,99)),FIND(":",TRIM(MID(SUBSTITUTE($V98,";",REPT(" ",99)),100,99)))+1,99)),0) + IFERROR(VLOOKUP(LEFT(TRIM(MID(SUBSTITUTE($V98,";",REPT(" ",99)),199,99)),FIND(":",TRIM(MID(SUBSTITUTE($V98,";",REPT(" ",99)),199,99)))-1),Materiales!$A$2:$E$502,5,FALSE)*VALUE(MID(TRIM(MID(SUBSTITUTE($V98,";",REPT(" ",99)),199,99)),FIND(":",TRIM(MID(SUBSTITUTE($V98,";",REPT(" ",99)),199,99)))+1,99)),0) + IFERROR(VLOOKUP(LEFT(TRIM(MID(SUBSTITUTE($V98,";",REPT(" ",99)),298,99)),FIND(":",TRIM(MID(SUBSTITUTE($V98,";",REPT(" ",99)),298,99)))-1),Materiales!$A$2:$E$502,5,FALSE)*VALUE(MID(TRIM(MID(SUBSTITUTE($V98,";",REPT(" ",99)),298,99)),FIND(":",TRIM(MID(SUBSTITUTE($V98,";",REPT(" ",99)),298,99)))+1,99)),0) + IFERROR(VLOOKUP(LEFT(TRIM(MID(SUBSTITUTE($V98,";",REPT(" ",99)),397,99)),FIND(":",TRIM(MID(SUBSTITUTE($V98,";",REPT(" ",99)),397,99)))-1),Materiales!$A$2:$E$502,5,FALSE)*VALUE(MID(TRIM(MID(SUBSTITUTE($V98,";",REPT(" ",99)),397,99)),FIND(":",TRIM(MID(SUBSTITUTE($V98,";",REPT(" ",99)),397,99)))+1,99)),0) + IFERROR(VLOOKUP(LEFT(TRIM(MID(SUBSTITUTE($V98,";",REPT(" ",99)),496,99)),FIND(":",TRIM(MID(SUBSTITUTE($V98,";",REPT(" ",99)),496,99)))-1),Materiales!$A$2:$E$502,5,FALSE)*VALUE(MID(TRIM(MID(SUBSTITUTE($V98,";",REPT(" ",99)),496,99)),FIND(":",TRIM(MID(SUBSTITUTE($V98,";",REPT(" ",99)),496,99)))+1,99)),0) + IFERROR(VLOOKUP(LEFT(TRIM(MID(SUBSTITUTE($V98,";",REPT(" ",99)),595,99)),FIND(":",TRIM(MID(SUBSTITUTE($V98,";",REPT(" ",99)),595,99)))-1),Materiales!$A$2:$E$502,5,FALSE)*VALUE(MID(TRIM(MID(SUBSTITUTE($V98,";",REPT(" ",99)),595,99)),FIND(":",TRIM(MID(SUBSTITUTE($V98,";",REPT(" ",99)),595,99)))+1,99)),0) + IFERROR(VLOOKUP(LEFT(TRIM(MID(SUBSTITUTE($V98,";",REPT(" ",99)),694,99)),FIND(":",TRIM(MID(SUBSTITUTE($V98,";",REPT(" ",99)),694,99)))-1),Materiales!$A$2:$E$502,5,FALSE)*VALUE(MID(TRIM(MID(SUBSTITUTE($V98,";",REPT(" ",99)),694,99)),FIND(":",TRIM(MID(SUBSTITUTE($V98,";",REPT(" ",99)),694,99)))+1,99)),0) + IFERROR(VLOOKUP(LEFT(TRIM(MID(SUBSTITUTE($V98,";",REPT(" ",99)),793,99)),FIND(":",TRIM(MID(SUBSTITUTE($V98,";",REPT(" ",99)),793,99)))-1),Materiales!$A$2:$E$502,5,FALSE)*VALUE(MID(TRIM(MID(SUBSTITUTE($V98,";",REPT(" ",99)),793,99)),FIND(":",TRIM(MID(SUBSTITUTE($V98,";",REPT(" ",99)),793,99)))+1,99)),0) + IFERROR(VLOOKUP(LEFT(TRIM(MID(SUBSTITUTE($V98,";",REPT(" ",99)),892,99)),FIND(":",TRIM(MID(SUBSTITUTE($V98,";",REPT(" ",99)),892,99)))-1),Materiales!$A$2:$E$502,5,FALSE)*VALUE(MID(TRIM(MID(SUBSTITUTE($V98,";",REPT(" ",99)),892,99)),FIND(":",TRIM(MID(SUBSTITUTE($V98,";",REPT(" ",99)),892,99)))+1,99)),0)))</f>
        <v/>
      </c>
      <c r="X98" s="39" t="str">
        <f t="shared" si="13"/>
        <v/>
      </c>
      <c r="Y98" s="64"/>
      <c r="Z98" s="41"/>
      <c r="AA98" s="65"/>
      <c r="AB98" s="14"/>
      <c r="AC98" s="66"/>
      <c r="AD98" s="65"/>
      <c r="AE98" s="44">
        <f t="shared" si="17"/>
        <v>0</v>
      </c>
      <c r="AF98" s="45" t="str">
        <f t="shared" si="18"/>
        <v>#DIV/0!</v>
      </c>
    </row>
    <row r="99" ht="15.75" customHeight="1">
      <c r="A99" s="3"/>
      <c r="B99" s="3"/>
      <c r="C99" s="38"/>
      <c r="D99" s="38"/>
      <c r="E99" s="38"/>
      <c r="F99" s="14"/>
      <c r="G99" s="5" t="str">
        <f t="array" ref="G99">IF($A99="","",IFERROR($F99*(N($C99)*XLOOKUP($B99,Ceras!$A$2:$A$500,Ceras!$G$2:$G$500,0)+IF($D99="",0,N($E99)*XLOOKUP($D99,Ceras!$A$2:$A$500,Ceras!$G$2:$G$500,0))),"Revisar cera"))</f>
        <v/>
      </c>
      <c r="H99" s="5"/>
      <c r="I99" s="3"/>
      <c r="J99" s="14"/>
      <c r="K99" s="5" t="str">
        <f t="array" ref="K99">IF($A99="","",IFERROR($J99*XLOOKUP($I99,Pabilos!$A$2:$A$500,Pabilos!$H$2:$H$500,0),"Revisar pabilo"))</f>
        <v/>
      </c>
      <c r="L99" s="3"/>
      <c r="M99" s="14"/>
      <c r="N99" s="5" t="str">
        <f t="array" ref="N99">IF($A99="","",IFERROR($M99*XLOOKUP($L99,Esencias!$A$2:$A$501,Esencias!$G$2:$G$501,0),"Revisar esencia"))</f>
        <v/>
      </c>
      <c r="O99" s="3"/>
      <c r="P99" s="14"/>
      <c r="Q99" s="5" t="str">
        <f t="array" ref="Q99">IF($A99="","",IFERROR(IF($P99="",1,$P99)*XLOOKUP($O99,Colores!$A$2:$A$500,Colores!$H$2:$H$500,0),"Revisar color"))</f>
        <v/>
      </c>
      <c r="R99" s="3"/>
      <c r="S99" s="5" t="str">
        <f t="array" ref="S99">IF($A99="","",IF($R99="",0,IFERROR(VLOOKUP(LEFT(TRIM(MID(SUBSTITUTE($R99,";",REPT(" ",99)),1,99)),FIND(":",TRIM(MID(SUBSTITUTE($R99,";",REPT(" ",99)),1,99)))-1),Materiales!$A$2:$E$502,5,FALSE)*VALUE(MID(TRIM(MID(SUBSTITUTE($R99,";",REPT(" ",99)),1,99)),FIND(":",TRIM(MID(SUBSTITUTE($R99,";",REPT(" ",99)),1,99)))+1,99)),0) + IFERROR(VLOOKUP(LEFT(TRIM(MID(SUBSTITUTE($R99,";",REPT(" ",99)),100,99)),FIND(":",TRIM(MID(SUBSTITUTE($R99,";",REPT(" ",99)),100,99)))-1),Materiales!$A$2:$E$502,5,FALSE)*VALUE(MID(TRIM(MID(SUBSTITUTE($R99,";",REPT(" ",99)),100,99)),FIND(":",TRIM(MID(SUBSTITUTE($R99,";",REPT(" ",99)),100,99)))+1,99)),0) + IFERROR(VLOOKUP(LEFT(TRIM(MID(SUBSTITUTE($R99,";",REPT(" ",99)),199,99)),FIND(":",TRIM(MID(SUBSTITUTE($R99,";",REPT(" ",99)),199,99)))-1),Materiales!$A$2:$E$502,5,FALSE)*VALUE(MID(TRIM(MID(SUBSTITUTE($R99,";",REPT(" ",99)),199,99)),FIND(":",TRIM(MID(SUBSTITUTE($R99,";",REPT(" ",99)),199,99)))+1,99)),0) + IFERROR(VLOOKUP(LEFT(TRIM(MID(SUBSTITUTE($R99,";",REPT(" ",99)),298,99)),FIND(":",TRIM(MID(SUBSTITUTE($R99,";",REPT(" ",99)),298,99)))-1),Materiales!$A$2:$E$502,5,FALSE)*VALUE(MID(TRIM(MID(SUBSTITUTE($R99,";",REPT(" ",99)),298,99)),FIND(":",TRIM(MID(SUBSTITUTE($R99,";",REPT(" ",99)),298,99)))+1,99)),0) + IFERROR(VLOOKUP(LEFT(TRIM(MID(SUBSTITUTE($R99,";",REPT(" ",99)),397,99)),FIND(":",TRIM(MID(SUBSTITUTE($R99,";",REPT(" ",99)),397,99)))-1),Materiales!$A$2:$E$502,5,FALSE)*VALUE(MID(TRIM(MID(SUBSTITUTE($R99,";",REPT(" ",99)),397,99)),FIND(":",TRIM(MID(SUBSTITUTE($R99,";",REPT(" ",99)),397,99)))+1,99)),0) + IFERROR(VLOOKUP(LEFT(TRIM(MID(SUBSTITUTE($R99,";",REPT(" ",99)),496,99)),FIND(":",TRIM(MID(SUBSTITUTE($R99,";",REPT(" ",99)),496,99)))-1),Materiales!$A$2:$E$502,5,FALSE)*VALUE(MID(TRIM(MID(SUBSTITUTE($R99,";",REPT(" ",99)),496,99)),FIND(":",TRIM(MID(SUBSTITUTE($R99,";",REPT(" ",99)),496,99)))+1,99)),0) + IFERROR(VLOOKUP(LEFT(TRIM(MID(SUBSTITUTE($R99,";",REPT(" ",99)),595,99)),FIND(":",TRIM(MID(SUBSTITUTE($R99,";",REPT(" ",99)),595,99)))-1),Materiales!$A$2:$E$502,5,FALSE)*VALUE(MID(TRIM(MID(SUBSTITUTE($R99,";",REPT(" ",99)),595,99)),FIND(":",TRIM(MID(SUBSTITUTE($R99,";",REPT(" ",99)),595,99)))+1,99)),0) + IFERROR(VLOOKUP(LEFT(TRIM(MID(SUBSTITUTE($R99,";",REPT(" ",99)),694,99)),FIND(":",TRIM(MID(SUBSTITUTE($R99,";",REPT(" ",99)),694,99)))-1),Materiales!$A$2:$E$502,5,FALSE)*VALUE(MID(TRIM(MID(SUBSTITUTE($R99,";",REPT(" ",99)),694,99)),FIND(":",TRIM(MID(SUBSTITUTE($R99,";",REPT(" ",99)),694,99)))+1,99)),0) + IFERROR(VLOOKUP(LEFT(TRIM(MID(SUBSTITUTE($R99,";",REPT(" ",99)),793,99)),FIND(":",TRIM(MID(SUBSTITUTE($R99,";",REPT(" ",99)),793,99)))-1),Materiales!$A$2:$E$502,5,FALSE)*VALUE(MID(TRIM(MID(SUBSTITUTE($R99,";",REPT(" ",99)),793,99)),FIND(":",TRIM(MID(SUBSTITUTE($R99,";",REPT(" ",99)),793,99)))+1,99)),0) + IFERROR(VLOOKUP(LEFT(TRIM(MID(SUBSTITUTE($R99,";",REPT(" ",99)),892,99)),FIND(":",TRIM(MID(SUBSTITUTE($R99,";",REPT(" ",99)),892,99)))-1),Materiales!$A$2:$E$502,5,FALSE)*VALUE(MID(TRIM(MID(SUBSTITUTE($R99,";",REPT(" ",99)),892,99)),FIND(":",TRIM(MID(SUBSTITUTE($R99,";",REPT(" ",99)),892,99)))+1,99)),0)))</f>
        <v/>
      </c>
      <c r="T99" s="3"/>
      <c r="U99" s="5" t="str">
        <f t="array" ref="U99">IF($A99="","",IF($T99="",0,IFERROR(VLOOKUP(LEFT(TRIM(MID(SUBSTITUTE($T99,";",REPT(" ",99)),1,99)),FIND(":",TRIM(MID(SUBSTITUTE($T99,";",REPT(" ",99)),1,99)))-1),Materiales!$A$2:$E$502,5,FALSE)*VALUE(MID(TRIM(MID(SUBSTITUTE($T99,";",REPT(" ",99)),1,99)),FIND(":",TRIM(MID(SUBSTITUTE($T99,";",REPT(" ",99)),1,99)))+1,99)),0) + IFERROR(VLOOKUP(LEFT(TRIM(MID(SUBSTITUTE($T99,";",REPT(" ",99)),100,99)),FIND(":",TRIM(MID(SUBSTITUTE($T99,";",REPT(" ",99)),100,99)))-1),Materiales!$A$2:$E$502,5,FALSE)*VALUE(MID(TRIM(MID(SUBSTITUTE($T99,";",REPT(" ",99)),100,99)),FIND(":",TRIM(MID(SUBSTITUTE($T99,";",REPT(" ",99)),100,99)))+1,99)),0) + IFERROR(VLOOKUP(LEFT(TRIM(MID(SUBSTITUTE($T99,";",REPT(" ",99)),199,99)),FIND(":",TRIM(MID(SUBSTITUTE($T99,";",REPT(" ",99)),199,99)))-1),Materiales!$A$2:$E$502,5,FALSE)*VALUE(MID(TRIM(MID(SUBSTITUTE($T99,";",REPT(" ",99)),199,99)),FIND(":",TRIM(MID(SUBSTITUTE($T99,";",REPT(" ",99)),199,99)))+1,99)),0) + IFERROR(VLOOKUP(LEFT(TRIM(MID(SUBSTITUTE($T99,";",REPT(" ",99)),298,99)),FIND(":",TRIM(MID(SUBSTITUTE($T99,";",REPT(" ",99)),298,99)))-1),Materiales!$A$2:$E$502,5,FALSE)*VALUE(MID(TRIM(MID(SUBSTITUTE($T99,";",REPT(" ",99)),298,99)),FIND(":",TRIM(MID(SUBSTITUTE($T99,";",REPT(" ",99)),298,99)))+1,99)),0) + IFERROR(VLOOKUP(LEFT(TRIM(MID(SUBSTITUTE($T99,";",REPT(" ",99)),397,99)),FIND(":",TRIM(MID(SUBSTITUTE($T99,";",REPT(" ",99)),397,99)))-1),Materiales!$A$2:$E$502,5,FALSE)*VALUE(MID(TRIM(MID(SUBSTITUTE($T99,";",REPT(" ",99)),397,99)),FIND(":",TRIM(MID(SUBSTITUTE($T99,";",REPT(" ",99)),397,99)))+1,99)),0) + IFERROR(VLOOKUP(LEFT(TRIM(MID(SUBSTITUTE($T99,";",REPT(" ",99)),496,99)),FIND(":",TRIM(MID(SUBSTITUTE($T99,";",REPT(" ",99)),496,99)))-1),Materiales!$A$2:$E$502,5,FALSE)*VALUE(MID(TRIM(MID(SUBSTITUTE($T99,";",REPT(" ",99)),496,99)),FIND(":",TRIM(MID(SUBSTITUTE($T99,";",REPT(" ",99)),496,99)))+1,99)),0) + IFERROR(VLOOKUP(LEFT(TRIM(MID(SUBSTITUTE($T99,";",REPT(" ",99)),595,99)),FIND(":",TRIM(MID(SUBSTITUTE($T99,";",REPT(" ",99)),595,99)))-1),Materiales!$A$2:$E$502,5,FALSE)*VALUE(MID(TRIM(MID(SUBSTITUTE($T99,";",REPT(" ",99)),595,99)),FIND(":",TRIM(MID(SUBSTITUTE($T99,";",REPT(" ",99)),595,99)))+1,99)),0) + IFERROR(VLOOKUP(LEFT(TRIM(MID(SUBSTITUTE($T99,";",REPT(" ",99)),694,99)),FIND(":",TRIM(MID(SUBSTITUTE($T99,";",REPT(" ",99)),694,99)))-1),Materiales!$A$2:$E$502,5,FALSE)*VALUE(MID(TRIM(MID(SUBSTITUTE($T99,";",REPT(" ",99)),694,99)),FIND(":",TRIM(MID(SUBSTITUTE($T99,";",REPT(" ",99)),694,99)))+1,99)),0) + IFERROR(VLOOKUP(LEFT(TRIM(MID(SUBSTITUTE($T99,";",REPT(" ",99)),793,99)),FIND(":",TRIM(MID(SUBSTITUTE($T99,";",REPT(" ",99)),793,99)))-1),Materiales!$A$2:$E$502,5,FALSE)*VALUE(MID(TRIM(MID(SUBSTITUTE($T99,";",REPT(" ",99)),793,99)),FIND(":",TRIM(MID(SUBSTITUTE($T99,";",REPT(" ",99)),793,99)))+1,99)),0) + IFERROR(VLOOKUP(LEFT(TRIM(MID(SUBSTITUTE($T99,";",REPT(" ",99)),892,99)),FIND(":",TRIM(MID(SUBSTITUTE($T99,";",REPT(" ",99)),892,99)))-1),Materiales!$A$2:$E$502,5,FALSE)*VALUE(MID(TRIM(MID(SUBSTITUTE($T99,";",REPT(" ",99)),892,99)),FIND(":",TRIM(MID(SUBSTITUTE($T99,";",REPT(" ",99)),892,99)))+1,99)),0)))</f>
        <v/>
      </c>
      <c r="V99" s="3"/>
      <c r="W99" s="5" t="str">
        <f t="array" ref="W99">IF($A99="","",IF($V99="",0,IFERROR(VLOOKUP(LEFT(TRIM(MID(SUBSTITUTE($V99,";",REPT(" ",99)),1,99)),FIND(":",TRIM(MID(SUBSTITUTE($V99,";",REPT(" ",99)),1,99)))-1),Materiales!$A$2:$E$502,5,FALSE)*VALUE(MID(TRIM(MID(SUBSTITUTE($V99,";",REPT(" ",99)),1,99)),FIND(":",TRIM(MID(SUBSTITUTE($V99,";",REPT(" ",99)),1,99)))+1,99)),0) + IFERROR(VLOOKUP(LEFT(TRIM(MID(SUBSTITUTE($V99,";",REPT(" ",99)),100,99)),FIND(":",TRIM(MID(SUBSTITUTE($V99,";",REPT(" ",99)),100,99)))-1),Materiales!$A$2:$E$502,5,FALSE)*VALUE(MID(TRIM(MID(SUBSTITUTE($V99,";",REPT(" ",99)),100,99)),FIND(":",TRIM(MID(SUBSTITUTE($V99,";",REPT(" ",99)),100,99)))+1,99)),0) + IFERROR(VLOOKUP(LEFT(TRIM(MID(SUBSTITUTE($V99,";",REPT(" ",99)),199,99)),FIND(":",TRIM(MID(SUBSTITUTE($V99,";",REPT(" ",99)),199,99)))-1),Materiales!$A$2:$E$502,5,FALSE)*VALUE(MID(TRIM(MID(SUBSTITUTE($V99,";",REPT(" ",99)),199,99)),FIND(":",TRIM(MID(SUBSTITUTE($V99,";",REPT(" ",99)),199,99)))+1,99)),0) + IFERROR(VLOOKUP(LEFT(TRIM(MID(SUBSTITUTE($V99,";",REPT(" ",99)),298,99)),FIND(":",TRIM(MID(SUBSTITUTE($V99,";",REPT(" ",99)),298,99)))-1),Materiales!$A$2:$E$502,5,FALSE)*VALUE(MID(TRIM(MID(SUBSTITUTE($V99,";",REPT(" ",99)),298,99)),FIND(":",TRIM(MID(SUBSTITUTE($V99,";",REPT(" ",99)),298,99)))+1,99)),0) + IFERROR(VLOOKUP(LEFT(TRIM(MID(SUBSTITUTE($V99,";",REPT(" ",99)),397,99)),FIND(":",TRIM(MID(SUBSTITUTE($V99,";",REPT(" ",99)),397,99)))-1),Materiales!$A$2:$E$502,5,FALSE)*VALUE(MID(TRIM(MID(SUBSTITUTE($V99,";",REPT(" ",99)),397,99)),FIND(":",TRIM(MID(SUBSTITUTE($V99,";",REPT(" ",99)),397,99)))+1,99)),0) + IFERROR(VLOOKUP(LEFT(TRIM(MID(SUBSTITUTE($V99,";",REPT(" ",99)),496,99)),FIND(":",TRIM(MID(SUBSTITUTE($V99,";",REPT(" ",99)),496,99)))-1),Materiales!$A$2:$E$502,5,FALSE)*VALUE(MID(TRIM(MID(SUBSTITUTE($V99,";",REPT(" ",99)),496,99)),FIND(":",TRIM(MID(SUBSTITUTE($V99,";",REPT(" ",99)),496,99)))+1,99)),0) + IFERROR(VLOOKUP(LEFT(TRIM(MID(SUBSTITUTE($V99,";",REPT(" ",99)),595,99)),FIND(":",TRIM(MID(SUBSTITUTE($V99,";",REPT(" ",99)),595,99)))-1),Materiales!$A$2:$E$502,5,FALSE)*VALUE(MID(TRIM(MID(SUBSTITUTE($V99,";",REPT(" ",99)),595,99)),FIND(":",TRIM(MID(SUBSTITUTE($V99,";",REPT(" ",99)),595,99)))+1,99)),0) + IFERROR(VLOOKUP(LEFT(TRIM(MID(SUBSTITUTE($V99,";",REPT(" ",99)),694,99)),FIND(":",TRIM(MID(SUBSTITUTE($V99,";",REPT(" ",99)),694,99)))-1),Materiales!$A$2:$E$502,5,FALSE)*VALUE(MID(TRIM(MID(SUBSTITUTE($V99,";",REPT(" ",99)),694,99)),FIND(":",TRIM(MID(SUBSTITUTE($V99,";",REPT(" ",99)),694,99)))+1,99)),0) + IFERROR(VLOOKUP(LEFT(TRIM(MID(SUBSTITUTE($V99,";",REPT(" ",99)),793,99)),FIND(":",TRIM(MID(SUBSTITUTE($V99,";",REPT(" ",99)),793,99)))-1),Materiales!$A$2:$E$502,5,FALSE)*VALUE(MID(TRIM(MID(SUBSTITUTE($V99,";",REPT(" ",99)),793,99)),FIND(":",TRIM(MID(SUBSTITUTE($V99,";",REPT(" ",99)),793,99)))+1,99)),0) + IFERROR(VLOOKUP(LEFT(TRIM(MID(SUBSTITUTE($V99,";",REPT(" ",99)),892,99)),FIND(":",TRIM(MID(SUBSTITUTE($V99,";",REPT(" ",99)),892,99)))-1),Materiales!$A$2:$E$502,5,FALSE)*VALUE(MID(TRIM(MID(SUBSTITUTE($V99,";",REPT(" ",99)),892,99)),FIND(":",TRIM(MID(SUBSTITUTE($V99,";",REPT(" ",99)),892,99)))+1,99)),0)))</f>
        <v/>
      </c>
      <c r="X99" s="39" t="str">
        <f t="shared" si="13"/>
        <v/>
      </c>
      <c r="Y99" s="64"/>
      <c r="Z99" s="41"/>
      <c r="AA99" s="65"/>
      <c r="AB99" s="14"/>
      <c r="AC99" s="66"/>
      <c r="AD99" s="65"/>
      <c r="AE99" s="44">
        <f t="shared" si="17"/>
        <v>0</v>
      </c>
      <c r="AF99" s="45" t="str">
        <f t="shared" si="18"/>
        <v>#DIV/0!</v>
      </c>
    </row>
    <row r="100" ht="15.75" customHeight="1">
      <c r="A100" s="3"/>
      <c r="B100" s="3"/>
      <c r="C100" s="38"/>
      <c r="D100" s="38"/>
      <c r="E100" s="38"/>
      <c r="F100" s="14"/>
      <c r="G100" s="5" t="str">
        <f t="array" ref="G100">IF($A100="","",IFERROR($F100*(N($C100)*XLOOKUP($B100,Ceras!$A$2:$A$500,Ceras!$G$2:$G$500,0)+IF($D100="",0,N($E100)*XLOOKUP($D100,Ceras!$A$2:$A$500,Ceras!$G$2:$G$500,0))),"Revisar cera"))</f>
        <v/>
      </c>
      <c r="H100" s="5"/>
      <c r="I100" s="3"/>
      <c r="J100" s="14"/>
      <c r="K100" s="5" t="str">
        <f t="array" ref="K100">IF($A100="","",IFERROR($J100*XLOOKUP($I100,Pabilos!$A$2:$A$500,Pabilos!$H$2:$H$500,0),"Revisar pabilo"))</f>
        <v/>
      </c>
      <c r="L100" s="3"/>
      <c r="M100" s="14"/>
      <c r="N100" s="5" t="str">
        <f t="array" ref="N100">IF($A100="","",IFERROR($M100*XLOOKUP($L100,Esencias!$A$2:$A$501,Esencias!$G$2:$G$501,0),"Revisar esencia"))</f>
        <v/>
      </c>
      <c r="O100" s="3"/>
      <c r="P100" s="14"/>
      <c r="Q100" s="5" t="str">
        <f t="array" ref="Q100">IF($A100="","",IFERROR(IF($P100="",1,$P100)*XLOOKUP($O100,Colores!$A$2:$A$500,Colores!$H$2:$H$500,0),"Revisar color"))</f>
        <v/>
      </c>
      <c r="R100" s="3"/>
      <c r="S100" s="5" t="str">
        <f t="array" ref="S100">IF($A100="","",IF($R100="",0,IFERROR(VLOOKUP(LEFT(TRIM(MID(SUBSTITUTE($R100,";",REPT(" ",99)),1,99)),FIND(":",TRIM(MID(SUBSTITUTE($R100,";",REPT(" ",99)),1,99)))-1),Materiales!$A$2:$E$502,5,FALSE)*VALUE(MID(TRIM(MID(SUBSTITUTE($R100,";",REPT(" ",99)),1,99)),FIND(":",TRIM(MID(SUBSTITUTE($R100,";",REPT(" ",99)),1,99)))+1,99)),0) + IFERROR(VLOOKUP(LEFT(TRIM(MID(SUBSTITUTE($R100,";",REPT(" ",99)),100,99)),FIND(":",TRIM(MID(SUBSTITUTE($R100,";",REPT(" ",99)),100,99)))-1),Materiales!$A$2:$E$502,5,FALSE)*VALUE(MID(TRIM(MID(SUBSTITUTE($R100,";",REPT(" ",99)),100,99)),FIND(":",TRIM(MID(SUBSTITUTE($R100,";",REPT(" ",99)),100,99)))+1,99)),0) + IFERROR(VLOOKUP(LEFT(TRIM(MID(SUBSTITUTE($R100,";",REPT(" ",99)),199,99)),FIND(":",TRIM(MID(SUBSTITUTE($R100,";",REPT(" ",99)),199,99)))-1),Materiales!$A$2:$E$502,5,FALSE)*VALUE(MID(TRIM(MID(SUBSTITUTE($R100,";",REPT(" ",99)),199,99)),FIND(":",TRIM(MID(SUBSTITUTE($R100,";",REPT(" ",99)),199,99)))+1,99)),0) + IFERROR(VLOOKUP(LEFT(TRIM(MID(SUBSTITUTE($R100,";",REPT(" ",99)),298,99)),FIND(":",TRIM(MID(SUBSTITUTE($R100,";",REPT(" ",99)),298,99)))-1),Materiales!$A$2:$E$502,5,FALSE)*VALUE(MID(TRIM(MID(SUBSTITUTE($R100,";",REPT(" ",99)),298,99)),FIND(":",TRIM(MID(SUBSTITUTE($R100,";",REPT(" ",99)),298,99)))+1,99)),0) + IFERROR(VLOOKUP(LEFT(TRIM(MID(SUBSTITUTE($R100,";",REPT(" ",99)),397,99)),FIND(":",TRIM(MID(SUBSTITUTE($R100,";",REPT(" ",99)),397,99)))-1),Materiales!$A$2:$E$502,5,FALSE)*VALUE(MID(TRIM(MID(SUBSTITUTE($R100,";",REPT(" ",99)),397,99)),FIND(":",TRIM(MID(SUBSTITUTE($R100,";",REPT(" ",99)),397,99)))+1,99)),0) + IFERROR(VLOOKUP(LEFT(TRIM(MID(SUBSTITUTE($R100,";",REPT(" ",99)),496,99)),FIND(":",TRIM(MID(SUBSTITUTE($R100,";",REPT(" ",99)),496,99)))-1),Materiales!$A$2:$E$502,5,FALSE)*VALUE(MID(TRIM(MID(SUBSTITUTE($R100,";",REPT(" ",99)),496,99)),FIND(":",TRIM(MID(SUBSTITUTE($R100,";",REPT(" ",99)),496,99)))+1,99)),0) + IFERROR(VLOOKUP(LEFT(TRIM(MID(SUBSTITUTE($R100,";",REPT(" ",99)),595,99)),FIND(":",TRIM(MID(SUBSTITUTE($R100,";",REPT(" ",99)),595,99)))-1),Materiales!$A$2:$E$502,5,FALSE)*VALUE(MID(TRIM(MID(SUBSTITUTE($R100,";",REPT(" ",99)),595,99)),FIND(":",TRIM(MID(SUBSTITUTE($R100,";",REPT(" ",99)),595,99)))+1,99)),0) + IFERROR(VLOOKUP(LEFT(TRIM(MID(SUBSTITUTE($R100,";",REPT(" ",99)),694,99)),FIND(":",TRIM(MID(SUBSTITUTE($R100,";",REPT(" ",99)),694,99)))-1),Materiales!$A$2:$E$502,5,FALSE)*VALUE(MID(TRIM(MID(SUBSTITUTE($R100,";",REPT(" ",99)),694,99)),FIND(":",TRIM(MID(SUBSTITUTE($R100,";",REPT(" ",99)),694,99)))+1,99)),0) + IFERROR(VLOOKUP(LEFT(TRIM(MID(SUBSTITUTE($R100,";",REPT(" ",99)),793,99)),FIND(":",TRIM(MID(SUBSTITUTE($R100,";",REPT(" ",99)),793,99)))-1),Materiales!$A$2:$E$502,5,FALSE)*VALUE(MID(TRIM(MID(SUBSTITUTE($R100,";",REPT(" ",99)),793,99)),FIND(":",TRIM(MID(SUBSTITUTE($R100,";",REPT(" ",99)),793,99)))+1,99)),0) + IFERROR(VLOOKUP(LEFT(TRIM(MID(SUBSTITUTE($R100,";",REPT(" ",99)),892,99)),FIND(":",TRIM(MID(SUBSTITUTE($R100,";",REPT(" ",99)),892,99)))-1),Materiales!$A$2:$E$502,5,FALSE)*VALUE(MID(TRIM(MID(SUBSTITUTE($R100,";",REPT(" ",99)),892,99)),FIND(":",TRIM(MID(SUBSTITUTE($R100,";",REPT(" ",99)),892,99)))+1,99)),0)))</f>
        <v/>
      </c>
      <c r="T100" s="3"/>
      <c r="U100" s="5" t="str">
        <f t="array" ref="U100">IF($A100="","",IF($T100="",0,IFERROR(VLOOKUP(LEFT(TRIM(MID(SUBSTITUTE($T100,";",REPT(" ",99)),1,99)),FIND(":",TRIM(MID(SUBSTITUTE($T100,";",REPT(" ",99)),1,99)))-1),Materiales!$A$2:$E$502,5,FALSE)*VALUE(MID(TRIM(MID(SUBSTITUTE($T100,";",REPT(" ",99)),1,99)),FIND(":",TRIM(MID(SUBSTITUTE($T100,";",REPT(" ",99)),1,99)))+1,99)),0) + IFERROR(VLOOKUP(LEFT(TRIM(MID(SUBSTITUTE($T100,";",REPT(" ",99)),100,99)),FIND(":",TRIM(MID(SUBSTITUTE($T100,";",REPT(" ",99)),100,99)))-1),Materiales!$A$2:$E$502,5,FALSE)*VALUE(MID(TRIM(MID(SUBSTITUTE($T100,";",REPT(" ",99)),100,99)),FIND(":",TRIM(MID(SUBSTITUTE($T100,";",REPT(" ",99)),100,99)))+1,99)),0) + IFERROR(VLOOKUP(LEFT(TRIM(MID(SUBSTITUTE($T100,";",REPT(" ",99)),199,99)),FIND(":",TRIM(MID(SUBSTITUTE($T100,";",REPT(" ",99)),199,99)))-1),Materiales!$A$2:$E$502,5,FALSE)*VALUE(MID(TRIM(MID(SUBSTITUTE($T100,";",REPT(" ",99)),199,99)),FIND(":",TRIM(MID(SUBSTITUTE($T100,";",REPT(" ",99)),199,99)))+1,99)),0) + IFERROR(VLOOKUP(LEFT(TRIM(MID(SUBSTITUTE($T100,";",REPT(" ",99)),298,99)),FIND(":",TRIM(MID(SUBSTITUTE($T100,";",REPT(" ",99)),298,99)))-1),Materiales!$A$2:$E$502,5,FALSE)*VALUE(MID(TRIM(MID(SUBSTITUTE($T100,";",REPT(" ",99)),298,99)),FIND(":",TRIM(MID(SUBSTITUTE($T100,";",REPT(" ",99)),298,99)))+1,99)),0) + IFERROR(VLOOKUP(LEFT(TRIM(MID(SUBSTITUTE($T100,";",REPT(" ",99)),397,99)),FIND(":",TRIM(MID(SUBSTITUTE($T100,";",REPT(" ",99)),397,99)))-1),Materiales!$A$2:$E$502,5,FALSE)*VALUE(MID(TRIM(MID(SUBSTITUTE($T100,";",REPT(" ",99)),397,99)),FIND(":",TRIM(MID(SUBSTITUTE($T100,";",REPT(" ",99)),397,99)))+1,99)),0) + IFERROR(VLOOKUP(LEFT(TRIM(MID(SUBSTITUTE($T100,";",REPT(" ",99)),496,99)),FIND(":",TRIM(MID(SUBSTITUTE($T100,";",REPT(" ",99)),496,99)))-1),Materiales!$A$2:$E$502,5,FALSE)*VALUE(MID(TRIM(MID(SUBSTITUTE($T100,";",REPT(" ",99)),496,99)),FIND(":",TRIM(MID(SUBSTITUTE($T100,";",REPT(" ",99)),496,99)))+1,99)),0) + IFERROR(VLOOKUP(LEFT(TRIM(MID(SUBSTITUTE($T100,";",REPT(" ",99)),595,99)),FIND(":",TRIM(MID(SUBSTITUTE($T100,";",REPT(" ",99)),595,99)))-1),Materiales!$A$2:$E$502,5,FALSE)*VALUE(MID(TRIM(MID(SUBSTITUTE($T100,";",REPT(" ",99)),595,99)),FIND(":",TRIM(MID(SUBSTITUTE($T100,";",REPT(" ",99)),595,99)))+1,99)),0) + IFERROR(VLOOKUP(LEFT(TRIM(MID(SUBSTITUTE($T100,";",REPT(" ",99)),694,99)),FIND(":",TRIM(MID(SUBSTITUTE($T100,";",REPT(" ",99)),694,99)))-1),Materiales!$A$2:$E$502,5,FALSE)*VALUE(MID(TRIM(MID(SUBSTITUTE($T100,";",REPT(" ",99)),694,99)),FIND(":",TRIM(MID(SUBSTITUTE($T100,";",REPT(" ",99)),694,99)))+1,99)),0) + IFERROR(VLOOKUP(LEFT(TRIM(MID(SUBSTITUTE($T100,";",REPT(" ",99)),793,99)),FIND(":",TRIM(MID(SUBSTITUTE($T100,";",REPT(" ",99)),793,99)))-1),Materiales!$A$2:$E$502,5,FALSE)*VALUE(MID(TRIM(MID(SUBSTITUTE($T100,";",REPT(" ",99)),793,99)),FIND(":",TRIM(MID(SUBSTITUTE($T100,";",REPT(" ",99)),793,99)))+1,99)),0) + IFERROR(VLOOKUP(LEFT(TRIM(MID(SUBSTITUTE($T100,";",REPT(" ",99)),892,99)),FIND(":",TRIM(MID(SUBSTITUTE($T100,";",REPT(" ",99)),892,99)))-1),Materiales!$A$2:$E$502,5,FALSE)*VALUE(MID(TRIM(MID(SUBSTITUTE($T100,";",REPT(" ",99)),892,99)),FIND(":",TRIM(MID(SUBSTITUTE($T100,";",REPT(" ",99)),892,99)))+1,99)),0)))</f>
        <v/>
      </c>
      <c r="V100" s="3"/>
      <c r="W100" s="5" t="str">
        <f t="array" ref="W100">IF($A100="","",IF($V100="",0,IFERROR(VLOOKUP(LEFT(TRIM(MID(SUBSTITUTE($V100,";",REPT(" ",99)),1,99)),FIND(":",TRIM(MID(SUBSTITUTE($V100,";",REPT(" ",99)),1,99)))-1),Materiales!$A$2:$E$502,5,FALSE)*VALUE(MID(TRIM(MID(SUBSTITUTE($V100,";",REPT(" ",99)),1,99)),FIND(":",TRIM(MID(SUBSTITUTE($V100,";",REPT(" ",99)),1,99)))+1,99)),0) + IFERROR(VLOOKUP(LEFT(TRIM(MID(SUBSTITUTE($V100,";",REPT(" ",99)),100,99)),FIND(":",TRIM(MID(SUBSTITUTE($V100,";",REPT(" ",99)),100,99)))-1),Materiales!$A$2:$E$502,5,FALSE)*VALUE(MID(TRIM(MID(SUBSTITUTE($V100,";",REPT(" ",99)),100,99)),FIND(":",TRIM(MID(SUBSTITUTE($V100,";",REPT(" ",99)),100,99)))+1,99)),0) + IFERROR(VLOOKUP(LEFT(TRIM(MID(SUBSTITUTE($V100,";",REPT(" ",99)),199,99)),FIND(":",TRIM(MID(SUBSTITUTE($V100,";",REPT(" ",99)),199,99)))-1),Materiales!$A$2:$E$502,5,FALSE)*VALUE(MID(TRIM(MID(SUBSTITUTE($V100,";",REPT(" ",99)),199,99)),FIND(":",TRIM(MID(SUBSTITUTE($V100,";",REPT(" ",99)),199,99)))+1,99)),0) + IFERROR(VLOOKUP(LEFT(TRIM(MID(SUBSTITUTE($V100,";",REPT(" ",99)),298,99)),FIND(":",TRIM(MID(SUBSTITUTE($V100,";",REPT(" ",99)),298,99)))-1),Materiales!$A$2:$E$502,5,FALSE)*VALUE(MID(TRIM(MID(SUBSTITUTE($V100,";",REPT(" ",99)),298,99)),FIND(":",TRIM(MID(SUBSTITUTE($V100,";",REPT(" ",99)),298,99)))+1,99)),0) + IFERROR(VLOOKUP(LEFT(TRIM(MID(SUBSTITUTE($V100,";",REPT(" ",99)),397,99)),FIND(":",TRIM(MID(SUBSTITUTE($V100,";",REPT(" ",99)),397,99)))-1),Materiales!$A$2:$E$502,5,FALSE)*VALUE(MID(TRIM(MID(SUBSTITUTE($V100,";",REPT(" ",99)),397,99)),FIND(":",TRIM(MID(SUBSTITUTE($V100,";",REPT(" ",99)),397,99)))+1,99)),0) + IFERROR(VLOOKUP(LEFT(TRIM(MID(SUBSTITUTE($V100,";",REPT(" ",99)),496,99)),FIND(":",TRIM(MID(SUBSTITUTE($V100,";",REPT(" ",99)),496,99)))-1),Materiales!$A$2:$E$502,5,FALSE)*VALUE(MID(TRIM(MID(SUBSTITUTE($V100,";",REPT(" ",99)),496,99)),FIND(":",TRIM(MID(SUBSTITUTE($V100,";",REPT(" ",99)),496,99)))+1,99)),0) + IFERROR(VLOOKUP(LEFT(TRIM(MID(SUBSTITUTE($V100,";",REPT(" ",99)),595,99)),FIND(":",TRIM(MID(SUBSTITUTE($V100,";",REPT(" ",99)),595,99)))-1),Materiales!$A$2:$E$502,5,FALSE)*VALUE(MID(TRIM(MID(SUBSTITUTE($V100,";",REPT(" ",99)),595,99)),FIND(":",TRIM(MID(SUBSTITUTE($V100,";",REPT(" ",99)),595,99)))+1,99)),0) + IFERROR(VLOOKUP(LEFT(TRIM(MID(SUBSTITUTE($V100,";",REPT(" ",99)),694,99)),FIND(":",TRIM(MID(SUBSTITUTE($V100,";",REPT(" ",99)),694,99)))-1),Materiales!$A$2:$E$502,5,FALSE)*VALUE(MID(TRIM(MID(SUBSTITUTE($V100,";",REPT(" ",99)),694,99)),FIND(":",TRIM(MID(SUBSTITUTE($V100,";",REPT(" ",99)),694,99)))+1,99)),0) + IFERROR(VLOOKUP(LEFT(TRIM(MID(SUBSTITUTE($V100,";",REPT(" ",99)),793,99)),FIND(":",TRIM(MID(SUBSTITUTE($V100,";",REPT(" ",99)),793,99)))-1),Materiales!$A$2:$E$502,5,FALSE)*VALUE(MID(TRIM(MID(SUBSTITUTE($V100,";",REPT(" ",99)),793,99)),FIND(":",TRIM(MID(SUBSTITUTE($V100,";",REPT(" ",99)),793,99)))+1,99)),0) + IFERROR(VLOOKUP(LEFT(TRIM(MID(SUBSTITUTE($V100,";",REPT(" ",99)),892,99)),FIND(":",TRIM(MID(SUBSTITUTE($V100,";",REPT(" ",99)),892,99)))-1),Materiales!$A$2:$E$502,5,FALSE)*VALUE(MID(TRIM(MID(SUBSTITUTE($V100,";",REPT(" ",99)),892,99)),FIND(":",TRIM(MID(SUBSTITUTE($V100,";",REPT(" ",99)),892,99)))+1,99)),0)))</f>
        <v/>
      </c>
      <c r="X100" s="39" t="str">
        <f t="shared" si="13"/>
        <v/>
      </c>
      <c r="Y100" s="64"/>
      <c r="Z100" s="41"/>
      <c r="AA100" s="65"/>
      <c r="AB100" s="14"/>
      <c r="AC100" s="66"/>
      <c r="AD100" s="65"/>
      <c r="AE100" s="44">
        <f t="shared" si="17"/>
        <v>0</v>
      </c>
      <c r="AF100" s="45" t="str">
        <f t="shared" si="18"/>
        <v>#DIV/0!</v>
      </c>
    </row>
    <row r="101" ht="15.75" customHeight="1">
      <c r="A101" s="3"/>
      <c r="B101" s="3"/>
      <c r="C101" s="38"/>
      <c r="D101" s="38"/>
      <c r="E101" s="38"/>
      <c r="F101" s="14"/>
      <c r="G101" s="5" t="str">
        <f t="array" ref="G101">IF($A101="","",IFERROR($F101*(N($C101)*XLOOKUP($B101,Ceras!$A$2:$A$500,Ceras!$G$2:$G$500,0)+IF($D101="",0,N($E101)*XLOOKUP($D101,Ceras!$A$2:$A$500,Ceras!$G$2:$G$500,0))),"Revisar cera"))</f>
        <v/>
      </c>
      <c r="H101" s="5"/>
      <c r="I101" s="3"/>
      <c r="J101" s="14"/>
      <c r="K101" s="5" t="str">
        <f t="array" ref="K101">IF($A101="","",IFERROR($J101*XLOOKUP($I101,Pabilos!$A$2:$A$500,Pabilos!$H$2:$H$500,0),"Revisar pabilo"))</f>
        <v/>
      </c>
      <c r="L101" s="3"/>
      <c r="M101" s="14"/>
      <c r="N101" s="5" t="str">
        <f t="array" ref="N101">IF($A101="","",IFERROR($M101*XLOOKUP($L101,Esencias!$A$2:$A$501,Esencias!$G$2:$G$501,0),"Revisar esencia"))</f>
        <v/>
      </c>
      <c r="O101" s="3"/>
      <c r="P101" s="14"/>
      <c r="Q101" s="5" t="str">
        <f t="array" ref="Q101">IF($A101="","",IFERROR(IF($P101="",1,$P101)*XLOOKUP($O101,Colores!$A$2:$A$500,Colores!$H$2:$H$500,0),"Revisar color"))</f>
        <v/>
      </c>
      <c r="R101" s="3"/>
      <c r="S101" s="5" t="str">
        <f t="array" ref="S101">IF($A101="","",IF($R101="",0,IFERROR(VLOOKUP(LEFT(TRIM(MID(SUBSTITUTE($R101,";",REPT(" ",99)),1,99)),FIND(":",TRIM(MID(SUBSTITUTE($R101,";",REPT(" ",99)),1,99)))-1),Materiales!$A$2:$E$502,5,FALSE)*VALUE(MID(TRIM(MID(SUBSTITUTE($R101,";",REPT(" ",99)),1,99)),FIND(":",TRIM(MID(SUBSTITUTE($R101,";",REPT(" ",99)),1,99)))+1,99)),0) + IFERROR(VLOOKUP(LEFT(TRIM(MID(SUBSTITUTE($R101,";",REPT(" ",99)),100,99)),FIND(":",TRIM(MID(SUBSTITUTE($R101,";",REPT(" ",99)),100,99)))-1),Materiales!$A$2:$E$502,5,FALSE)*VALUE(MID(TRIM(MID(SUBSTITUTE($R101,";",REPT(" ",99)),100,99)),FIND(":",TRIM(MID(SUBSTITUTE($R101,";",REPT(" ",99)),100,99)))+1,99)),0) + IFERROR(VLOOKUP(LEFT(TRIM(MID(SUBSTITUTE($R101,";",REPT(" ",99)),199,99)),FIND(":",TRIM(MID(SUBSTITUTE($R101,";",REPT(" ",99)),199,99)))-1),Materiales!$A$2:$E$502,5,FALSE)*VALUE(MID(TRIM(MID(SUBSTITUTE($R101,";",REPT(" ",99)),199,99)),FIND(":",TRIM(MID(SUBSTITUTE($R101,";",REPT(" ",99)),199,99)))+1,99)),0) + IFERROR(VLOOKUP(LEFT(TRIM(MID(SUBSTITUTE($R101,";",REPT(" ",99)),298,99)),FIND(":",TRIM(MID(SUBSTITUTE($R101,";",REPT(" ",99)),298,99)))-1),Materiales!$A$2:$E$502,5,FALSE)*VALUE(MID(TRIM(MID(SUBSTITUTE($R101,";",REPT(" ",99)),298,99)),FIND(":",TRIM(MID(SUBSTITUTE($R101,";",REPT(" ",99)),298,99)))+1,99)),0) + IFERROR(VLOOKUP(LEFT(TRIM(MID(SUBSTITUTE($R101,";",REPT(" ",99)),397,99)),FIND(":",TRIM(MID(SUBSTITUTE($R101,";",REPT(" ",99)),397,99)))-1),Materiales!$A$2:$E$502,5,FALSE)*VALUE(MID(TRIM(MID(SUBSTITUTE($R101,";",REPT(" ",99)),397,99)),FIND(":",TRIM(MID(SUBSTITUTE($R101,";",REPT(" ",99)),397,99)))+1,99)),0) + IFERROR(VLOOKUP(LEFT(TRIM(MID(SUBSTITUTE($R101,";",REPT(" ",99)),496,99)),FIND(":",TRIM(MID(SUBSTITUTE($R101,";",REPT(" ",99)),496,99)))-1),Materiales!$A$2:$E$502,5,FALSE)*VALUE(MID(TRIM(MID(SUBSTITUTE($R101,";",REPT(" ",99)),496,99)),FIND(":",TRIM(MID(SUBSTITUTE($R101,";",REPT(" ",99)),496,99)))+1,99)),0) + IFERROR(VLOOKUP(LEFT(TRIM(MID(SUBSTITUTE($R101,";",REPT(" ",99)),595,99)),FIND(":",TRIM(MID(SUBSTITUTE($R101,";",REPT(" ",99)),595,99)))-1),Materiales!$A$2:$E$502,5,FALSE)*VALUE(MID(TRIM(MID(SUBSTITUTE($R101,";",REPT(" ",99)),595,99)),FIND(":",TRIM(MID(SUBSTITUTE($R101,";",REPT(" ",99)),595,99)))+1,99)),0) + IFERROR(VLOOKUP(LEFT(TRIM(MID(SUBSTITUTE($R101,";",REPT(" ",99)),694,99)),FIND(":",TRIM(MID(SUBSTITUTE($R101,";",REPT(" ",99)),694,99)))-1),Materiales!$A$2:$E$502,5,FALSE)*VALUE(MID(TRIM(MID(SUBSTITUTE($R101,";",REPT(" ",99)),694,99)),FIND(":",TRIM(MID(SUBSTITUTE($R101,";",REPT(" ",99)),694,99)))+1,99)),0) + IFERROR(VLOOKUP(LEFT(TRIM(MID(SUBSTITUTE($R101,";",REPT(" ",99)),793,99)),FIND(":",TRIM(MID(SUBSTITUTE($R101,";",REPT(" ",99)),793,99)))-1),Materiales!$A$2:$E$502,5,FALSE)*VALUE(MID(TRIM(MID(SUBSTITUTE($R101,";",REPT(" ",99)),793,99)),FIND(":",TRIM(MID(SUBSTITUTE($R101,";",REPT(" ",99)),793,99)))+1,99)),0) + IFERROR(VLOOKUP(LEFT(TRIM(MID(SUBSTITUTE($R101,";",REPT(" ",99)),892,99)),FIND(":",TRIM(MID(SUBSTITUTE($R101,";",REPT(" ",99)),892,99)))-1),Materiales!$A$2:$E$502,5,FALSE)*VALUE(MID(TRIM(MID(SUBSTITUTE($R101,";",REPT(" ",99)),892,99)),FIND(":",TRIM(MID(SUBSTITUTE($R101,";",REPT(" ",99)),892,99)))+1,99)),0)))</f>
        <v/>
      </c>
      <c r="T101" s="3"/>
      <c r="U101" s="5" t="str">
        <f t="array" ref="U101">IF($A101="","",IF($T101="",0,IFERROR(VLOOKUP(LEFT(TRIM(MID(SUBSTITUTE($T101,";",REPT(" ",99)),1,99)),FIND(":",TRIM(MID(SUBSTITUTE($T101,";",REPT(" ",99)),1,99)))-1),Materiales!$A$2:$E$502,5,FALSE)*VALUE(MID(TRIM(MID(SUBSTITUTE($T101,";",REPT(" ",99)),1,99)),FIND(":",TRIM(MID(SUBSTITUTE($T101,";",REPT(" ",99)),1,99)))+1,99)),0) + IFERROR(VLOOKUP(LEFT(TRIM(MID(SUBSTITUTE($T101,";",REPT(" ",99)),100,99)),FIND(":",TRIM(MID(SUBSTITUTE($T101,";",REPT(" ",99)),100,99)))-1),Materiales!$A$2:$E$502,5,FALSE)*VALUE(MID(TRIM(MID(SUBSTITUTE($T101,";",REPT(" ",99)),100,99)),FIND(":",TRIM(MID(SUBSTITUTE($T101,";",REPT(" ",99)),100,99)))+1,99)),0) + IFERROR(VLOOKUP(LEFT(TRIM(MID(SUBSTITUTE($T101,";",REPT(" ",99)),199,99)),FIND(":",TRIM(MID(SUBSTITUTE($T101,";",REPT(" ",99)),199,99)))-1),Materiales!$A$2:$E$502,5,FALSE)*VALUE(MID(TRIM(MID(SUBSTITUTE($T101,";",REPT(" ",99)),199,99)),FIND(":",TRIM(MID(SUBSTITUTE($T101,";",REPT(" ",99)),199,99)))+1,99)),0) + IFERROR(VLOOKUP(LEFT(TRIM(MID(SUBSTITUTE($T101,";",REPT(" ",99)),298,99)),FIND(":",TRIM(MID(SUBSTITUTE($T101,";",REPT(" ",99)),298,99)))-1),Materiales!$A$2:$E$502,5,FALSE)*VALUE(MID(TRIM(MID(SUBSTITUTE($T101,";",REPT(" ",99)),298,99)),FIND(":",TRIM(MID(SUBSTITUTE($T101,";",REPT(" ",99)),298,99)))+1,99)),0) + IFERROR(VLOOKUP(LEFT(TRIM(MID(SUBSTITUTE($T101,";",REPT(" ",99)),397,99)),FIND(":",TRIM(MID(SUBSTITUTE($T101,";",REPT(" ",99)),397,99)))-1),Materiales!$A$2:$E$502,5,FALSE)*VALUE(MID(TRIM(MID(SUBSTITUTE($T101,";",REPT(" ",99)),397,99)),FIND(":",TRIM(MID(SUBSTITUTE($T101,";",REPT(" ",99)),397,99)))+1,99)),0) + IFERROR(VLOOKUP(LEFT(TRIM(MID(SUBSTITUTE($T101,";",REPT(" ",99)),496,99)),FIND(":",TRIM(MID(SUBSTITUTE($T101,";",REPT(" ",99)),496,99)))-1),Materiales!$A$2:$E$502,5,FALSE)*VALUE(MID(TRIM(MID(SUBSTITUTE($T101,";",REPT(" ",99)),496,99)),FIND(":",TRIM(MID(SUBSTITUTE($T101,";",REPT(" ",99)),496,99)))+1,99)),0) + IFERROR(VLOOKUP(LEFT(TRIM(MID(SUBSTITUTE($T101,";",REPT(" ",99)),595,99)),FIND(":",TRIM(MID(SUBSTITUTE($T101,";",REPT(" ",99)),595,99)))-1),Materiales!$A$2:$E$502,5,FALSE)*VALUE(MID(TRIM(MID(SUBSTITUTE($T101,";",REPT(" ",99)),595,99)),FIND(":",TRIM(MID(SUBSTITUTE($T101,";",REPT(" ",99)),595,99)))+1,99)),0) + IFERROR(VLOOKUP(LEFT(TRIM(MID(SUBSTITUTE($T101,";",REPT(" ",99)),694,99)),FIND(":",TRIM(MID(SUBSTITUTE($T101,";",REPT(" ",99)),694,99)))-1),Materiales!$A$2:$E$502,5,FALSE)*VALUE(MID(TRIM(MID(SUBSTITUTE($T101,";",REPT(" ",99)),694,99)),FIND(":",TRIM(MID(SUBSTITUTE($T101,";",REPT(" ",99)),694,99)))+1,99)),0) + IFERROR(VLOOKUP(LEFT(TRIM(MID(SUBSTITUTE($T101,";",REPT(" ",99)),793,99)),FIND(":",TRIM(MID(SUBSTITUTE($T101,";",REPT(" ",99)),793,99)))-1),Materiales!$A$2:$E$502,5,FALSE)*VALUE(MID(TRIM(MID(SUBSTITUTE($T101,";",REPT(" ",99)),793,99)),FIND(":",TRIM(MID(SUBSTITUTE($T101,";",REPT(" ",99)),793,99)))+1,99)),0) + IFERROR(VLOOKUP(LEFT(TRIM(MID(SUBSTITUTE($T101,";",REPT(" ",99)),892,99)),FIND(":",TRIM(MID(SUBSTITUTE($T101,";",REPT(" ",99)),892,99)))-1),Materiales!$A$2:$E$502,5,FALSE)*VALUE(MID(TRIM(MID(SUBSTITUTE($T101,";",REPT(" ",99)),892,99)),FIND(":",TRIM(MID(SUBSTITUTE($T101,";",REPT(" ",99)),892,99)))+1,99)),0)))</f>
        <v/>
      </c>
      <c r="V101" s="3"/>
      <c r="W101" s="5" t="str">
        <f t="array" ref="W101">IF($A101="","",IF($V101="",0,IFERROR(VLOOKUP(LEFT(TRIM(MID(SUBSTITUTE($V101,";",REPT(" ",99)),1,99)),FIND(":",TRIM(MID(SUBSTITUTE($V101,";",REPT(" ",99)),1,99)))-1),Materiales!$A$2:$E$502,5,FALSE)*VALUE(MID(TRIM(MID(SUBSTITUTE($V101,";",REPT(" ",99)),1,99)),FIND(":",TRIM(MID(SUBSTITUTE($V101,";",REPT(" ",99)),1,99)))+1,99)),0) + IFERROR(VLOOKUP(LEFT(TRIM(MID(SUBSTITUTE($V101,";",REPT(" ",99)),100,99)),FIND(":",TRIM(MID(SUBSTITUTE($V101,";",REPT(" ",99)),100,99)))-1),Materiales!$A$2:$E$502,5,FALSE)*VALUE(MID(TRIM(MID(SUBSTITUTE($V101,";",REPT(" ",99)),100,99)),FIND(":",TRIM(MID(SUBSTITUTE($V101,";",REPT(" ",99)),100,99)))+1,99)),0) + IFERROR(VLOOKUP(LEFT(TRIM(MID(SUBSTITUTE($V101,";",REPT(" ",99)),199,99)),FIND(":",TRIM(MID(SUBSTITUTE($V101,";",REPT(" ",99)),199,99)))-1),Materiales!$A$2:$E$502,5,FALSE)*VALUE(MID(TRIM(MID(SUBSTITUTE($V101,";",REPT(" ",99)),199,99)),FIND(":",TRIM(MID(SUBSTITUTE($V101,";",REPT(" ",99)),199,99)))+1,99)),0) + IFERROR(VLOOKUP(LEFT(TRIM(MID(SUBSTITUTE($V101,";",REPT(" ",99)),298,99)),FIND(":",TRIM(MID(SUBSTITUTE($V101,";",REPT(" ",99)),298,99)))-1),Materiales!$A$2:$E$502,5,FALSE)*VALUE(MID(TRIM(MID(SUBSTITUTE($V101,";",REPT(" ",99)),298,99)),FIND(":",TRIM(MID(SUBSTITUTE($V101,";",REPT(" ",99)),298,99)))+1,99)),0) + IFERROR(VLOOKUP(LEFT(TRIM(MID(SUBSTITUTE($V101,";",REPT(" ",99)),397,99)),FIND(":",TRIM(MID(SUBSTITUTE($V101,";",REPT(" ",99)),397,99)))-1),Materiales!$A$2:$E$502,5,FALSE)*VALUE(MID(TRIM(MID(SUBSTITUTE($V101,";",REPT(" ",99)),397,99)),FIND(":",TRIM(MID(SUBSTITUTE($V101,";",REPT(" ",99)),397,99)))+1,99)),0) + IFERROR(VLOOKUP(LEFT(TRIM(MID(SUBSTITUTE($V101,";",REPT(" ",99)),496,99)),FIND(":",TRIM(MID(SUBSTITUTE($V101,";",REPT(" ",99)),496,99)))-1),Materiales!$A$2:$E$502,5,FALSE)*VALUE(MID(TRIM(MID(SUBSTITUTE($V101,";",REPT(" ",99)),496,99)),FIND(":",TRIM(MID(SUBSTITUTE($V101,";",REPT(" ",99)),496,99)))+1,99)),0) + IFERROR(VLOOKUP(LEFT(TRIM(MID(SUBSTITUTE($V101,";",REPT(" ",99)),595,99)),FIND(":",TRIM(MID(SUBSTITUTE($V101,";",REPT(" ",99)),595,99)))-1),Materiales!$A$2:$E$502,5,FALSE)*VALUE(MID(TRIM(MID(SUBSTITUTE($V101,";",REPT(" ",99)),595,99)),FIND(":",TRIM(MID(SUBSTITUTE($V101,";",REPT(" ",99)),595,99)))+1,99)),0) + IFERROR(VLOOKUP(LEFT(TRIM(MID(SUBSTITUTE($V101,";",REPT(" ",99)),694,99)),FIND(":",TRIM(MID(SUBSTITUTE($V101,";",REPT(" ",99)),694,99)))-1),Materiales!$A$2:$E$502,5,FALSE)*VALUE(MID(TRIM(MID(SUBSTITUTE($V101,";",REPT(" ",99)),694,99)),FIND(":",TRIM(MID(SUBSTITUTE($V101,";",REPT(" ",99)),694,99)))+1,99)),0) + IFERROR(VLOOKUP(LEFT(TRIM(MID(SUBSTITUTE($V101,";",REPT(" ",99)),793,99)),FIND(":",TRIM(MID(SUBSTITUTE($V101,";",REPT(" ",99)),793,99)))-1),Materiales!$A$2:$E$502,5,FALSE)*VALUE(MID(TRIM(MID(SUBSTITUTE($V101,";",REPT(" ",99)),793,99)),FIND(":",TRIM(MID(SUBSTITUTE($V101,";",REPT(" ",99)),793,99)))+1,99)),0) + IFERROR(VLOOKUP(LEFT(TRIM(MID(SUBSTITUTE($V101,";",REPT(" ",99)),892,99)),FIND(":",TRIM(MID(SUBSTITUTE($V101,";",REPT(" ",99)),892,99)))-1),Materiales!$A$2:$E$502,5,FALSE)*VALUE(MID(TRIM(MID(SUBSTITUTE($V101,";",REPT(" ",99)),892,99)),FIND(":",TRIM(MID(SUBSTITUTE($V101,";",REPT(" ",99)),892,99)))+1,99)),0)))</f>
        <v/>
      </c>
      <c r="X101" s="39" t="str">
        <f t="shared" si="13"/>
        <v/>
      </c>
      <c r="Y101" s="64"/>
      <c r="Z101" s="41"/>
      <c r="AA101" s="65"/>
      <c r="AB101" s="14"/>
      <c r="AC101" s="66"/>
      <c r="AD101" s="65"/>
      <c r="AE101" s="44">
        <f t="shared" si="17"/>
        <v>0</v>
      </c>
      <c r="AF101" s="45" t="str">
        <f t="shared" si="18"/>
        <v>#DIV/0!</v>
      </c>
    </row>
    <row r="102" ht="15.75" customHeight="1">
      <c r="A102" s="3"/>
      <c r="B102" s="3"/>
      <c r="C102" s="38"/>
      <c r="D102" s="38"/>
      <c r="E102" s="38"/>
      <c r="F102" s="14"/>
      <c r="G102" s="5" t="str">
        <f t="array" ref="G102">IF($A102="","",IFERROR($F102*(N($C102)*XLOOKUP($B102,Ceras!$A$2:$A$500,Ceras!$G$2:$G$500,0)+IF($D102="",0,N($E102)*XLOOKUP($D102,Ceras!$A$2:$A$500,Ceras!$G$2:$G$500,0))),"Revisar cera"))</f>
        <v/>
      </c>
      <c r="H102" s="5"/>
      <c r="I102" s="3"/>
      <c r="J102" s="14"/>
      <c r="K102" s="5" t="str">
        <f t="array" ref="K102">IF($A102="","",IFERROR($J102*XLOOKUP($I102,Pabilos!$A$2:$A$500,Pabilos!$H$2:$H$500,0),"Revisar pabilo"))</f>
        <v/>
      </c>
      <c r="L102" s="3"/>
      <c r="M102" s="14"/>
      <c r="N102" s="5" t="str">
        <f t="array" ref="N102">IF($A102="","",IFERROR($M102*XLOOKUP($L102,Esencias!$A$2:$A$501,Esencias!$G$2:$G$501,0),"Revisar esencia"))</f>
        <v/>
      </c>
      <c r="O102" s="3"/>
      <c r="P102" s="14"/>
      <c r="Q102" s="5" t="str">
        <f t="array" ref="Q102">IF($A102="","",IFERROR(IF($P102="",1,$P102)*XLOOKUP($O102,Colores!$A$2:$A$500,Colores!$H$2:$H$500,0),"Revisar color"))</f>
        <v/>
      </c>
      <c r="R102" s="3"/>
      <c r="S102" s="5" t="str">
        <f t="array" ref="S102">IF($A102="","",IF($R102="",0,IFERROR(VLOOKUP(LEFT(TRIM(MID(SUBSTITUTE($R102,";",REPT(" ",99)),1,99)),FIND(":",TRIM(MID(SUBSTITUTE($R102,";",REPT(" ",99)),1,99)))-1),Materiales!$A$2:$E$502,5,FALSE)*VALUE(MID(TRIM(MID(SUBSTITUTE($R102,";",REPT(" ",99)),1,99)),FIND(":",TRIM(MID(SUBSTITUTE($R102,";",REPT(" ",99)),1,99)))+1,99)),0) + IFERROR(VLOOKUP(LEFT(TRIM(MID(SUBSTITUTE($R102,";",REPT(" ",99)),100,99)),FIND(":",TRIM(MID(SUBSTITUTE($R102,";",REPT(" ",99)),100,99)))-1),Materiales!$A$2:$E$502,5,FALSE)*VALUE(MID(TRIM(MID(SUBSTITUTE($R102,";",REPT(" ",99)),100,99)),FIND(":",TRIM(MID(SUBSTITUTE($R102,";",REPT(" ",99)),100,99)))+1,99)),0) + IFERROR(VLOOKUP(LEFT(TRIM(MID(SUBSTITUTE($R102,";",REPT(" ",99)),199,99)),FIND(":",TRIM(MID(SUBSTITUTE($R102,";",REPT(" ",99)),199,99)))-1),Materiales!$A$2:$E$502,5,FALSE)*VALUE(MID(TRIM(MID(SUBSTITUTE($R102,";",REPT(" ",99)),199,99)),FIND(":",TRIM(MID(SUBSTITUTE($R102,";",REPT(" ",99)),199,99)))+1,99)),0) + IFERROR(VLOOKUP(LEFT(TRIM(MID(SUBSTITUTE($R102,";",REPT(" ",99)),298,99)),FIND(":",TRIM(MID(SUBSTITUTE($R102,";",REPT(" ",99)),298,99)))-1),Materiales!$A$2:$E$502,5,FALSE)*VALUE(MID(TRIM(MID(SUBSTITUTE($R102,";",REPT(" ",99)),298,99)),FIND(":",TRIM(MID(SUBSTITUTE($R102,";",REPT(" ",99)),298,99)))+1,99)),0) + IFERROR(VLOOKUP(LEFT(TRIM(MID(SUBSTITUTE($R102,";",REPT(" ",99)),397,99)),FIND(":",TRIM(MID(SUBSTITUTE($R102,";",REPT(" ",99)),397,99)))-1),Materiales!$A$2:$E$502,5,FALSE)*VALUE(MID(TRIM(MID(SUBSTITUTE($R102,";",REPT(" ",99)),397,99)),FIND(":",TRIM(MID(SUBSTITUTE($R102,";",REPT(" ",99)),397,99)))+1,99)),0) + IFERROR(VLOOKUP(LEFT(TRIM(MID(SUBSTITUTE($R102,";",REPT(" ",99)),496,99)),FIND(":",TRIM(MID(SUBSTITUTE($R102,";",REPT(" ",99)),496,99)))-1),Materiales!$A$2:$E$502,5,FALSE)*VALUE(MID(TRIM(MID(SUBSTITUTE($R102,";",REPT(" ",99)),496,99)),FIND(":",TRIM(MID(SUBSTITUTE($R102,";",REPT(" ",99)),496,99)))+1,99)),0) + IFERROR(VLOOKUP(LEFT(TRIM(MID(SUBSTITUTE($R102,";",REPT(" ",99)),595,99)),FIND(":",TRIM(MID(SUBSTITUTE($R102,";",REPT(" ",99)),595,99)))-1),Materiales!$A$2:$E$502,5,FALSE)*VALUE(MID(TRIM(MID(SUBSTITUTE($R102,";",REPT(" ",99)),595,99)),FIND(":",TRIM(MID(SUBSTITUTE($R102,";",REPT(" ",99)),595,99)))+1,99)),0) + IFERROR(VLOOKUP(LEFT(TRIM(MID(SUBSTITUTE($R102,";",REPT(" ",99)),694,99)),FIND(":",TRIM(MID(SUBSTITUTE($R102,";",REPT(" ",99)),694,99)))-1),Materiales!$A$2:$E$502,5,FALSE)*VALUE(MID(TRIM(MID(SUBSTITUTE($R102,";",REPT(" ",99)),694,99)),FIND(":",TRIM(MID(SUBSTITUTE($R102,";",REPT(" ",99)),694,99)))+1,99)),0) + IFERROR(VLOOKUP(LEFT(TRIM(MID(SUBSTITUTE($R102,";",REPT(" ",99)),793,99)),FIND(":",TRIM(MID(SUBSTITUTE($R102,";",REPT(" ",99)),793,99)))-1),Materiales!$A$2:$E$502,5,FALSE)*VALUE(MID(TRIM(MID(SUBSTITUTE($R102,";",REPT(" ",99)),793,99)),FIND(":",TRIM(MID(SUBSTITUTE($R102,";",REPT(" ",99)),793,99)))+1,99)),0) + IFERROR(VLOOKUP(LEFT(TRIM(MID(SUBSTITUTE($R102,";",REPT(" ",99)),892,99)),FIND(":",TRIM(MID(SUBSTITUTE($R102,";",REPT(" ",99)),892,99)))-1),Materiales!$A$2:$E$502,5,FALSE)*VALUE(MID(TRIM(MID(SUBSTITUTE($R102,";",REPT(" ",99)),892,99)),FIND(":",TRIM(MID(SUBSTITUTE($R102,";",REPT(" ",99)),892,99)))+1,99)),0)))</f>
        <v/>
      </c>
      <c r="T102" s="3"/>
      <c r="U102" s="5" t="str">
        <f t="array" ref="U102">IF($A102="","",IF($T102="",0,IFERROR(VLOOKUP(LEFT(TRIM(MID(SUBSTITUTE($T102,";",REPT(" ",99)),1,99)),FIND(":",TRIM(MID(SUBSTITUTE($T102,";",REPT(" ",99)),1,99)))-1),Materiales!$A$2:$E$502,5,FALSE)*VALUE(MID(TRIM(MID(SUBSTITUTE($T102,";",REPT(" ",99)),1,99)),FIND(":",TRIM(MID(SUBSTITUTE($T102,";",REPT(" ",99)),1,99)))+1,99)),0) + IFERROR(VLOOKUP(LEFT(TRIM(MID(SUBSTITUTE($T102,";",REPT(" ",99)),100,99)),FIND(":",TRIM(MID(SUBSTITUTE($T102,";",REPT(" ",99)),100,99)))-1),Materiales!$A$2:$E$502,5,FALSE)*VALUE(MID(TRIM(MID(SUBSTITUTE($T102,";",REPT(" ",99)),100,99)),FIND(":",TRIM(MID(SUBSTITUTE($T102,";",REPT(" ",99)),100,99)))+1,99)),0) + IFERROR(VLOOKUP(LEFT(TRIM(MID(SUBSTITUTE($T102,";",REPT(" ",99)),199,99)),FIND(":",TRIM(MID(SUBSTITUTE($T102,";",REPT(" ",99)),199,99)))-1),Materiales!$A$2:$E$502,5,FALSE)*VALUE(MID(TRIM(MID(SUBSTITUTE($T102,";",REPT(" ",99)),199,99)),FIND(":",TRIM(MID(SUBSTITUTE($T102,";",REPT(" ",99)),199,99)))+1,99)),0) + IFERROR(VLOOKUP(LEFT(TRIM(MID(SUBSTITUTE($T102,";",REPT(" ",99)),298,99)),FIND(":",TRIM(MID(SUBSTITUTE($T102,";",REPT(" ",99)),298,99)))-1),Materiales!$A$2:$E$502,5,FALSE)*VALUE(MID(TRIM(MID(SUBSTITUTE($T102,";",REPT(" ",99)),298,99)),FIND(":",TRIM(MID(SUBSTITUTE($T102,";",REPT(" ",99)),298,99)))+1,99)),0) + IFERROR(VLOOKUP(LEFT(TRIM(MID(SUBSTITUTE($T102,";",REPT(" ",99)),397,99)),FIND(":",TRIM(MID(SUBSTITUTE($T102,";",REPT(" ",99)),397,99)))-1),Materiales!$A$2:$E$502,5,FALSE)*VALUE(MID(TRIM(MID(SUBSTITUTE($T102,";",REPT(" ",99)),397,99)),FIND(":",TRIM(MID(SUBSTITUTE($T102,";",REPT(" ",99)),397,99)))+1,99)),0) + IFERROR(VLOOKUP(LEFT(TRIM(MID(SUBSTITUTE($T102,";",REPT(" ",99)),496,99)),FIND(":",TRIM(MID(SUBSTITUTE($T102,";",REPT(" ",99)),496,99)))-1),Materiales!$A$2:$E$502,5,FALSE)*VALUE(MID(TRIM(MID(SUBSTITUTE($T102,";",REPT(" ",99)),496,99)),FIND(":",TRIM(MID(SUBSTITUTE($T102,";",REPT(" ",99)),496,99)))+1,99)),0) + IFERROR(VLOOKUP(LEFT(TRIM(MID(SUBSTITUTE($T102,";",REPT(" ",99)),595,99)),FIND(":",TRIM(MID(SUBSTITUTE($T102,";",REPT(" ",99)),595,99)))-1),Materiales!$A$2:$E$502,5,FALSE)*VALUE(MID(TRIM(MID(SUBSTITUTE($T102,";",REPT(" ",99)),595,99)),FIND(":",TRIM(MID(SUBSTITUTE($T102,";",REPT(" ",99)),595,99)))+1,99)),0) + IFERROR(VLOOKUP(LEFT(TRIM(MID(SUBSTITUTE($T102,";",REPT(" ",99)),694,99)),FIND(":",TRIM(MID(SUBSTITUTE($T102,";",REPT(" ",99)),694,99)))-1),Materiales!$A$2:$E$502,5,FALSE)*VALUE(MID(TRIM(MID(SUBSTITUTE($T102,";",REPT(" ",99)),694,99)),FIND(":",TRIM(MID(SUBSTITUTE($T102,";",REPT(" ",99)),694,99)))+1,99)),0) + IFERROR(VLOOKUP(LEFT(TRIM(MID(SUBSTITUTE($T102,";",REPT(" ",99)),793,99)),FIND(":",TRIM(MID(SUBSTITUTE($T102,";",REPT(" ",99)),793,99)))-1),Materiales!$A$2:$E$502,5,FALSE)*VALUE(MID(TRIM(MID(SUBSTITUTE($T102,";",REPT(" ",99)),793,99)),FIND(":",TRIM(MID(SUBSTITUTE($T102,";",REPT(" ",99)),793,99)))+1,99)),0) + IFERROR(VLOOKUP(LEFT(TRIM(MID(SUBSTITUTE($T102,";",REPT(" ",99)),892,99)),FIND(":",TRIM(MID(SUBSTITUTE($T102,";",REPT(" ",99)),892,99)))-1),Materiales!$A$2:$E$502,5,FALSE)*VALUE(MID(TRIM(MID(SUBSTITUTE($T102,";",REPT(" ",99)),892,99)),FIND(":",TRIM(MID(SUBSTITUTE($T102,";",REPT(" ",99)),892,99)))+1,99)),0)))</f>
        <v/>
      </c>
      <c r="V102" s="3"/>
      <c r="W102" s="5" t="str">
        <f t="array" ref="W102">IF($A102="","",IF($V102="",0,IFERROR(VLOOKUP(LEFT(TRIM(MID(SUBSTITUTE($V102,";",REPT(" ",99)),1,99)),FIND(":",TRIM(MID(SUBSTITUTE($V102,";",REPT(" ",99)),1,99)))-1),Materiales!$A$2:$E$502,5,FALSE)*VALUE(MID(TRIM(MID(SUBSTITUTE($V102,";",REPT(" ",99)),1,99)),FIND(":",TRIM(MID(SUBSTITUTE($V102,";",REPT(" ",99)),1,99)))+1,99)),0) + IFERROR(VLOOKUP(LEFT(TRIM(MID(SUBSTITUTE($V102,";",REPT(" ",99)),100,99)),FIND(":",TRIM(MID(SUBSTITUTE($V102,";",REPT(" ",99)),100,99)))-1),Materiales!$A$2:$E$502,5,FALSE)*VALUE(MID(TRIM(MID(SUBSTITUTE($V102,";",REPT(" ",99)),100,99)),FIND(":",TRIM(MID(SUBSTITUTE($V102,";",REPT(" ",99)),100,99)))+1,99)),0) + IFERROR(VLOOKUP(LEFT(TRIM(MID(SUBSTITUTE($V102,";",REPT(" ",99)),199,99)),FIND(":",TRIM(MID(SUBSTITUTE($V102,";",REPT(" ",99)),199,99)))-1),Materiales!$A$2:$E$502,5,FALSE)*VALUE(MID(TRIM(MID(SUBSTITUTE($V102,";",REPT(" ",99)),199,99)),FIND(":",TRIM(MID(SUBSTITUTE($V102,";",REPT(" ",99)),199,99)))+1,99)),0) + IFERROR(VLOOKUP(LEFT(TRIM(MID(SUBSTITUTE($V102,";",REPT(" ",99)),298,99)),FIND(":",TRIM(MID(SUBSTITUTE($V102,";",REPT(" ",99)),298,99)))-1),Materiales!$A$2:$E$502,5,FALSE)*VALUE(MID(TRIM(MID(SUBSTITUTE($V102,";",REPT(" ",99)),298,99)),FIND(":",TRIM(MID(SUBSTITUTE($V102,";",REPT(" ",99)),298,99)))+1,99)),0) + IFERROR(VLOOKUP(LEFT(TRIM(MID(SUBSTITUTE($V102,";",REPT(" ",99)),397,99)),FIND(":",TRIM(MID(SUBSTITUTE($V102,";",REPT(" ",99)),397,99)))-1),Materiales!$A$2:$E$502,5,FALSE)*VALUE(MID(TRIM(MID(SUBSTITUTE($V102,";",REPT(" ",99)),397,99)),FIND(":",TRIM(MID(SUBSTITUTE($V102,";",REPT(" ",99)),397,99)))+1,99)),0) + IFERROR(VLOOKUP(LEFT(TRIM(MID(SUBSTITUTE($V102,";",REPT(" ",99)),496,99)),FIND(":",TRIM(MID(SUBSTITUTE($V102,";",REPT(" ",99)),496,99)))-1),Materiales!$A$2:$E$502,5,FALSE)*VALUE(MID(TRIM(MID(SUBSTITUTE($V102,";",REPT(" ",99)),496,99)),FIND(":",TRIM(MID(SUBSTITUTE($V102,";",REPT(" ",99)),496,99)))+1,99)),0) + IFERROR(VLOOKUP(LEFT(TRIM(MID(SUBSTITUTE($V102,";",REPT(" ",99)),595,99)),FIND(":",TRIM(MID(SUBSTITUTE($V102,";",REPT(" ",99)),595,99)))-1),Materiales!$A$2:$E$502,5,FALSE)*VALUE(MID(TRIM(MID(SUBSTITUTE($V102,";",REPT(" ",99)),595,99)),FIND(":",TRIM(MID(SUBSTITUTE($V102,";",REPT(" ",99)),595,99)))+1,99)),0) + IFERROR(VLOOKUP(LEFT(TRIM(MID(SUBSTITUTE($V102,";",REPT(" ",99)),694,99)),FIND(":",TRIM(MID(SUBSTITUTE($V102,";",REPT(" ",99)),694,99)))-1),Materiales!$A$2:$E$502,5,FALSE)*VALUE(MID(TRIM(MID(SUBSTITUTE($V102,";",REPT(" ",99)),694,99)),FIND(":",TRIM(MID(SUBSTITUTE($V102,";",REPT(" ",99)),694,99)))+1,99)),0) + IFERROR(VLOOKUP(LEFT(TRIM(MID(SUBSTITUTE($V102,";",REPT(" ",99)),793,99)),FIND(":",TRIM(MID(SUBSTITUTE($V102,";",REPT(" ",99)),793,99)))-1),Materiales!$A$2:$E$502,5,FALSE)*VALUE(MID(TRIM(MID(SUBSTITUTE($V102,";",REPT(" ",99)),793,99)),FIND(":",TRIM(MID(SUBSTITUTE($V102,";",REPT(" ",99)),793,99)))+1,99)),0) + IFERROR(VLOOKUP(LEFT(TRIM(MID(SUBSTITUTE($V102,";",REPT(" ",99)),892,99)),FIND(":",TRIM(MID(SUBSTITUTE($V102,";",REPT(" ",99)),892,99)))-1),Materiales!$A$2:$E$502,5,FALSE)*VALUE(MID(TRIM(MID(SUBSTITUTE($V102,";",REPT(" ",99)),892,99)),FIND(":",TRIM(MID(SUBSTITUTE($V102,";",REPT(" ",99)),892,99)))+1,99)),0)))</f>
        <v/>
      </c>
      <c r="X102" s="39" t="str">
        <f t="shared" si="13"/>
        <v/>
      </c>
      <c r="Y102" s="64"/>
      <c r="Z102" s="41"/>
      <c r="AA102" s="65"/>
      <c r="AB102" s="14"/>
      <c r="AC102" s="66"/>
      <c r="AD102" s="65"/>
      <c r="AE102" s="44">
        <f t="shared" si="17"/>
        <v>0</v>
      </c>
      <c r="AF102" s="45" t="str">
        <f t="shared" si="18"/>
        <v>#DIV/0!</v>
      </c>
    </row>
    <row r="103" ht="15.75" customHeight="1">
      <c r="A103" s="3"/>
      <c r="B103" s="3"/>
      <c r="C103" s="38"/>
      <c r="D103" s="38"/>
      <c r="E103" s="38"/>
      <c r="F103" s="14"/>
      <c r="G103" s="5" t="str">
        <f t="array" ref="G103">IF($A103="","",IFERROR($F103*(N($C103)*XLOOKUP($B103,Ceras!$A$2:$A$500,Ceras!$G$2:$G$500,0)+IF($D103="",0,N($E103)*XLOOKUP($D103,Ceras!$A$2:$A$500,Ceras!$G$2:$G$500,0))),"Revisar cera"))</f>
        <v/>
      </c>
      <c r="H103" s="5"/>
      <c r="I103" s="3"/>
      <c r="J103" s="14"/>
      <c r="K103" s="5" t="str">
        <f t="array" ref="K103">IF($A103="","",IFERROR($J103*XLOOKUP($I103,Pabilos!$A$2:$A$500,Pabilos!$H$2:$H$500,0),"Revisar pabilo"))</f>
        <v/>
      </c>
      <c r="L103" s="3"/>
      <c r="M103" s="14"/>
      <c r="N103" s="5" t="str">
        <f t="array" ref="N103">IF($A103="","",IFERROR($M103*XLOOKUP($L103,Esencias!$A$2:$A$501,Esencias!$G$2:$G$501,0),"Revisar esencia"))</f>
        <v/>
      </c>
      <c r="O103" s="3"/>
      <c r="P103" s="14"/>
      <c r="Q103" s="5" t="str">
        <f t="array" ref="Q103">IF($A103="","",IFERROR(IF($P103="",1,$P103)*XLOOKUP($O103,Colores!$A$2:$A$500,Colores!$H$2:$H$500,0),"Revisar color"))</f>
        <v/>
      </c>
      <c r="R103" s="3"/>
      <c r="S103" s="5" t="str">
        <f t="array" ref="S103">IF($A103="","",IF($R103="",0,IFERROR(VLOOKUP(LEFT(TRIM(MID(SUBSTITUTE($R103,";",REPT(" ",99)),1,99)),FIND(":",TRIM(MID(SUBSTITUTE($R103,";",REPT(" ",99)),1,99)))-1),Materiales!$A$2:$E$502,5,FALSE)*VALUE(MID(TRIM(MID(SUBSTITUTE($R103,";",REPT(" ",99)),1,99)),FIND(":",TRIM(MID(SUBSTITUTE($R103,";",REPT(" ",99)),1,99)))+1,99)),0) + IFERROR(VLOOKUP(LEFT(TRIM(MID(SUBSTITUTE($R103,";",REPT(" ",99)),100,99)),FIND(":",TRIM(MID(SUBSTITUTE($R103,";",REPT(" ",99)),100,99)))-1),Materiales!$A$2:$E$502,5,FALSE)*VALUE(MID(TRIM(MID(SUBSTITUTE($R103,";",REPT(" ",99)),100,99)),FIND(":",TRIM(MID(SUBSTITUTE($R103,";",REPT(" ",99)),100,99)))+1,99)),0) + IFERROR(VLOOKUP(LEFT(TRIM(MID(SUBSTITUTE($R103,";",REPT(" ",99)),199,99)),FIND(":",TRIM(MID(SUBSTITUTE($R103,";",REPT(" ",99)),199,99)))-1),Materiales!$A$2:$E$502,5,FALSE)*VALUE(MID(TRIM(MID(SUBSTITUTE($R103,";",REPT(" ",99)),199,99)),FIND(":",TRIM(MID(SUBSTITUTE($R103,";",REPT(" ",99)),199,99)))+1,99)),0) + IFERROR(VLOOKUP(LEFT(TRIM(MID(SUBSTITUTE($R103,";",REPT(" ",99)),298,99)),FIND(":",TRIM(MID(SUBSTITUTE($R103,";",REPT(" ",99)),298,99)))-1),Materiales!$A$2:$E$502,5,FALSE)*VALUE(MID(TRIM(MID(SUBSTITUTE($R103,";",REPT(" ",99)),298,99)),FIND(":",TRIM(MID(SUBSTITUTE($R103,";",REPT(" ",99)),298,99)))+1,99)),0) + IFERROR(VLOOKUP(LEFT(TRIM(MID(SUBSTITUTE($R103,";",REPT(" ",99)),397,99)),FIND(":",TRIM(MID(SUBSTITUTE($R103,";",REPT(" ",99)),397,99)))-1),Materiales!$A$2:$E$502,5,FALSE)*VALUE(MID(TRIM(MID(SUBSTITUTE($R103,";",REPT(" ",99)),397,99)),FIND(":",TRIM(MID(SUBSTITUTE($R103,";",REPT(" ",99)),397,99)))+1,99)),0) + IFERROR(VLOOKUP(LEFT(TRIM(MID(SUBSTITUTE($R103,";",REPT(" ",99)),496,99)),FIND(":",TRIM(MID(SUBSTITUTE($R103,";",REPT(" ",99)),496,99)))-1),Materiales!$A$2:$E$502,5,FALSE)*VALUE(MID(TRIM(MID(SUBSTITUTE($R103,";",REPT(" ",99)),496,99)),FIND(":",TRIM(MID(SUBSTITUTE($R103,";",REPT(" ",99)),496,99)))+1,99)),0) + IFERROR(VLOOKUP(LEFT(TRIM(MID(SUBSTITUTE($R103,";",REPT(" ",99)),595,99)),FIND(":",TRIM(MID(SUBSTITUTE($R103,";",REPT(" ",99)),595,99)))-1),Materiales!$A$2:$E$502,5,FALSE)*VALUE(MID(TRIM(MID(SUBSTITUTE($R103,";",REPT(" ",99)),595,99)),FIND(":",TRIM(MID(SUBSTITUTE($R103,";",REPT(" ",99)),595,99)))+1,99)),0) + IFERROR(VLOOKUP(LEFT(TRIM(MID(SUBSTITUTE($R103,";",REPT(" ",99)),694,99)),FIND(":",TRIM(MID(SUBSTITUTE($R103,";",REPT(" ",99)),694,99)))-1),Materiales!$A$2:$E$502,5,FALSE)*VALUE(MID(TRIM(MID(SUBSTITUTE($R103,";",REPT(" ",99)),694,99)),FIND(":",TRIM(MID(SUBSTITUTE($R103,";",REPT(" ",99)),694,99)))+1,99)),0) + IFERROR(VLOOKUP(LEFT(TRIM(MID(SUBSTITUTE($R103,";",REPT(" ",99)),793,99)),FIND(":",TRIM(MID(SUBSTITUTE($R103,";",REPT(" ",99)),793,99)))-1),Materiales!$A$2:$E$502,5,FALSE)*VALUE(MID(TRIM(MID(SUBSTITUTE($R103,";",REPT(" ",99)),793,99)),FIND(":",TRIM(MID(SUBSTITUTE($R103,";",REPT(" ",99)),793,99)))+1,99)),0) + IFERROR(VLOOKUP(LEFT(TRIM(MID(SUBSTITUTE($R103,";",REPT(" ",99)),892,99)),FIND(":",TRIM(MID(SUBSTITUTE($R103,";",REPT(" ",99)),892,99)))-1),Materiales!$A$2:$E$502,5,FALSE)*VALUE(MID(TRIM(MID(SUBSTITUTE($R103,";",REPT(" ",99)),892,99)),FIND(":",TRIM(MID(SUBSTITUTE($R103,";",REPT(" ",99)),892,99)))+1,99)),0)))</f>
        <v/>
      </c>
      <c r="T103" s="3"/>
      <c r="U103" s="5" t="str">
        <f t="array" ref="U103">IF($A103="","",IF($T103="",0,IFERROR(VLOOKUP(LEFT(TRIM(MID(SUBSTITUTE($T103,";",REPT(" ",99)),1,99)),FIND(":",TRIM(MID(SUBSTITUTE($T103,";",REPT(" ",99)),1,99)))-1),Materiales!$A$2:$E$502,5,FALSE)*VALUE(MID(TRIM(MID(SUBSTITUTE($T103,";",REPT(" ",99)),1,99)),FIND(":",TRIM(MID(SUBSTITUTE($T103,";",REPT(" ",99)),1,99)))+1,99)),0) + IFERROR(VLOOKUP(LEFT(TRIM(MID(SUBSTITUTE($T103,";",REPT(" ",99)),100,99)),FIND(":",TRIM(MID(SUBSTITUTE($T103,";",REPT(" ",99)),100,99)))-1),Materiales!$A$2:$E$502,5,FALSE)*VALUE(MID(TRIM(MID(SUBSTITUTE($T103,";",REPT(" ",99)),100,99)),FIND(":",TRIM(MID(SUBSTITUTE($T103,";",REPT(" ",99)),100,99)))+1,99)),0) + IFERROR(VLOOKUP(LEFT(TRIM(MID(SUBSTITUTE($T103,";",REPT(" ",99)),199,99)),FIND(":",TRIM(MID(SUBSTITUTE($T103,";",REPT(" ",99)),199,99)))-1),Materiales!$A$2:$E$502,5,FALSE)*VALUE(MID(TRIM(MID(SUBSTITUTE($T103,";",REPT(" ",99)),199,99)),FIND(":",TRIM(MID(SUBSTITUTE($T103,";",REPT(" ",99)),199,99)))+1,99)),0) + IFERROR(VLOOKUP(LEFT(TRIM(MID(SUBSTITUTE($T103,";",REPT(" ",99)),298,99)),FIND(":",TRIM(MID(SUBSTITUTE($T103,";",REPT(" ",99)),298,99)))-1),Materiales!$A$2:$E$502,5,FALSE)*VALUE(MID(TRIM(MID(SUBSTITUTE($T103,";",REPT(" ",99)),298,99)),FIND(":",TRIM(MID(SUBSTITUTE($T103,";",REPT(" ",99)),298,99)))+1,99)),0) + IFERROR(VLOOKUP(LEFT(TRIM(MID(SUBSTITUTE($T103,";",REPT(" ",99)),397,99)),FIND(":",TRIM(MID(SUBSTITUTE($T103,";",REPT(" ",99)),397,99)))-1),Materiales!$A$2:$E$502,5,FALSE)*VALUE(MID(TRIM(MID(SUBSTITUTE($T103,";",REPT(" ",99)),397,99)),FIND(":",TRIM(MID(SUBSTITUTE($T103,";",REPT(" ",99)),397,99)))+1,99)),0) + IFERROR(VLOOKUP(LEFT(TRIM(MID(SUBSTITUTE($T103,";",REPT(" ",99)),496,99)),FIND(":",TRIM(MID(SUBSTITUTE($T103,";",REPT(" ",99)),496,99)))-1),Materiales!$A$2:$E$502,5,FALSE)*VALUE(MID(TRIM(MID(SUBSTITUTE($T103,";",REPT(" ",99)),496,99)),FIND(":",TRIM(MID(SUBSTITUTE($T103,";",REPT(" ",99)),496,99)))+1,99)),0) + IFERROR(VLOOKUP(LEFT(TRIM(MID(SUBSTITUTE($T103,";",REPT(" ",99)),595,99)),FIND(":",TRIM(MID(SUBSTITUTE($T103,";",REPT(" ",99)),595,99)))-1),Materiales!$A$2:$E$502,5,FALSE)*VALUE(MID(TRIM(MID(SUBSTITUTE($T103,";",REPT(" ",99)),595,99)),FIND(":",TRIM(MID(SUBSTITUTE($T103,";",REPT(" ",99)),595,99)))+1,99)),0) + IFERROR(VLOOKUP(LEFT(TRIM(MID(SUBSTITUTE($T103,";",REPT(" ",99)),694,99)),FIND(":",TRIM(MID(SUBSTITUTE($T103,";",REPT(" ",99)),694,99)))-1),Materiales!$A$2:$E$502,5,FALSE)*VALUE(MID(TRIM(MID(SUBSTITUTE($T103,";",REPT(" ",99)),694,99)),FIND(":",TRIM(MID(SUBSTITUTE($T103,";",REPT(" ",99)),694,99)))+1,99)),0) + IFERROR(VLOOKUP(LEFT(TRIM(MID(SUBSTITUTE($T103,";",REPT(" ",99)),793,99)),FIND(":",TRIM(MID(SUBSTITUTE($T103,";",REPT(" ",99)),793,99)))-1),Materiales!$A$2:$E$502,5,FALSE)*VALUE(MID(TRIM(MID(SUBSTITUTE($T103,";",REPT(" ",99)),793,99)),FIND(":",TRIM(MID(SUBSTITUTE($T103,";",REPT(" ",99)),793,99)))+1,99)),0) + IFERROR(VLOOKUP(LEFT(TRIM(MID(SUBSTITUTE($T103,";",REPT(" ",99)),892,99)),FIND(":",TRIM(MID(SUBSTITUTE($T103,";",REPT(" ",99)),892,99)))-1),Materiales!$A$2:$E$502,5,FALSE)*VALUE(MID(TRIM(MID(SUBSTITUTE($T103,";",REPT(" ",99)),892,99)),FIND(":",TRIM(MID(SUBSTITUTE($T103,";",REPT(" ",99)),892,99)))+1,99)),0)))</f>
        <v/>
      </c>
      <c r="V103" s="3"/>
      <c r="W103" s="5" t="str">
        <f t="array" ref="W103">IF($A103="","",IF($V103="",0,IFERROR(VLOOKUP(LEFT(TRIM(MID(SUBSTITUTE($V103,";",REPT(" ",99)),1,99)),FIND(":",TRIM(MID(SUBSTITUTE($V103,";",REPT(" ",99)),1,99)))-1),Materiales!$A$2:$E$502,5,FALSE)*VALUE(MID(TRIM(MID(SUBSTITUTE($V103,";",REPT(" ",99)),1,99)),FIND(":",TRIM(MID(SUBSTITUTE($V103,";",REPT(" ",99)),1,99)))+1,99)),0) + IFERROR(VLOOKUP(LEFT(TRIM(MID(SUBSTITUTE($V103,";",REPT(" ",99)),100,99)),FIND(":",TRIM(MID(SUBSTITUTE($V103,";",REPT(" ",99)),100,99)))-1),Materiales!$A$2:$E$502,5,FALSE)*VALUE(MID(TRIM(MID(SUBSTITUTE($V103,";",REPT(" ",99)),100,99)),FIND(":",TRIM(MID(SUBSTITUTE($V103,";",REPT(" ",99)),100,99)))+1,99)),0) + IFERROR(VLOOKUP(LEFT(TRIM(MID(SUBSTITUTE($V103,";",REPT(" ",99)),199,99)),FIND(":",TRIM(MID(SUBSTITUTE($V103,";",REPT(" ",99)),199,99)))-1),Materiales!$A$2:$E$502,5,FALSE)*VALUE(MID(TRIM(MID(SUBSTITUTE($V103,";",REPT(" ",99)),199,99)),FIND(":",TRIM(MID(SUBSTITUTE($V103,";",REPT(" ",99)),199,99)))+1,99)),0) + IFERROR(VLOOKUP(LEFT(TRIM(MID(SUBSTITUTE($V103,";",REPT(" ",99)),298,99)),FIND(":",TRIM(MID(SUBSTITUTE($V103,";",REPT(" ",99)),298,99)))-1),Materiales!$A$2:$E$502,5,FALSE)*VALUE(MID(TRIM(MID(SUBSTITUTE($V103,";",REPT(" ",99)),298,99)),FIND(":",TRIM(MID(SUBSTITUTE($V103,";",REPT(" ",99)),298,99)))+1,99)),0) + IFERROR(VLOOKUP(LEFT(TRIM(MID(SUBSTITUTE($V103,";",REPT(" ",99)),397,99)),FIND(":",TRIM(MID(SUBSTITUTE($V103,";",REPT(" ",99)),397,99)))-1),Materiales!$A$2:$E$502,5,FALSE)*VALUE(MID(TRIM(MID(SUBSTITUTE($V103,";",REPT(" ",99)),397,99)),FIND(":",TRIM(MID(SUBSTITUTE($V103,";",REPT(" ",99)),397,99)))+1,99)),0) + IFERROR(VLOOKUP(LEFT(TRIM(MID(SUBSTITUTE($V103,";",REPT(" ",99)),496,99)),FIND(":",TRIM(MID(SUBSTITUTE($V103,";",REPT(" ",99)),496,99)))-1),Materiales!$A$2:$E$502,5,FALSE)*VALUE(MID(TRIM(MID(SUBSTITUTE($V103,";",REPT(" ",99)),496,99)),FIND(":",TRIM(MID(SUBSTITUTE($V103,";",REPT(" ",99)),496,99)))+1,99)),0) + IFERROR(VLOOKUP(LEFT(TRIM(MID(SUBSTITUTE($V103,";",REPT(" ",99)),595,99)),FIND(":",TRIM(MID(SUBSTITUTE($V103,";",REPT(" ",99)),595,99)))-1),Materiales!$A$2:$E$502,5,FALSE)*VALUE(MID(TRIM(MID(SUBSTITUTE($V103,";",REPT(" ",99)),595,99)),FIND(":",TRIM(MID(SUBSTITUTE($V103,";",REPT(" ",99)),595,99)))+1,99)),0) + IFERROR(VLOOKUP(LEFT(TRIM(MID(SUBSTITUTE($V103,";",REPT(" ",99)),694,99)),FIND(":",TRIM(MID(SUBSTITUTE($V103,";",REPT(" ",99)),694,99)))-1),Materiales!$A$2:$E$502,5,FALSE)*VALUE(MID(TRIM(MID(SUBSTITUTE($V103,";",REPT(" ",99)),694,99)),FIND(":",TRIM(MID(SUBSTITUTE($V103,";",REPT(" ",99)),694,99)))+1,99)),0) + IFERROR(VLOOKUP(LEFT(TRIM(MID(SUBSTITUTE($V103,";",REPT(" ",99)),793,99)),FIND(":",TRIM(MID(SUBSTITUTE($V103,";",REPT(" ",99)),793,99)))-1),Materiales!$A$2:$E$502,5,FALSE)*VALUE(MID(TRIM(MID(SUBSTITUTE($V103,";",REPT(" ",99)),793,99)),FIND(":",TRIM(MID(SUBSTITUTE($V103,";",REPT(" ",99)),793,99)))+1,99)),0) + IFERROR(VLOOKUP(LEFT(TRIM(MID(SUBSTITUTE($V103,";",REPT(" ",99)),892,99)),FIND(":",TRIM(MID(SUBSTITUTE($V103,";",REPT(" ",99)),892,99)))-1),Materiales!$A$2:$E$502,5,FALSE)*VALUE(MID(TRIM(MID(SUBSTITUTE($V103,";",REPT(" ",99)),892,99)),FIND(":",TRIM(MID(SUBSTITUTE($V103,";",REPT(" ",99)),892,99)))+1,99)),0)))</f>
        <v/>
      </c>
      <c r="X103" s="39" t="str">
        <f t="shared" si="13"/>
        <v/>
      </c>
      <c r="Y103" s="64"/>
      <c r="Z103" s="41"/>
      <c r="AA103" s="65"/>
      <c r="AB103" s="14"/>
      <c r="AC103" s="66"/>
      <c r="AD103" s="65"/>
      <c r="AE103" s="44">
        <f t="shared" si="17"/>
        <v>0</v>
      </c>
      <c r="AF103" s="45" t="str">
        <f t="shared" si="18"/>
        <v>#DIV/0!</v>
      </c>
    </row>
    <row r="104" ht="15.75" customHeight="1">
      <c r="A104" s="3"/>
      <c r="B104" s="3"/>
      <c r="C104" s="38"/>
      <c r="D104" s="38"/>
      <c r="E104" s="38"/>
      <c r="F104" s="14"/>
      <c r="G104" s="5" t="str">
        <f t="array" ref="G104">IF($A104="","",IFERROR($F104*(N($C104)*XLOOKUP($B104,Ceras!$A$2:$A$500,Ceras!$G$2:$G$500,0)+IF($D104="",0,N($E104)*XLOOKUP($D104,Ceras!$A$2:$A$500,Ceras!$G$2:$G$500,0))),"Revisar cera"))</f>
        <v/>
      </c>
      <c r="H104" s="5"/>
      <c r="I104" s="3"/>
      <c r="J104" s="14"/>
      <c r="K104" s="5" t="str">
        <f t="array" ref="K104">IF($A104="","",IFERROR($J104*XLOOKUP($I104,Pabilos!$A$2:$A$500,Pabilos!$H$2:$H$500,0),"Revisar pabilo"))</f>
        <v/>
      </c>
      <c r="L104" s="3"/>
      <c r="M104" s="14"/>
      <c r="N104" s="5" t="str">
        <f t="array" ref="N104">IF($A104="","",IFERROR($M104*XLOOKUP($L104,Esencias!$A$2:$A$501,Esencias!$G$2:$G$501,0),"Revisar esencia"))</f>
        <v/>
      </c>
      <c r="O104" s="3"/>
      <c r="P104" s="14"/>
      <c r="Q104" s="5" t="str">
        <f t="array" ref="Q104">IF($A104="","",IFERROR(IF($P104="",1,$P104)*XLOOKUP($O104,Colores!$A$2:$A$500,Colores!$H$2:$H$500,0),"Revisar color"))</f>
        <v/>
      </c>
      <c r="R104" s="3"/>
      <c r="S104" s="5" t="str">
        <f t="array" ref="S104">IF($A104="","",IF($R104="",0,IFERROR(VLOOKUP(LEFT(TRIM(MID(SUBSTITUTE($R104,";",REPT(" ",99)),1,99)),FIND(":",TRIM(MID(SUBSTITUTE($R104,";",REPT(" ",99)),1,99)))-1),Materiales!$A$2:$E$502,5,FALSE)*VALUE(MID(TRIM(MID(SUBSTITUTE($R104,";",REPT(" ",99)),1,99)),FIND(":",TRIM(MID(SUBSTITUTE($R104,";",REPT(" ",99)),1,99)))+1,99)),0) + IFERROR(VLOOKUP(LEFT(TRIM(MID(SUBSTITUTE($R104,";",REPT(" ",99)),100,99)),FIND(":",TRIM(MID(SUBSTITUTE($R104,";",REPT(" ",99)),100,99)))-1),Materiales!$A$2:$E$502,5,FALSE)*VALUE(MID(TRIM(MID(SUBSTITUTE($R104,";",REPT(" ",99)),100,99)),FIND(":",TRIM(MID(SUBSTITUTE($R104,";",REPT(" ",99)),100,99)))+1,99)),0) + IFERROR(VLOOKUP(LEFT(TRIM(MID(SUBSTITUTE($R104,";",REPT(" ",99)),199,99)),FIND(":",TRIM(MID(SUBSTITUTE($R104,";",REPT(" ",99)),199,99)))-1),Materiales!$A$2:$E$502,5,FALSE)*VALUE(MID(TRIM(MID(SUBSTITUTE($R104,";",REPT(" ",99)),199,99)),FIND(":",TRIM(MID(SUBSTITUTE($R104,";",REPT(" ",99)),199,99)))+1,99)),0) + IFERROR(VLOOKUP(LEFT(TRIM(MID(SUBSTITUTE($R104,";",REPT(" ",99)),298,99)),FIND(":",TRIM(MID(SUBSTITUTE($R104,";",REPT(" ",99)),298,99)))-1),Materiales!$A$2:$E$502,5,FALSE)*VALUE(MID(TRIM(MID(SUBSTITUTE($R104,";",REPT(" ",99)),298,99)),FIND(":",TRIM(MID(SUBSTITUTE($R104,";",REPT(" ",99)),298,99)))+1,99)),0) + IFERROR(VLOOKUP(LEFT(TRIM(MID(SUBSTITUTE($R104,";",REPT(" ",99)),397,99)),FIND(":",TRIM(MID(SUBSTITUTE($R104,";",REPT(" ",99)),397,99)))-1),Materiales!$A$2:$E$502,5,FALSE)*VALUE(MID(TRIM(MID(SUBSTITUTE($R104,";",REPT(" ",99)),397,99)),FIND(":",TRIM(MID(SUBSTITUTE($R104,";",REPT(" ",99)),397,99)))+1,99)),0) + IFERROR(VLOOKUP(LEFT(TRIM(MID(SUBSTITUTE($R104,";",REPT(" ",99)),496,99)),FIND(":",TRIM(MID(SUBSTITUTE($R104,";",REPT(" ",99)),496,99)))-1),Materiales!$A$2:$E$502,5,FALSE)*VALUE(MID(TRIM(MID(SUBSTITUTE($R104,";",REPT(" ",99)),496,99)),FIND(":",TRIM(MID(SUBSTITUTE($R104,";",REPT(" ",99)),496,99)))+1,99)),0) + IFERROR(VLOOKUP(LEFT(TRIM(MID(SUBSTITUTE($R104,";",REPT(" ",99)),595,99)),FIND(":",TRIM(MID(SUBSTITUTE($R104,";",REPT(" ",99)),595,99)))-1),Materiales!$A$2:$E$502,5,FALSE)*VALUE(MID(TRIM(MID(SUBSTITUTE($R104,";",REPT(" ",99)),595,99)),FIND(":",TRIM(MID(SUBSTITUTE($R104,";",REPT(" ",99)),595,99)))+1,99)),0) + IFERROR(VLOOKUP(LEFT(TRIM(MID(SUBSTITUTE($R104,";",REPT(" ",99)),694,99)),FIND(":",TRIM(MID(SUBSTITUTE($R104,";",REPT(" ",99)),694,99)))-1),Materiales!$A$2:$E$502,5,FALSE)*VALUE(MID(TRIM(MID(SUBSTITUTE($R104,";",REPT(" ",99)),694,99)),FIND(":",TRIM(MID(SUBSTITUTE($R104,";",REPT(" ",99)),694,99)))+1,99)),0) + IFERROR(VLOOKUP(LEFT(TRIM(MID(SUBSTITUTE($R104,";",REPT(" ",99)),793,99)),FIND(":",TRIM(MID(SUBSTITUTE($R104,";",REPT(" ",99)),793,99)))-1),Materiales!$A$2:$E$502,5,FALSE)*VALUE(MID(TRIM(MID(SUBSTITUTE($R104,";",REPT(" ",99)),793,99)),FIND(":",TRIM(MID(SUBSTITUTE($R104,";",REPT(" ",99)),793,99)))+1,99)),0) + IFERROR(VLOOKUP(LEFT(TRIM(MID(SUBSTITUTE($R104,";",REPT(" ",99)),892,99)),FIND(":",TRIM(MID(SUBSTITUTE($R104,";",REPT(" ",99)),892,99)))-1),Materiales!$A$2:$E$502,5,FALSE)*VALUE(MID(TRIM(MID(SUBSTITUTE($R104,";",REPT(" ",99)),892,99)),FIND(":",TRIM(MID(SUBSTITUTE($R104,";",REPT(" ",99)),892,99)))+1,99)),0)))</f>
        <v/>
      </c>
      <c r="T104" s="3"/>
      <c r="U104" s="5" t="str">
        <f t="array" ref="U104">IF($A104="","",IF($T104="",0,IFERROR(VLOOKUP(LEFT(TRIM(MID(SUBSTITUTE($T104,";",REPT(" ",99)),1,99)),FIND(":",TRIM(MID(SUBSTITUTE($T104,";",REPT(" ",99)),1,99)))-1),Materiales!$A$2:$E$502,5,FALSE)*VALUE(MID(TRIM(MID(SUBSTITUTE($T104,";",REPT(" ",99)),1,99)),FIND(":",TRIM(MID(SUBSTITUTE($T104,";",REPT(" ",99)),1,99)))+1,99)),0) + IFERROR(VLOOKUP(LEFT(TRIM(MID(SUBSTITUTE($T104,";",REPT(" ",99)),100,99)),FIND(":",TRIM(MID(SUBSTITUTE($T104,";",REPT(" ",99)),100,99)))-1),Materiales!$A$2:$E$502,5,FALSE)*VALUE(MID(TRIM(MID(SUBSTITUTE($T104,";",REPT(" ",99)),100,99)),FIND(":",TRIM(MID(SUBSTITUTE($T104,";",REPT(" ",99)),100,99)))+1,99)),0) + IFERROR(VLOOKUP(LEFT(TRIM(MID(SUBSTITUTE($T104,";",REPT(" ",99)),199,99)),FIND(":",TRIM(MID(SUBSTITUTE($T104,";",REPT(" ",99)),199,99)))-1),Materiales!$A$2:$E$502,5,FALSE)*VALUE(MID(TRIM(MID(SUBSTITUTE($T104,";",REPT(" ",99)),199,99)),FIND(":",TRIM(MID(SUBSTITUTE($T104,";",REPT(" ",99)),199,99)))+1,99)),0) + IFERROR(VLOOKUP(LEFT(TRIM(MID(SUBSTITUTE($T104,";",REPT(" ",99)),298,99)),FIND(":",TRIM(MID(SUBSTITUTE($T104,";",REPT(" ",99)),298,99)))-1),Materiales!$A$2:$E$502,5,FALSE)*VALUE(MID(TRIM(MID(SUBSTITUTE($T104,";",REPT(" ",99)),298,99)),FIND(":",TRIM(MID(SUBSTITUTE($T104,";",REPT(" ",99)),298,99)))+1,99)),0) + IFERROR(VLOOKUP(LEFT(TRIM(MID(SUBSTITUTE($T104,";",REPT(" ",99)),397,99)),FIND(":",TRIM(MID(SUBSTITUTE($T104,";",REPT(" ",99)),397,99)))-1),Materiales!$A$2:$E$502,5,FALSE)*VALUE(MID(TRIM(MID(SUBSTITUTE($T104,";",REPT(" ",99)),397,99)),FIND(":",TRIM(MID(SUBSTITUTE($T104,";",REPT(" ",99)),397,99)))+1,99)),0) + IFERROR(VLOOKUP(LEFT(TRIM(MID(SUBSTITUTE($T104,";",REPT(" ",99)),496,99)),FIND(":",TRIM(MID(SUBSTITUTE($T104,";",REPT(" ",99)),496,99)))-1),Materiales!$A$2:$E$502,5,FALSE)*VALUE(MID(TRIM(MID(SUBSTITUTE($T104,";",REPT(" ",99)),496,99)),FIND(":",TRIM(MID(SUBSTITUTE($T104,";",REPT(" ",99)),496,99)))+1,99)),0) + IFERROR(VLOOKUP(LEFT(TRIM(MID(SUBSTITUTE($T104,";",REPT(" ",99)),595,99)),FIND(":",TRIM(MID(SUBSTITUTE($T104,";",REPT(" ",99)),595,99)))-1),Materiales!$A$2:$E$502,5,FALSE)*VALUE(MID(TRIM(MID(SUBSTITUTE($T104,";",REPT(" ",99)),595,99)),FIND(":",TRIM(MID(SUBSTITUTE($T104,";",REPT(" ",99)),595,99)))+1,99)),0) + IFERROR(VLOOKUP(LEFT(TRIM(MID(SUBSTITUTE($T104,";",REPT(" ",99)),694,99)),FIND(":",TRIM(MID(SUBSTITUTE($T104,";",REPT(" ",99)),694,99)))-1),Materiales!$A$2:$E$502,5,FALSE)*VALUE(MID(TRIM(MID(SUBSTITUTE($T104,";",REPT(" ",99)),694,99)),FIND(":",TRIM(MID(SUBSTITUTE($T104,";",REPT(" ",99)),694,99)))+1,99)),0) + IFERROR(VLOOKUP(LEFT(TRIM(MID(SUBSTITUTE($T104,";",REPT(" ",99)),793,99)),FIND(":",TRIM(MID(SUBSTITUTE($T104,";",REPT(" ",99)),793,99)))-1),Materiales!$A$2:$E$502,5,FALSE)*VALUE(MID(TRIM(MID(SUBSTITUTE($T104,";",REPT(" ",99)),793,99)),FIND(":",TRIM(MID(SUBSTITUTE($T104,";",REPT(" ",99)),793,99)))+1,99)),0) + IFERROR(VLOOKUP(LEFT(TRIM(MID(SUBSTITUTE($T104,";",REPT(" ",99)),892,99)),FIND(":",TRIM(MID(SUBSTITUTE($T104,";",REPT(" ",99)),892,99)))-1),Materiales!$A$2:$E$502,5,FALSE)*VALUE(MID(TRIM(MID(SUBSTITUTE($T104,";",REPT(" ",99)),892,99)),FIND(":",TRIM(MID(SUBSTITUTE($T104,";",REPT(" ",99)),892,99)))+1,99)),0)))</f>
        <v/>
      </c>
      <c r="V104" s="3"/>
      <c r="W104" s="5" t="str">
        <f t="array" ref="W104">IF($A104="","",IF($V104="",0,IFERROR(VLOOKUP(LEFT(TRIM(MID(SUBSTITUTE($V104,";",REPT(" ",99)),1,99)),FIND(":",TRIM(MID(SUBSTITUTE($V104,";",REPT(" ",99)),1,99)))-1),Materiales!$A$2:$E$502,5,FALSE)*VALUE(MID(TRIM(MID(SUBSTITUTE($V104,";",REPT(" ",99)),1,99)),FIND(":",TRIM(MID(SUBSTITUTE($V104,";",REPT(" ",99)),1,99)))+1,99)),0) + IFERROR(VLOOKUP(LEFT(TRIM(MID(SUBSTITUTE($V104,";",REPT(" ",99)),100,99)),FIND(":",TRIM(MID(SUBSTITUTE($V104,";",REPT(" ",99)),100,99)))-1),Materiales!$A$2:$E$502,5,FALSE)*VALUE(MID(TRIM(MID(SUBSTITUTE($V104,";",REPT(" ",99)),100,99)),FIND(":",TRIM(MID(SUBSTITUTE($V104,";",REPT(" ",99)),100,99)))+1,99)),0) + IFERROR(VLOOKUP(LEFT(TRIM(MID(SUBSTITUTE($V104,";",REPT(" ",99)),199,99)),FIND(":",TRIM(MID(SUBSTITUTE($V104,";",REPT(" ",99)),199,99)))-1),Materiales!$A$2:$E$502,5,FALSE)*VALUE(MID(TRIM(MID(SUBSTITUTE($V104,";",REPT(" ",99)),199,99)),FIND(":",TRIM(MID(SUBSTITUTE($V104,";",REPT(" ",99)),199,99)))+1,99)),0) + IFERROR(VLOOKUP(LEFT(TRIM(MID(SUBSTITUTE($V104,";",REPT(" ",99)),298,99)),FIND(":",TRIM(MID(SUBSTITUTE($V104,";",REPT(" ",99)),298,99)))-1),Materiales!$A$2:$E$502,5,FALSE)*VALUE(MID(TRIM(MID(SUBSTITUTE($V104,";",REPT(" ",99)),298,99)),FIND(":",TRIM(MID(SUBSTITUTE($V104,";",REPT(" ",99)),298,99)))+1,99)),0) + IFERROR(VLOOKUP(LEFT(TRIM(MID(SUBSTITUTE($V104,";",REPT(" ",99)),397,99)),FIND(":",TRIM(MID(SUBSTITUTE($V104,";",REPT(" ",99)),397,99)))-1),Materiales!$A$2:$E$502,5,FALSE)*VALUE(MID(TRIM(MID(SUBSTITUTE($V104,";",REPT(" ",99)),397,99)),FIND(":",TRIM(MID(SUBSTITUTE($V104,";",REPT(" ",99)),397,99)))+1,99)),0) + IFERROR(VLOOKUP(LEFT(TRIM(MID(SUBSTITUTE($V104,";",REPT(" ",99)),496,99)),FIND(":",TRIM(MID(SUBSTITUTE($V104,";",REPT(" ",99)),496,99)))-1),Materiales!$A$2:$E$502,5,FALSE)*VALUE(MID(TRIM(MID(SUBSTITUTE($V104,";",REPT(" ",99)),496,99)),FIND(":",TRIM(MID(SUBSTITUTE($V104,";",REPT(" ",99)),496,99)))+1,99)),0) + IFERROR(VLOOKUP(LEFT(TRIM(MID(SUBSTITUTE($V104,";",REPT(" ",99)),595,99)),FIND(":",TRIM(MID(SUBSTITUTE($V104,";",REPT(" ",99)),595,99)))-1),Materiales!$A$2:$E$502,5,FALSE)*VALUE(MID(TRIM(MID(SUBSTITUTE($V104,";",REPT(" ",99)),595,99)),FIND(":",TRIM(MID(SUBSTITUTE($V104,";",REPT(" ",99)),595,99)))+1,99)),0) + IFERROR(VLOOKUP(LEFT(TRIM(MID(SUBSTITUTE($V104,";",REPT(" ",99)),694,99)),FIND(":",TRIM(MID(SUBSTITUTE($V104,";",REPT(" ",99)),694,99)))-1),Materiales!$A$2:$E$502,5,FALSE)*VALUE(MID(TRIM(MID(SUBSTITUTE($V104,";",REPT(" ",99)),694,99)),FIND(":",TRIM(MID(SUBSTITUTE($V104,";",REPT(" ",99)),694,99)))+1,99)),0) + IFERROR(VLOOKUP(LEFT(TRIM(MID(SUBSTITUTE($V104,";",REPT(" ",99)),793,99)),FIND(":",TRIM(MID(SUBSTITUTE($V104,";",REPT(" ",99)),793,99)))-1),Materiales!$A$2:$E$502,5,FALSE)*VALUE(MID(TRIM(MID(SUBSTITUTE($V104,";",REPT(" ",99)),793,99)),FIND(":",TRIM(MID(SUBSTITUTE($V104,";",REPT(" ",99)),793,99)))+1,99)),0) + IFERROR(VLOOKUP(LEFT(TRIM(MID(SUBSTITUTE($V104,";",REPT(" ",99)),892,99)),FIND(":",TRIM(MID(SUBSTITUTE($V104,";",REPT(" ",99)),892,99)))-1),Materiales!$A$2:$E$502,5,FALSE)*VALUE(MID(TRIM(MID(SUBSTITUTE($V104,";",REPT(" ",99)),892,99)),FIND(":",TRIM(MID(SUBSTITUTE($V104,";",REPT(" ",99)),892,99)))+1,99)),0)))</f>
        <v/>
      </c>
      <c r="X104" s="39" t="str">
        <f t="shared" si="13"/>
        <v/>
      </c>
      <c r="Y104" s="64"/>
      <c r="Z104" s="41"/>
      <c r="AA104" s="65"/>
      <c r="AB104" s="14"/>
      <c r="AC104" s="66"/>
      <c r="AD104" s="65"/>
      <c r="AE104" s="44">
        <f t="shared" si="17"/>
        <v>0</v>
      </c>
      <c r="AF104" s="45" t="str">
        <f t="shared" si="18"/>
        <v>#DIV/0!</v>
      </c>
    </row>
    <row r="105" ht="15.75" customHeight="1">
      <c r="A105" s="3"/>
      <c r="B105" s="3"/>
      <c r="C105" s="38"/>
      <c r="D105" s="38"/>
      <c r="E105" s="38"/>
      <c r="F105" s="14"/>
      <c r="G105" s="5" t="str">
        <f t="array" ref="G105">IF($A105="","",IFERROR($F105*(N($C105)*XLOOKUP($B105,Ceras!$A$2:$A$500,Ceras!$G$2:$G$500,0)+IF($D105="",0,N($E105)*XLOOKUP($D105,Ceras!$A$2:$A$500,Ceras!$G$2:$G$500,0))),"Revisar cera"))</f>
        <v/>
      </c>
      <c r="H105" s="5"/>
      <c r="I105" s="3"/>
      <c r="J105" s="14"/>
      <c r="K105" s="5" t="str">
        <f t="array" ref="K105">IF($A105="","",IFERROR($J105*XLOOKUP($I105,Pabilos!$A$2:$A$500,Pabilos!$H$2:$H$500,0),"Revisar pabilo"))</f>
        <v/>
      </c>
      <c r="L105" s="3"/>
      <c r="M105" s="14"/>
      <c r="N105" s="5" t="str">
        <f t="array" ref="N105">IF($A105="","",IFERROR($M105*XLOOKUP($L105,Esencias!$A$2:$A$501,Esencias!$G$2:$G$501,0),"Revisar esencia"))</f>
        <v/>
      </c>
      <c r="O105" s="3"/>
      <c r="P105" s="14"/>
      <c r="Q105" s="5" t="str">
        <f t="array" ref="Q105">IF($A105="","",IFERROR(IF($P105="",1,$P105)*XLOOKUP($O105,Colores!$A$2:$A$500,Colores!$H$2:$H$500,0),"Revisar color"))</f>
        <v/>
      </c>
      <c r="R105" s="3"/>
      <c r="S105" s="5" t="str">
        <f t="array" ref="S105">IF($A105="","",IF($R105="",0,IFERROR(VLOOKUP(LEFT(TRIM(MID(SUBSTITUTE($R105,";",REPT(" ",99)),1,99)),FIND(":",TRIM(MID(SUBSTITUTE($R105,";",REPT(" ",99)),1,99)))-1),Materiales!$A$2:$E$502,5,FALSE)*VALUE(MID(TRIM(MID(SUBSTITUTE($R105,";",REPT(" ",99)),1,99)),FIND(":",TRIM(MID(SUBSTITUTE($R105,";",REPT(" ",99)),1,99)))+1,99)),0) + IFERROR(VLOOKUP(LEFT(TRIM(MID(SUBSTITUTE($R105,";",REPT(" ",99)),100,99)),FIND(":",TRIM(MID(SUBSTITUTE($R105,";",REPT(" ",99)),100,99)))-1),Materiales!$A$2:$E$502,5,FALSE)*VALUE(MID(TRIM(MID(SUBSTITUTE($R105,";",REPT(" ",99)),100,99)),FIND(":",TRIM(MID(SUBSTITUTE($R105,";",REPT(" ",99)),100,99)))+1,99)),0) + IFERROR(VLOOKUP(LEFT(TRIM(MID(SUBSTITUTE($R105,";",REPT(" ",99)),199,99)),FIND(":",TRIM(MID(SUBSTITUTE($R105,";",REPT(" ",99)),199,99)))-1),Materiales!$A$2:$E$502,5,FALSE)*VALUE(MID(TRIM(MID(SUBSTITUTE($R105,";",REPT(" ",99)),199,99)),FIND(":",TRIM(MID(SUBSTITUTE($R105,";",REPT(" ",99)),199,99)))+1,99)),0) + IFERROR(VLOOKUP(LEFT(TRIM(MID(SUBSTITUTE($R105,";",REPT(" ",99)),298,99)),FIND(":",TRIM(MID(SUBSTITUTE($R105,";",REPT(" ",99)),298,99)))-1),Materiales!$A$2:$E$502,5,FALSE)*VALUE(MID(TRIM(MID(SUBSTITUTE($R105,";",REPT(" ",99)),298,99)),FIND(":",TRIM(MID(SUBSTITUTE($R105,";",REPT(" ",99)),298,99)))+1,99)),0) + IFERROR(VLOOKUP(LEFT(TRIM(MID(SUBSTITUTE($R105,";",REPT(" ",99)),397,99)),FIND(":",TRIM(MID(SUBSTITUTE($R105,";",REPT(" ",99)),397,99)))-1),Materiales!$A$2:$E$502,5,FALSE)*VALUE(MID(TRIM(MID(SUBSTITUTE($R105,";",REPT(" ",99)),397,99)),FIND(":",TRIM(MID(SUBSTITUTE($R105,";",REPT(" ",99)),397,99)))+1,99)),0) + IFERROR(VLOOKUP(LEFT(TRIM(MID(SUBSTITUTE($R105,";",REPT(" ",99)),496,99)),FIND(":",TRIM(MID(SUBSTITUTE($R105,";",REPT(" ",99)),496,99)))-1),Materiales!$A$2:$E$502,5,FALSE)*VALUE(MID(TRIM(MID(SUBSTITUTE($R105,";",REPT(" ",99)),496,99)),FIND(":",TRIM(MID(SUBSTITUTE($R105,";",REPT(" ",99)),496,99)))+1,99)),0) + IFERROR(VLOOKUP(LEFT(TRIM(MID(SUBSTITUTE($R105,";",REPT(" ",99)),595,99)),FIND(":",TRIM(MID(SUBSTITUTE($R105,";",REPT(" ",99)),595,99)))-1),Materiales!$A$2:$E$502,5,FALSE)*VALUE(MID(TRIM(MID(SUBSTITUTE($R105,";",REPT(" ",99)),595,99)),FIND(":",TRIM(MID(SUBSTITUTE($R105,";",REPT(" ",99)),595,99)))+1,99)),0) + IFERROR(VLOOKUP(LEFT(TRIM(MID(SUBSTITUTE($R105,";",REPT(" ",99)),694,99)),FIND(":",TRIM(MID(SUBSTITUTE($R105,";",REPT(" ",99)),694,99)))-1),Materiales!$A$2:$E$502,5,FALSE)*VALUE(MID(TRIM(MID(SUBSTITUTE($R105,";",REPT(" ",99)),694,99)),FIND(":",TRIM(MID(SUBSTITUTE($R105,";",REPT(" ",99)),694,99)))+1,99)),0) + IFERROR(VLOOKUP(LEFT(TRIM(MID(SUBSTITUTE($R105,";",REPT(" ",99)),793,99)),FIND(":",TRIM(MID(SUBSTITUTE($R105,";",REPT(" ",99)),793,99)))-1),Materiales!$A$2:$E$502,5,FALSE)*VALUE(MID(TRIM(MID(SUBSTITUTE($R105,";",REPT(" ",99)),793,99)),FIND(":",TRIM(MID(SUBSTITUTE($R105,";",REPT(" ",99)),793,99)))+1,99)),0) + IFERROR(VLOOKUP(LEFT(TRIM(MID(SUBSTITUTE($R105,";",REPT(" ",99)),892,99)),FIND(":",TRIM(MID(SUBSTITUTE($R105,";",REPT(" ",99)),892,99)))-1),Materiales!$A$2:$E$502,5,FALSE)*VALUE(MID(TRIM(MID(SUBSTITUTE($R105,";",REPT(" ",99)),892,99)),FIND(":",TRIM(MID(SUBSTITUTE($R105,";",REPT(" ",99)),892,99)))+1,99)),0)))</f>
        <v/>
      </c>
      <c r="T105" s="3"/>
      <c r="U105" s="5" t="str">
        <f t="array" ref="U105">IF($A105="","",IF($T105="",0,IFERROR(VLOOKUP(LEFT(TRIM(MID(SUBSTITUTE($T105,";",REPT(" ",99)),1,99)),FIND(":",TRIM(MID(SUBSTITUTE($T105,";",REPT(" ",99)),1,99)))-1),Materiales!$A$2:$E$502,5,FALSE)*VALUE(MID(TRIM(MID(SUBSTITUTE($T105,";",REPT(" ",99)),1,99)),FIND(":",TRIM(MID(SUBSTITUTE($T105,";",REPT(" ",99)),1,99)))+1,99)),0) + IFERROR(VLOOKUP(LEFT(TRIM(MID(SUBSTITUTE($T105,";",REPT(" ",99)),100,99)),FIND(":",TRIM(MID(SUBSTITUTE($T105,";",REPT(" ",99)),100,99)))-1),Materiales!$A$2:$E$502,5,FALSE)*VALUE(MID(TRIM(MID(SUBSTITUTE($T105,";",REPT(" ",99)),100,99)),FIND(":",TRIM(MID(SUBSTITUTE($T105,";",REPT(" ",99)),100,99)))+1,99)),0) + IFERROR(VLOOKUP(LEFT(TRIM(MID(SUBSTITUTE($T105,";",REPT(" ",99)),199,99)),FIND(":",TRIM(MID(SUBSTITUTE($T105,";",REPT(" ",99)),199,99)))-1),Materiales!$A$2:$E$502,5,FALSE)*VALUE(MID(TRIM(MID(SUBSTITUTE($T105,";",REPT(" ",99)),199,99)),FIND(":",TRIM(MID(SUBSTITUTE($T105,";",REPT(" ",99)),199,99)))+1,99)),0) + IFERROR(VLOOKUP(LEFT(TRIM(MID(SUBSTITUTE($T105,";",REPT(" ",99)),298,99)),FIND(":",TRIM(MID(SUBSTITUTE($T105,";",REPT(" ",99)),298,99)))-1),Materiales!$A$2:$E$502,5,FALSE)*VALUE(MID(TRIM(MID(SUBSTITUTE($T105,";",REPT(" ",99)),298,99)),FIND(":",TRIM(MID(SUBSTITUTE($T105,";",REPT(" ",99)),298,99)))+1,99)),0) + IFERROR(VLOOKUP(LEFT(TRIM(MID(SUBSTITUTE($T105,";",REPT(" ",99)),397,99)),FIND(":",TRIM(MID(SUBSTITUTE($T105,";",REPT(" ",99)),397,99)))-1),Materiales!$A$2:$E$502,5,FALSE)*VALUE(MID(TRIM(MID(SUBSTITUTE($T105,";",REPT(" ",99)),397,99)),FIND(":",TRIM(MID(SUBSTITUTE($T105,";",REPT(" ",99)),397,99)))+1,99)),0) + IFERROR(VLOOKUP(LEFT(TRIM(MID(SUBSTITUTE($T105,";",REPT(" ",99)),496,99)),FIND(":",TRIM(MID(SUBSTITUTE($T105,";",REPT(" ",99)),496,99)))-1),Materiales!$A$2:$E$502,5,FALSE)*VALUE(MID(TRIM(MID(SUBSTITUTE($T105,";",REPT(" ",99)),496,99)),FIND(":",TRIM(MID(SUBSTITUTE($T105,";",REPT(" ",99)),496,99)))+1,99)),0) + IFERROR(VLOOKUP(LEFT(TRIM(MID(SUBSTITUTE($T105,";",REPT(" ",99)),595,99)),FIND(":",TRIM(MID(SUBSTITUTE($T105,";",REPT(" ",99)),595,99)))-1),Materiales!$A$2:$E$502,5,FALSE)*VALUE(MID(TRIM(MID(SUBSTITUTE($T105,";",REPT(" ",99)),595,99)),FIND(":",TRIM(MID(SUBSTITUTE($T105,";",REPT(" ",99)),595,99)))+1,99)),0) + IFERROR(VLOOKUP(LEFT(TRIM(MID(SUBSTITUTE($T105,";",REPT(" ",99)),694,99)),FIND(":",TRIM(MID(SUBSTITUTE($T105,";",REPT(" ",99)),694,99)))-1),Materiales!$A$2:$E$502,5,FALSE)*VALUE(MID(TRIM(MID(SUBSTITUTE($T105,";",REPT(" ",99)),694,99)),FIND(":",TRIM(MID(SUBSTITUTE($T105,";",REPT(" ",99)),694,99)))+1,99)),0) + IFERROR(VLOOKUP(LEFT(TRIM(MID(SUBSTITUTE($T105,";",REPT(" ",99)),793,99)),FIND(":",TRIM(MID(SUBSTITUTE($T105,";",REPT(" ",99)),793,99)))-1),Materiales!$A$2:$E$502,5,FALSE)*VALUE(MID(TRIM(MID(SUBSTITUTE($T105,";",REPT(" ",99)),793,99)),FIND(":",TRIM(MID(SUBSTITUTE($T105,";",REPT(" ",99)),793,99)))+1,99)),0) + IFERROR(VLOOKUP(LEFT(TRIM(MID(SUBSTITUTE($T105,";",REPT(" ",99)),892,99)),FIND(":",TRIM(MID(SUBSTITUTE($T105,";",REPT(" ",99)),892,99)))-1),Materiales!$A$2:$E$502,5,FALSE)*VALUE(MID(TRIM(MID(SUBSTITUTE($T105,";",REPT(" ",99)),892,99)),FIND(":",TRIM(MID(SUBSTITUTE($T105,";",REPT(" ",99)),892,99)))+1,99)),0)))</f>
        <v/>
      </c>
      <c r="V105" s="3"/>
      <c r="W105" s="5" t="str">
        <f t="array" ref="W105">IF($A105="","",IF($V105="",0,IFERROR(VLOOKUP(LEFT(TRIM(MID(SUBSTITUTE($V105,";",REPT(" ",99)),1,99)),FIND(":",TRIM(MID(SUBSTITUTE($V105,";",REPT(" ",99)),1,99)))-1),Materiales!$A$2:$E$502,5,FALSE)*VALUE(MID(TRIM(MID(SUBSTITUTE($V105,";",REPT(" ",99)),1,99)),FIND(":",TRIM(MID(SUBSTITUTE($V105,";",REPT(" ",99)),1,99)))+1,99)),0) + IFERROR(VLOOKUP(LEFT(TRIM(MID(SUBSTITUTE($V105,";",REPT(" ",99)),100,99)),FIND(":",TRIM(MID(SUBSTITUTE($V105,";",REPT(" ",99)),100,99)))-1),Materiales!$A$2:$E$502,5,FALSE)*VALUE(MID(TRIM(MID(SUBSTITUTE($V105,";",REPT(" ",99)),100,99)),FIND(":",TRIM(MID(SUBSTITUTE($V105,";",REPT(" ",99)),100,99)))+1,99)),0) + IFERROR(VLOOKUP(LEFT(TRIM(MID(SUBSTITUTE($V105,";",REPT(" ",99)),199,99)),FIND(":",TRIM(MID(SUBSTITUTE($V105,";",REPT(" ",99)),199,99)))-1),Materiales!$A$2:$E$502,5,FALSE)*VALUE(MID(TRIM(MID(SUBSTITUTE($V105,";",REPT(" ",99)),199,99)),FIND(":",TRIM(MID(SUBSTITUTE($V105,";",REPT(" ",99)),199,99)))+1,99)),0) + IFERROR(VLOOKUP(LEFT(TRIM(MID(SUBSTITUTE($V105,";",REPT(" ",99)),298,99)),FIND(":",TRIM(MID(SUBSTITUTE($V105,";",REPT(" ",99)),298,99)))-1),Materiales!$A$2:$E$502,5,FALSE)*VALUE(MID(TRIM(MID(SUBSTITUTE($V105,";",REPT(" ",99)),298,99)),FIND(":",TRIM(MID(SUBSTITUTE($V105,";",REPT(" ",99)),298,99)))+1,99)),0) + IFERROR(VLOOKUP(LEFT(TRIM(MID(SUBSTITUTE($V105,";",REPT(" ",99)),397,99)),FIND(":",TRIM(MID(SUBSTITUTE($V105,";",REPT(" ",99)),397,99)))-1),Materiales!$A$2:$E$502,5,FALSE)*VALUE(MID(TRIM(MID(SUBSTITUTE($V105,";",REPT(" ",99)),397,99)),FIND(":",TRIM(MID(SUBSTITUTE($V105,";",REPT(" ",99)),397,99)))+1,99)),0) + IFERROR(VLOOKUP(LEFT(TRIM(MID(SUBSTITUTE($V105,";",REPT(" ",99)),496,99)),FIND(":",TRIM(MID(SUBSTITUTE($V105,";",REPT(" ",99)),496,99)))-1),Materiales!$A$2:$E$502,5,FALSE)*VALUE(MID(TRIM(MID(SUBSTITUTE($V105,";",REPT(" ",99)),496,99)),FIND(":",TRIM(MID(SUBSTITUTE($V105,";",REPT(" ",99)),496,99)))+1,99)),0) + IFERROR(VLOOKUP(LEFT(TRIM(MID(SUBSTITUTE($V105,";",REPT(" ",99)),595,99)),FIND(":",TRIM(MID(SUBSTITUTE($V105,";",REPT(" ",99)),595,99)))-1),Materiales!$A$2:$E$502,5,FALSE)*VALUE(MID(TRIM(MID(SUBSTITUTE($V105,";",REPT(" ",99)),595,99)),FIND(":",TRIM(MID(SUBSTITUTE($V105,";",REPT(" ",99)),595,99)))+1,99)),0) + IFERROR(VLOOKUP(LEFT(TRIM(MID(SUBSTITUTE($V105,";",REPT(" ",99)),694,99)),FIND(":",TRIM(MID(SUBSTITUTE($V105,";",REPT(" ",99)),694,99)))-1),Materiales!$A$2:$E$502,5,FALSE)*VALUE(MID(TRIM(MID(SUBSTITUTE($V105,";",REPT(" ",99)),694,99)),FIND(":",TRIM(MID(SUBSTITUTE($V105,";",REPT(" ",99)),694,99)))+1,99)),0) + IFERROR(VLOOKUP(LEFT(TRIM(MID(SUBSTITUTE($V105,";",REPT(" ",99)),793,99)),FIND(":",TRIM(MID(SUBSTITUTE($V105,";",REPT(" ",99)),793,99)))-1),Materiales!$A$2:$E$502,5,FALSE)*VALUE(MID(TRIM(MID(SUBSTITUTE($V105,";",REPT(" ",99)),793,99)),FIND(":",TRIM(MID(SUBSTITUTE($V105,";",REPT(" ",99)),793,99)))+1,99)),0) + IFERROR(VLOOKUP(LEFT(TRIM(MID(SUBSTITUTE($V105,";",REPT(" ",99)),892,99)),FIND(":",TRIM(MID(SUBSTITUTE($V105,";",REPT(" ",99)),892,99)))-1),Materiales!$A$2:$E$502,5,FALSE)*VALUE(MID(TRIM(MID(SUBSTITUTE($V105,";",REPT(" ",99)),892,99)),FIND(":",TRIM(MID(SUBSTITUTE($V105,";",REPT(" ",99)),892,99)))+1,99)),0)))</f>
        <v/>
      </c>
      <c r="X105" s="39" t="str">
        <f t="shared" si="13"/>
        <v/>
      </c>
      <c r="Y105" s="64"/>
      <c r="Z105" s="41"/>
      <c r="AA105" s="65"/>
      <c r="AB105" s="14"/>
      <c r="AC105" s="66"/>
      <c r="AD105" s="65"/>
      <c r="AE105" s="44">
        <f t="shared" si="17"/>
        <v>0</v>
      </c>
      <c r="AF105" s="45" t="str">
        <f t="shared" si="18"/>
        <v>#DIV/0!</v>
      </c>
    </row>
    <row r="106" ht="15.75" customHeight="1">
      <c r="A106" s="3"/>
      <c r="B106" s="3"/>
      <c r="C106" s="38"/>
      <c r="D106" s="38"/>
      <c r="E106" s="38"/>
      <c r="F106" s="14"/>
      <c r="G106" s="5" t="str">
        <f t="array" ref="G106">IF($A106="","",IFERROR($F106*(N($C106)*XLOOKUP($B106,Ceras!$A$2:$A$500,Ceras!$G$2:$G$500,0)+IF($D106="",0,N($E106)*XLOOKUP($D106,Ceras!$A$2:$A$500,Ceras!$G$2:$G$500,0))),"Revisar cera"))</f>
        <v/>
      </c>
      <c r="H106" s="5"/>
      <c r="I106" s="3"/>
      <c r="J106" s="14"/>
      <c r="K106" s="5" t="str">
        <f t="array" ref="K106">IF($A106="","",IFERROR($J106*XLOOKUP($I106,Pabilos!$A$2:$A$500,Pabilos!$H$2:$H$500,0),"Revisar pabilo"))</f>
        <v/>
      </c>
      <c r="L106" s="3"/>
      <c r="M106" s="14"/>
      <c r="N106" s="5" t="str">
        <f t="array" ref="N106">IF($A106="","",IFERROR($M106*XLOOKUP($L106,Esencias!$A$2:$A$501,Esencias!$G$2:$G$501,0),"Revisar esencia"))</f>
        <v/>
      </c>
      <c r="O106" s="3"/>
      <c r="P106" s="14"/>
      <c r="Q106" s="5" t="str">
        <f t="array" ref="Q106">IF($A106="","",IFERROR(IF($P106="",1,$P106)*XLOOKUP($O106,Colores!$A$2:$A$500,Colores!$H$2:$H$500,0),"Revisar color"))</f>
        <v/>
      </c>
      <c r="R106" s="3"/>
      <c r="S106" s="5" t="str">
        <f t="array" ref="S106">IF($A106="","",IF($R106="",0,IFERROR(VLOOKUP(LEFT(TRIM(MID(SUBSTITUTE($R106,";",REPT(" ",99)),1,99)),FIND(":",TRIM(MID(SUBSTITUTE($R106,";",REPT(" ",99)),1,99)))-1),Materiales!$A$2:$E$502,5,FALSE)*VALUE(MID(TRIM(MID(SUBSTITUTE($R106,";",REPT(" ",99)),1,99)),FIND(":",TRIM(MID(SUBSTITUTE($R106,";",REPT(" ",99)),1,99)))+1,99)),0) + IFERROR(VLOOKUP(LEFT(TRIM(MID(SUBSTITUTE($R106,";",REPT(" ",99)),100,99)),FIND(":",TRIM(MID(SUBSTITUTE($R106,";",REPT(" ",99)),100,99)))-1),Materiales!$A$2:$E$502,5,FALSE)*VALUE(MID(TRIM(MID(SUBSTITUTE($R106,";",REPT(" ",99)),100,99)),FIND(":",TRIM(MID(SUBSTITUTE($R106,";",REPT(" ",99)),100,99)))+1,99)),0) + IFERROR(VLOOKUP(LEFT(TRIM(MID(SUBSTITUTE($R106,";",REPT(" ",99)),199,99)),FIND(":",TRIM(MID(SUBSTITUTE($R106,";",REPT(" ",99)),199,99)))-1),Materiales!$A$2:$E$502,5,FALSE)*VALUE(MID(TRIM(MID(SUBSTITUTE($R106,";",REPT(" ",99)),199,99)),FIND(":",TRIM(MID(SUBSTITUTE($R106,";",REPT(" ",99)),199,99)))+1,99)),0) + IFERROR(VLOOKUP(LEFT(TRIM(MID(SUBSTITUTE($R106,";",REPT(" ",99)),298,99)),FIND(":",TRIM(MID(SUBSTITUTE($R106,";",REPT(" ",99)),298,99)))-1),Materiales!$A$2:$E$502,5,FALSE)*VALUE(MID(TRIM(MID(SUBSTITUTE($R106,";",REPT(" ",99)),298,99)),FIND(":",TRIM(MID(SUBSTITUTE($R106,";",REPT(" ",99)),298,99)))+1,99)),0) + IFERROR(VLOOKUP(LEFT(TRIM(MID(SUBSTITUTE($R106,";",REPT(" ",99)),397,99)),FIND(":",TRIM(MID(SUBSTITUTE($R106,";",REPT(" ",99)),397,99)))-1),Materiales!$A$2:$E$502,5,FALSE)*VALUE(MID(TRIM(MID(SUBSTITUTE($R106,";",REPT(" ",99)),397,99)),FIND(":",TRIM(MID(SUBSTITUTE($R106,";",REPT(" ",99)),397,99)))+1,99)),0) + IFERROR(VLOOKUP(LEFT(TRIM(MID(SUBSTITUTE($R106,";",REPT(" ",99)),496,99)),FIND(":",TRIM(MID(SUBSTITUTE($R106,";",REPT(" ",99)),496,99)))-1),Materiales!$A$2:$E$502,5,FALSE)*VALUE(MID(TRIM(MID(SUBSTITUTE($R106,";",REPT(" ",99)),496,99)),FIND(":",TRIM(MID(SUBSTITUTE($R106,";",REPT(" ",99)),496,99)))+1,99)),0) + IFERROR(VLOOKUP(LEFT(TRIM(MID(SUBSTITUTE($R106,";",REPT(" ",99)),595,99)),FIND(":",TRIM(MID(SUBSTITUTE($R106,";",REPT(" ",99)),595,99)))-1),Materiales!$A$2:$E$502,5,FALSE)*VALUE(MID(TRIM(MID(SUBSTITUTE($R106,";",REPT(" ",99)),595,99)),FIND(":",TRIM(MID(SUBSTITUTE($R106,";",REPT(" ",99)),595,99)))+1,99)),0) + IFERROR(VLOOKUP(LEFT(TRIM(MID(SUBSTITUTE($R106,";",REPT(" ",99)),694,99)),FIND(":",TRIM(MID(SUBSTITUTE($R106,";",REPT(" ",99)),694,99)))-1),Materiales!$A$2:$E$502,5,FALSE)*VALUE(MID(TRIM(MID(SUBSTITUTE($R106,";",REPT(" ",99)),694,99)),FIND(":",TRIM(MID(SUBSTITUTE($R106,";",REPT(" ",99)),694,99)))+1,99)),0) + IFERROR(VLOOKUP(LEFT(TRIM(MID(SUBSTITUTE($R106,";",REPT(" ",99)),793,99)),FIND(":",TRIM(MID(SUBSTITUTE($R106,";",REPT(" ",99)),793,99)))-1),Materiales!$A$2:$E$502,5,FALSE)*VALUE(MID(TRIM(MID(SUBSTITUTE($R106,";",REPT(" ",99)),793,99)),FIND(":",TRIM(MID(SUBSTITUTE($R106,";",REPT(" ",99)),793,99)))+1,99)),0) + IFERROR(VLOOKUP(LEFT(TRIM(MID(SUBSTITUTE($R106,";",REPT(" ",99)),892,99)),FIND(":",TRIM(MID(SUBSTITUTE($R106,";",REPT(" ",99)),892,99)))-1),Materiales!$A$2:$E$502,5,FALSE)*VALUE(MID(TRIM(MID(SUBSTITUTE($R106,";",REPT(" ",99)),892,99)),FIND(":",TRIM(MID(SUBSTITUTE($R106,";",REPT(" ",99)),892,99)))+1,99)),0)))</f>
        <v/>
      </c>
      <c r="T106" s="3"/>
      <c r="U106" s="5" t="str">
        <f t="array" ref="U106">IF($A106="","",IF($T106="",0,IFERROR(VLOOKUP(LEFT(TRIM(MID(SUBSTITUTE($T106,";",REPT(" ",99)),1,99)),FIND(":",TRIM(MID(SUBSTITUTE($T106,";",REPT(" ",99)),1,99)))-1),Materiales!$A$2:$E$502,5,FALSE)*VALUE(MID(TRIM(MID(SUBSTITUTE($T106,";",REPT(" ",99)),1,99)),FIND(":",TRIM(MID(SUBSTITUTE($T106,";",REPT(" ",99)),1,99)))+1,99)),0) + IFERROR(VLOOKUP(LEFT(TRIM(MID(SUBSTITUTE($T106,";",REPT(" ",99)),100,99)),FIND(":",TRIM(MID(SUBSTITUTE($T106,";",REPT(" ",99)),100,99)))-1),Materiales!$A$2:$E$502,5,FALSE)*VALUE(MID(TRIM(MID(SUBSTITUTE($T106,";",REPT(" ",99)),100,99)),FIND(":",TRIM(MID(SUBSTITUTE($T106,";",REPT(" ",99)),100,99)))+1,99)),0) + IFERROR(VLOOKUP(LEFT(TRIM(MID(SUBSTITUTE($T106,";",REPT(" ",99)),199,99)),FIND(":",TRIM(MID(SUBSTITUTE($T106,";",REPT(" ",99)),199,99)))-1),Materiales!$A$2:$E$502,5,FALSE)*VALUE(MID(TRIM(MID(SUBSTITUTE($T106,";",REPT(" ",99)),199,99)),FIND(":",TRIM(MID(SUBSTITUTE($T106,";",REPT(" ",99)),199,99)))+1,99)),0) + IFERROR(VLOOKUP(LEFT(TRIM(MID(SUBSTITUTE($T106,";",REPT(" ",99)),298,99)),FIND(":",TRIM(MID(SUBSTITUTE($T106,";",REPT(" ",99)),298,99)))-1),Materiales!$A$2:$E$502,5,FALSE)*VALUE(MID(TRIM(MID(SUBSTITUTE($T106,";",REPT(" ",99)),298,99)),FIND(":",TRIM(MID(SUBSTITUTE($T106,";",REPT(" ",99)),298,99)))+1,99)),0) + IFERROR(VLOOKUP(LEFT(TRIM(MID(SUBSTITUTE($T106,";",REPT(" ",99)),397,99)),FIND(":",TRIM(MID(SUBSTITUTE($T106,";",REPT(" ",99)),397,99)))-1),Materiales!$A$2:$E$502,5,FALSE)*VALUE(MID(TRIM(MID(SUBSTITUTE($T106,";",REPT(" ",99)),397,99)),FIND(":",TRIM(MID(SUBSTITUTE($T106,";",REPT(" ",99)),397,99)))+1,99)),0) + IFERROR(VLOOKUP(LEFT(TRIM(MID(SUBSTITUTE($T106,";",REPT(" ",99)),496,99)),FIND(":",TRIM(MID(SUBSTITUTE($T106,";",REPT(" ",99)),496,99)))-1),Materiales!$A$2:$E$502,5,FALSE)*VALUE(MID(TRIM(MID(SUBSTITUTE($T106,";",REPT(" ",99)),496,99)),FIND(":",TRIM(MID(SUBSTITUTE($T106,";",REPT(" ",99)),496,99)))+1,99)),0) + IFERROR(VLOOKUP(LEFT(TRIM(MID(SUBSTITUTE($T106,";",REPT(" ",99)),595,99)),FIND(":",TRIM(MID(SUBSTITUTE($T106,";",REPT(" ",99)),595,99)))-1),Materiales!$A$2:$E$502,5,FALSE)*VALUE(MID(TRIM(MID(SUBSTITUTE($T106,";",REPT(" ",99)),595,99)),FIND(":",TRIM(MID(SUBSTITUTE($T106,";",REPT(" ",99)),595,99)))+1,99)),0) + IFERROR(VLOOKUP(LEFT(TRIM(MID(SUBSTITUTE($T106,";",REPT(" ",99)),694,99)),FIND(":",TRIM(MID(SUBSTITUTE($T106,";",REPT(" ",99)),694,99)))-1),Materiales!$A$2:$E$502,5,FALSE)*VALUE(MID(TRIM(MID(SUBSTITUTE($T106,";",REPT(" ",99)),694,99)),FIND(":",TRIM(MID(SUBSTITUTE($T106,";",REPT(" ",99)),694,99)))+1,99)),0) + IFERROR(VLOOKUP(LEFT(TRIM(MID(SUBSTITUTE($T106,";",REPT(" ",99)),793,99)),FIND(":",TRIM(MID(SUBSTITUTE($T106,";",REPT(" ",99)),793,99)))-1),Materiales!$A$2:$E$502,5,FALSE)*VALUE(MID(TRIM(MID(SUBSTITUTE($T106,";",REPT(" ",99)),793,99)),FIND(":",TRIM(MID(SUBSTITUTE($T106,";",REPT(" ",99)),793,99)))+1,99)),0) + IFERROR(VLOOKUP(LEFT(TRIM(MID(SUBSTITUTE($T106,";",REPT(" ",99)),892,99)),FIND(":",TRIM(MID(SUBSTITUTE($T106,";",REPT(" ",99)),892,99)))-1),Materiales!$A$2:$E$502,5,FALSE)*VALUE(MID(TRIM(MID(SUBSTITUTE($T106,";",REPT(" ",99)),892,99)),FIND(":",TRIM(MID(SUBSTITUTE($T106,";",REPT(" ",99)),892,99)))+1,99)),0)))</f>
        <v/>
      </c>
      <c r="V106" s="3"/>
      <c r="W106" s="5" t="str">
        <f t="array" ref="W106">IF($A106="","",IF($V106="",0,IFERROR(VLOOKUP(LEFT(TRIM(MID(SUBSTITUTE($V106,";",REPT(" ",99)),1,99)),FIND(":",TRIM(MID(SUBSTITUTE($V106,";",REPT(" ",99)),1,99)))-1),Materiales!$A$2:$E$502,5,FALSE)*VALUE(MID(TRIM(MID(SUBSTITUTE($V106,";",REPT(" ",99)),1,99)),FIND(":",TRIM(MID(SUBSTITUTE($V106,";",REPT(" ",99)),1,99)))+1,99)),0) + IFERROR(VLOOKUP(LEFT(TRIM(MID(SUBSTITUTE($V106,";",REPT(" ",99)),100,99)),FIND(":",TRIM(MID(SUBSTITUTE($V106,";",REPT(" ",99)),100,99)))-1),Materiales!$A$2:$E$502,5,FALSE)*VALUE(MID(TRIM(MID(SUBSTITUTE($V106,";",REPT(" ",99)),100,99)),FIND(":",TRIM(MID(SUBSTITUTE($V106,";",REPT(" ",99)),100,99)))+1,99)),0) + IFERROR(VLOOKUP(LEFT(TRIM(MID(SUBSTITUTE($V106,";",REPT(" ",99)),199,99)),FIND(":",TRIM(MID(SUBSTITUTE($V106,";",REPT(" ",99)),199,99)))-1),Materiales!$A$2:$E$502,5,FALSE)*VALUE(MID(TRIM(MID(SUBSTITUTE($V106,";",REPT(" ",99)),199,99)),FIND(":",TRIM(MID(SUBSTITUTE($V106,";",REPT(" ",99)),199,99)))+1,99)),0) + IFERROR(VLOOKUP(LEFT(TRIM(MID(SUBSTITUTE($V106,";",REPT(" ",99)),298,99)),FIND(":",TRIM(MID(SUBSTITUTE($V106,";",REPT(" ",99)),298,99)))-1),Materiales!$A$2:$E$502,5,FALSE)*VALUE(MID(TRIM(MID(SUBSTITUTE($V106,";",REPT(" ",99)),298,99)),FIND(":",TRIM(MID(SUBSTITUTE($V106,";",REPT(" ",99)),298,99)))+1,99)),0) + IFERROR(VLOOKUP(LEFT(TRIM(MID(SUBSTITUTE($V106,";",REPT(" ",99)),397,99)),FIND(":",TRIM(MID(SUBSTITUTE($V106,";",REPT(" ",99)),397,99)))-1),Materiales!$A$2:$E$502,5,FALSE)*VALUE(MID(TRIM(MID(SUBSTITUTE($V106,";",REPT(" ",99)),397,99)),FIND(":",TRIM(MID(SUBSTITUTE($V106,";",REPT(" ",99)),397,99)))+1,99)),0) + IFERROR(VLOOKUP(LEFT(TRIM(MID(SUBSTITUTE($V106,";",REPT(" ",99)),496,99)),FIND(":",TRIM(MID(SUBSTITUTE($V106,";",REPT(" ",99)),496,99)))-1),Materiales!$A$2:$E$502,5,FALSE)*VALUE(MID(TRIM(MID(SUBSTITUTE($V106,";",REPT(" ",99)),496,99)),FIND(":",TRIM(MID(SUBSTITUTE($V106,";",REPT(" ",99)),496,99)))+1,99)),0) + IFERROR(VLOOKUP(LEFT(TRIM(MID(SUBSTITUTE($V106,";",REPT(" ",99)),595,99)),FIND(":",TRIM(MID(SUBSTITUTE($V106,";",REPT(" ",99)),595,99)))-1),Materiales!$A$2:$E$502,5,FALSE)*VALUE(MID(TRIM(MID(SUBSTITUTE($V106,";",REPT(" ",99)),595,99)),FIND(":",TRIM(MID(SUBSTITUTE($V106,";",REPT(" ",99)),595,99)))+1,99)),0) + IFERROR(VLOOKUP(LEFT(TRIM(MID(SUBSTITUTE($V106,";",REPT(" ",99)),694,99)),FIND(":",TRIM(MID(SUBSTITUTE($V106,";",REPT(" ",99)),694,99)))-1),Materiales!$A$2:$E$502,5,FALSE)*VALUE(MID(TRIM(MID(SUBSTITUTE($V106,";",REPT(" ",99)),694,99)),FIND(":",TRIM(MID(SUBSTITUTE($V106,";",REPT(" ",99)),694,99)))+1,99)),0) + IFERROR(VLOOKUP(LEFT(TRIM(MID(SUBSTITUTE($V106,";",REPT(" ",99)),793,99)),FIND(":",TRIM(MID(SUBSTITUTE($V106,";",REPT(" ",99)),793,99)))-1),Materiales!$A$2:$E$502,5,FALSE)*VALUE(MID(TRIM(MID(SUBSTITUTE($V106,";",REPT(" ",99)),793,99)),FIND(":",TRIM(MID(SUBSTITUTE($V106,";",REPT(" ",99)),793,99)))+1,99)),0) + IFERROR(VLOOKUP(LEFT(TRIM(MID(SUBSTITUTE($V106,";",REPT(" ",99)),892,99)),FIND(":",TRIM(MID(SUBSTITUTE($V106,";",REPT(" ",99)),892,99)))-1),Materiales!$A$2:$E$502,5,FALSE)*VALUE(MID(TRIM(MID(SUBSTITUTE($V106,";",REPT(" ",99)),892,99)),FIND(":",TRIM(MID(SUBSTITUTE($V106,";",REPT(" ",99)),892,99)))+1,99)),0)))</f>
        <v/>
      </c>
      <c r="X106" s="39" t="str">
        <f t="shared" si="13"/>
        <v/>
      </c>
      <c r="Y106" s="64"/>
      <c r="Z106" s="41"/>
      <c r="AA106" s="65"/>
      <c r="AB106" s="14"/>
      <c r="AC106" s="66"/>
      <c r="AD106" s="65"/>
      <c r="AE106" s="44">
        <f t="shared" si="17"/>
        <v>0</v>
      </c>
      <c r="AF106" s="45" t="str">
        <f t="shared" si="18"/>
        <v>#DIV/0!</v>
      </c>
    </row>
    <row r="107" ht="15.75" customHeight="1">
      <c r="A107" s="3"/>
      <c r="B107" s="3"/>
      <c r="C107" s="38"/>
      <c r="D107" s="38"/>
      <c r="E107" s="38"/>
      <c r="F107" s="14"/>
      <c r="G107" s="5" t="str">
        <f t="array" ref="G107">IF($A107="","",IFERROR($F107*(N($C107)*XLOOKUP($B107,Ceras!$A$2:$A$500,Ceras!$G$2:$G$500,0)+IF($D107="",0,N($E107)*XLOOKUP($D107,Ceras!$A$2:$A$500,Ceras!$G$2:$G$500,0))),"Revisar cera"))</f>
        <v/>
      </c>
      <c r="H107" s="5"/>
      <c r="I107" s="3"/>
      <c r="J107" s="14"/>
      <c r="K107" s="5" t="str">
        <f t="array" ref="K107">IF($A107="","",IFERROR($J107*XLOOKUP($I107,Pabilos!$A$2:$A$500,Pabilos!$H$2:$H$500,0),"Revisar pabilo"))</f>
        <v/>
      </c>
      <c r="L107" s="3"/>
      <c r="M107" s="14"/>
      <c r="N107" s="5" t="str">
        <f t="array" ref="N107">IF($A107="","",IFERROR($M107*XLOOKUP($L107,Esencias!$A$2:$A$501,Esencias!$G$2:$G$501,0),"Revisar esencia"))</f>
        <v/>
      </c>
      <c r="O107" s="3"/>
      <c r="P107" s="14"/>
      <c r="Q107" s="5" t="str">
        <f t="array" ref="Q107">IF($A107="","",IFERROR(IF($P107="",1,$P107)*XLOOKUP($O107,Colores!$A$2:$A$500,Colores!$H$2:$H$500,0),"Revisar color"))</f>
        <v/>
      </c>
      <c r="R107" s="3"/>
      <c r="S107" s="5" t="str">
        <f t="array" ref="S107">IF($A107="","",IF($R107="",0,IFERROR(VLOOKUP(LEFT(TRIM(MID(SUBSTITUTE($R107,";",REPT(" ",99)),1,99)),FIND(":",TRIM(MID(SUBSTITUTE($R107,";",REPT(" ",99)),1,99)))-1),Materiales!$A$2:$E$502,5,FALSE)*VALUE(MID(TRIM(MID(SUBSTITUTE($R107,";",REPT(" ",99)),1,99)),FIND(":",TRIM(MID(SUBSTITUTE($R107,";",REPT(" ",99)),1,99)))+1,99)),0) + IFERROR(VLOOKUP(LEFT(TRIM(MID(SUBSTITUTE($R107,";",REPT(" ",99)),100,99)),FIND(":",TRIM(MID(SUBSTITUTE($R107,";",REPT(" ",99)),100,99)))-1),Materiales!$A$2:$E$502,5,FALSE)*VALUE(MID(TRIM(MID(SUBSTITUTE($R107,";",REPT(" ",99)),100,99)),FIND(":",TRIM(MID(SUBSTITUTE($R107,";",REPT(" ",99)),100,99)))+1,99)),0) + IFERROR(VLOOKUP(LEFT(TRIM(MID(SUBSTITUTE($R107,";",REPT(" ",99)),199,99)),FIND(":",TRIM(MID(SUBSTITUTE($R107,";",REPT(" ",99)),199,99)))-1),Materiales!$A$2:$E$502,5,FALSE)*VALUE(MID(TRIM(MID(SUBSTITUTE($R107,";",REPT(" ",99)),199,99)),FIND(":",TRIM(MID(SUBSTITUTE($R107,";",REPT(" ",99)),199,99)))+1,99)),0) + IFERROR(VLOOKUP(LEFT(TRIM(MID(SUBSTITUTE($R107,";",REPT(" ",99)),298,99)),FIND(":",TRIM(MID(SUBSTITUTE($R107,";",REPT(" ",99)),298,99)))-1),Materiales!$A$2:$E$502,5,FALSE)*VALUE(MID(TRIM(MID(SUBSTITUTE($R107,";",REPT(" ",99)),298,99)),FIND(":",TRIM(MID(SUBSTITUTE($R107,";",REPT(" ",99)),298,99)))+1,99)),0) + IFERROR(VLOOKUP(LEFT(TRIM(MID(SUBSTITUTE($R107,";",REPT(" ",99)),397,99)),FIND(":",TRIM(MID(SUBSTITUTE($R107,";",REPT(" ",99)),397,99)))-1),Materiales!$A$2:$E$502,5,FALSE)*VALUE(MID(TRIM(MID(SUBSTITUTE($R107,";",REPT(" ",99)),397,99)),FIND(":",TRIM(MID(SUBSTITUTE($R107,";",REPT(" ",99)),397,99)))+1,99)),0) + IFERROR(VLOOKUP(LEFT(TRIM(MID(SUBSTITUTE($R107,";",REPT(" ",99)),496,99)),FIND(":",TRIM(MID(SUBSTITUTE($R107,";",REPT(" ",99)),496,99)))-1),Materiales!$A$2:$E$502,5,FALSE)*VALUE(MID(TRIM(MID(SUBSTITUTE($R107,";",REPT(" ",99)),496,99)),FIND(":",TRIM(MID(SUBSTITUTE($R107,";",REPT(" ",99)),496,99)))+1,99)),0) + IFERROR(VLOOKUP(LEFT(TRIM(MID(SUBSTITUTE($R107,";",REPT(" ",99)),595,99)),FIND(":",TRIM(MID(SUBSTITUTE($R107,";",REPT(" ",99)),595,99)))-1),Materiales!$A$2:$E$502,5,FALSE)*VALUE(MID(TRIM(MID(SUBSTITUTE($R107,";",REPT(" ",99)),595,99)),FIND(":",TRIM(MID(SUBSTITUTE($R107,";",REPT(" ",99)),595,99)))+1,99)),0) + IFERROR(VLOOKUP(LEFT(TRIM(MID(SUBSTITUTE($R107,";",REPT(" ",99)),694,99)),FIND(":",TRIM(MID(SUBSTITUTE($R107,";",REPT(" ",99)),694,99)))-1),Materiales!$A$2:$E$502,5,FALSE)*VALUE(MID(TRIM(MID(SUBSTITUTE($R107,";",REPT(" ",99)),694,99)),FIND(":",TRIM(MID(SUBSTITUTE($R107,";",REPT(" ",99)),694,99)))+1,99)),0) + IFERROR(VLOOKUP(LEFT(TRIM(MID(SUBSTITUTE($R107,";",REPT(" ",99)),793,99)),FIND(":",TRIM(MID(SUBSTITUTE($R107,";",REPT(" ",99)),793,99)))-1),Materiales!$A$2:$E$502,5,FALSE)*VALUE(MID(TRIM(MID(SUBSTITUTE($R107,";",REPT(" ",99)),793,99)),FIND(":",TRIM(MID(SUBSTITUTE($R107,";",REPT(" ",99)),793,99)))+1,99)),0) + IFERROR(VLOOKUP(LEFT(TRIM(MID(SUBSTITUTE($R107,";",REPT(" ",99)),892,99)),FIND(":",TRIM(MID(SUBSTITUTE($R107,";",REPT(" ",99)),892,99)))-1),Materiales!$A$2:$E$502,5,FALSE)*VALUE(MID(TRIM(MID(SUBSTITUTE($R107,";",REPT(" ",99)),892,99)),FIND(":",TRIM(MID(SUBSTITUTE($R107,";",REPT(" ",99)),892,99)))+1,99)),0)))</f>
        <v/>
      </c>
      <c r="T107" s="3"/>
      <c r="U107" s="5" t="str">
        <f t="array" ref="U107">IF($A107="","",IF($T107="",0,IFERROR(VLOOKUP(LEFT(TRIM(MID(SUBSTITUTE($T107,";",REPT(" ",99)),1,99)),FIND(":",TRIM(MID(SUBSTITUTE($T107,";",REPT(" ",99)),1,99)))-1),Materiales!$A$2:$E$502,5,FALSE)*VALUE(MID(TRIM(MID(SUBSTITUTE($T107,";",REPT(" ",99)),1,99)),FIND(":",TRIM(MID(SUBSTITUTE($T107,";",REPT(" ",99)),1,99)))+1,99)),0) + IFERROR(VLOOKUP(LEFT(TRIM(MID(SUBSTITUTE($T107,";",REPT(" ",99)),100,99)),FIND(":",TRIM(MID(SUBSTITUTE($T107,";",REPT(" ",99)),100,99)))-1),Materiales!$A$2:$E$502,5,FALSE)*VALUE(MID(TRIM(MID(SUBSTITUTE($T107,";",REPT(" ",99)),100,99)),FIND(":",TRIM(MID(SUBSTITUTE($T107,";",REPT(" ",99)),100,99)))+1,99)),0) + IFERROR(VLOOKUP(LEFT(TRIM(MID(SUBSTITUTE($T107,";",REPT(" ",99)),199,99)),FIND(":",TRIM(MID(SUBSTITUTE($T107,";",REPT(" ",99)),199,99)))-1),Materiales!$A$2:$E$502,5,FALSE)*VALUE(MID(TRIM(MID(SUBSTITUTE($T107,";",REPT(" ",99)),199,99)),FIND(":",TRIM(MID(SUBSTITUTE($T107,";",REPT(" ",99)),199,99)))+1,99)),0) + IFERROR(VLOOKUP(LEFT(TRIM(MID(SUBSTITUTE($T107,";",REPT(" ",99)),298,99)),FIND(":",TRIM(MID(SUBSTITUTE($T107,";",REPT(" ",99)),298,99)))-1),Materiales!$A$2:$E$502,5,FALSE)*VALUE(MID(TRIM(MID(SUBSTITUTE($T107,";",REPT(" ",99)),298,99)),FIND(":",TRIM(MID(SUBSTITUTE($T107,";",REPT(" ",99)),298,99)))+1,99)),0) + IFERROR(VLOOKUP(LEFT(TRIM(MID(SUBSTITUTE($T107,";",REPT(" ",99)),397,99)),FIND(":",TRIM(MID(SUBSTITUTE($T107,";",REPT(" ",99)),397,99)))-1),Materiales!$A$2:$E$502,5,FALSE)*VALUE(MID(TRIM(MID(SUBSTITUTE($T107,";",REPT(" ",99)),397,99)),FIND(":",TRIM(MID(SUBSTITUTE($T107,";",REPT(" ",99)),397,99)))+1,99)),0) + IFERROR(VLOOKUP(LEFT(TRIM(MID(SUBSTITUTE($T107,";",REPT(" ",99)),496,99)),FIND(":",TRIM(MID(SUBSTITUTE($T107,";",REPT(" ",99)),496,99)))-1),Materiales!$A$2:$E$502,5,FALSE)*VALUE(MID(TRIM(MID(SUBSTITUTE($T107,";",REPT(" ",99)),496,99)),FIND(":",TRIM(MID(SUBSTITUTE($T107,";",REPT(" ",99)),496,99)))+1,99)),0) + IFERROR(VLOOKUP(LEFT(TRIM(MID(SUBSTITUTE($T107,";",REPT(" ",99)),595,99)),FIND(":",TRIM(MID(SUBSTITUTE($T107,";",REPT(" ",99)),595,99)))-1),Materiales!$A$2:$E$502,5,FALSE)*VALUE(MID(TRIM(MID(SUBSTITUTE($T107,";",REPT(" ",99)),595,99)),FIND(":",TRIM(MID(SUBSTITUTE($T107,";",REPT(" ",99)),595,99)))+1,99)),0) + IFERROR(VLOOKUP(LEFT(TRIM(MID(SUBSTITUTE($T107,";",REPT(" ",99)),694,99)),FIND(":",TRIM(MID(SUBSTITUTE($T107,";",REPT(" ",99)),694,99)))-1),Materiales!$A$2:$E$502,5,FALSE)*VALUE(MID(TRIM(MID(SUBSTITUTE($T107,";",REPT(" ",99)),694,99)),FIND(":",TRIM(MID(SUBSTITUTE($T107,";",REPT(" ",99)),694,99)))+1,99)),0) + IFERROR(VLOOKUP(LEFT(TRIM(MID(SUBSTITUTE($T107,";",REPT(" ",99)),793,99)),FIND(":",TRIM(MID(SUBSTITUTE($T107,";",REPT(" ",99)),793,99)))-1),Materiales!$A$2:$E$502,5,FALSE)*VALUE(MID(TRIM(MID(SUBSTITUTE($T107,";",REPT(" ",99)),793,99)),FIND(":",TRIM(MID(SUBSTITUTE($T107,";",REPT(" ",99)),793,99)))+1,99)),0) + IFERROR(VLOOKUP(LEFT(TRIM(MID(SUBSTITUTE($T107,";",REPT(" ",99)),892,99)),FIND(":",TRIM(MID(SUBSTITUTE($T107,";",REPT(" ",99)),892,99)))-1),Materiales!$A$2:$E$502,5,FALSE)*VALUE(MID(TRIM(MID(SUBSTITUTE($T107,";",REPT(" ",99)),892,99)),FIND(":",TRIM(MID(SUBSTITUTE($T107,";",REPT(" ",99)),892,99)))+1,99)),0)))</f>
        <v/>
      </c>
      <c r="V107" s="3"/>
      <c r="W107" s="5" t="str">
        <f t="array" ref="W107">IF($A107="","",IF($V107="",0,IFERROR(VLOOKUP(LEFT(TRIM(MID(SUBSTITUTE($V107,";",REPT(" ",99)),1,99)),FIND(":",TRIM(MID(SUBSTITUTE($V107,";",REPT(" ",99)),1,99)))-1),Materiales!$A$2:$E$502,5,FALSE)*VALUE(MID(TRIM(MID(SUBSTITUTE($V107,";",REPT(" ",99)),1,99)),FIND(":",TRIM(MID(SUBSTITUTE($V107,";",REPT(" ",99)),1,99)))+1,99)),0) + IFERROR(VLOOKUP(LEFT(TRIM(MID(SUBSTITUTE($V107,";",REPT(" ",99)),100,99)),FIND(":",TRIM(MID(SUBSTITUTE($V107,";",REPT(" ",99)),100,99)))-1),Materiales!$A$2:$E$502,5,FALSE)*VALUE(MID(TRIM(MID(SUBSTITUTE($V107,";",REPT(" ",99)),100,99)),FIND(":",TRIM(MID(SUBSTITUTE($V107,";",REPT(" ",99)),100,99)))+1,99)),0) + IFERROR(VLOOKUP(LEFT(TRIM(MID(SUBSTITUTE($V107,";",REPT(" ",99)),199,99)),FIND(":",TRIM(MID(SUBSTITUTE($V107,";",REPT(" ",99)),199,99)))-1),Materiales!$A$2:$E$502,5,FALSE)*VALUE(MID(TRIM(MID(SUBSTITUTE($V107,";",REPT(" ",99)),199,99)),FIND(":",TRIM(MID(SUBSTITUTE($V107,";",REPT(" ",99)),199,99)))+1,99)),0) + IFERROR(VLOOKUP(LEFT(TRIM(MID(SUBSTITUTE($V107,";",REPT(" ",99)),298,99)),FIND(":",TRIM(MID(SUBSTITUTE($V107,";",REPT(" ",99)),298,99)))-1),Materiales!$A$2:$E$502,5,FALSE)*VALUE(MID(TRIM(MID(SUBSTITUTE($V107,";",REPT(" ",99)),298,99)),FIND(":",TRIM(MID(SUBSTITUTE($V107,";",REPT(" ",99)),298,99)))+1,99)),0) + IFERROR(VLOOKUP(LEFT(TRIM(MID(SUBSTITUTE($V107,";",REPT(" ",99)),397,99)),FIND(":",TRIM(MID(SUBSTITUTE($V107,";",REPT(" ",99)),397,99)))-1),Materiales!$A$2:$E$502,5,FALSE)*VALUE(MID(TRIM(MID(SUBSTITUTE($V107,";",REPT(" ",99)),397,99)),FIND(":",TRIM(MID(SUBSTITUTE($V107,";",REPT(" ",99)),397,99)))+1,99)),0) + IFERROR(VLOOKUP(LEFT(TRIM(MID(SUBSTITUTE($V107,";",REPT(" ",99)),496,99)),FIND(":",TRIM(MID(SUBSTITUTE($V107,";",REPT(" ",99)),496,99)))-1),Materiales!$A$2:$E$502,5,FALSE)*VALUE(MID(TRIM(MID(SUBSTITUTE($V107,";",REPT(" ",99)),496,99)),FIND(":",TRIM(MID(SUBSTITUTE($V107,";",REPT(" ",99)),496,99)))+1,99)),0) + IFERROR(VLOOKUP(LEFT(TRIM(MID(SUBSTITUTE($V107,";",REPT(" ",99)),595,99)),FIND(":",TRIM(MID(SUBSTITUTE($V107,";",REPT(" ",99)),595,99)))-1),Materiales!$A$2:$E$502,5,FALSE)*VALUE(MID(TRIM(MID(SUBSTITUTE($V107,";",REPT(" ",99)),595,99)),FIND(":",TRIM(MID(SUBSTITUTE($V107,";",REPT(" ",99)),595,99)))+1,99)),0) + IFERROR(VLOOKUP(LEFT(TRIM(MID(SUBSTITUTE($V107,";",REPT(" ",99)),694,99)),FIND(":",TRIM(MID(SUBSTITUTE($V107,";",REPT(" ",99)),694,99)))-1),Materiales!$A$2:$E$502,5,FALSE)*VALUE(MID(TRIM(MID(SUBSTITUTE($V107,";",REPT(" ",99)),694,99)),FIND(":",TRIM(MID(SUBSTITUTE($V107,";",REPT(" ",99)),694,99)))+1,99)),0) + IFERROR(VLOOKUP(LEFT(TRIM(MID(SUBSTITUTE($V107,";",REPT(" ",99)),793,99)),FIND(":",TRIM(MID(SUBSTITUTE($V107,";",REPT(" ",99)),793,99)))-1),Materiales!$A$2:$E$502,5,FALSE)*VALUE(MID(TRIM(MID(SUBSTITUTE($V107,";",REPT(" ",99)),793,99)),FIND(":",TRIM(MID(SUBSTITUTE($V107,";",REPT(" ",99)),793,99)))+1,99)),0) + IFERROR(VLOOKUP(LEFT(TRIM(MID(SUBSTITUTE($V107,";",REPT(" ",99)),892,99)),FIND(":",TRIM(MID(SUBSTITUTE($V107,";",REPT(" ",99)),892,99)))-1),Materiales!$A$2:$E$502,5,FALSE)*VALUE(MID(TRIM(MID(SUBSTITUTE($V107,";",REPT(" ",99)),892,99)),FIND(":",TRIM(MID(SUBSTITUTE($V107,";",REPT(" ",99)),892,99)))+1,99)),0)))</f>
        <v/>
      </c>
      <c r="X107" s="39" t="str">
        <f t="shared" si="13"/>
        <v/>
      </c>
      <c r="Y107" s="64"/>
      <c r="Z107" s="41"/>
      <c r="AA107" s="65"/>
      <c r="AB107" s="14"/>
      <c r="AC107" s="66"/>
      <c r="AD107" s="65"/>
      <c r="AE107" s="44">
        <f t="shared" si="17"/>
        <v>0</v>
      </c>
      <c r="AF107" s="45" t="str">
        <f t="shared" si="18"/>
        <v>#DIV/0!</v>
      </c>
    </row>
    <row r="108" ht="15.75" customHeight="1">
      <c r="A108" s="3"/>
      <c r="B108" s="3"/>
      <c r="C108" s="38"/>
      <c r="D108" s="38"/>
      <c r="E108" s="38"/>
      <c r="F108" s="14"/>
      <c r="G108" s="5" t="str">
        <f t="array" ref="G108">IF($A108="","",IFERROR($F108*(N($C108)*XLOOKUP($B108,Ceras!$A$2:$A$500,Ceras!$G$2:$G$500,0)+IF($D108="",0,N($E108)*XLOOKUP($D108,Ceras!$A$2:$A$500,Ceras!$G$2:$G$500,0))),"Revisar cera"))</f>
        <v/>
      </c>
      <c r="H108" s="5"/>
      <c r="I108" s="3"/>
      <c r="J108" s="14"/>
      <c r="K108" s="5" t="str">
        <f t="array" ref="K108">IF($A108="","",IFERROR($J108*XLOOKUP($I108,Pabilos!$A$2:$A$500,Pabilos!$H$2:$H$500,0),"Revisar pabilo"))</f>
        <v/>
      </c>
      <c r="L108" s="3"/>
      <c r="M108" s="14"/>
      <c r="N108" s="5" t="str">
        <f t="array" ref="N108">IF($A108="","",IFERROR($M108*XLOOKUP($L108,Esencias!$A$2:$A$501,Esencias!$G$2:$G$501,0),"Revisar esencia"))</f>
        <v/>
      </c>
      <c r="O108" s="3"/>
      <c r="P108" s="14"/>
      <c r="Q108" s="5" t="str">
        <f t="array" ref="Q108">IF($A108="","",IFERROR(IF($P108="",1,$P108)*XLOOKUP($O108,Colores!$A$2:$A$500,Colores!$H$2:$H$500,0),"Revisar color"))</f>
        <v/>
      </c>
      <c r="R108" s="3"/>
      <c r="S108" s="5" t="str">
        <f t="array" ref="S108">IF($A108="","",IF($R108="",0,IFERROR(VLOOKUP(LEFT(TRIM(MID(SUBSTITUTE($R108,";",REPT(" ",99)),1,99)),FIND(":",TRIM(MID(SUBSTITUTE($R108,";",REPT(" ",99)),1,99)))-1),Materiales!$A$2:$E$502,5,FALSE)*VALUE(MID(TRIM(MID(SUBSTITUTE($R108,";",REPT(" ",99)),1,99)),FIND(":",TRIM(MID(SUBSTITUTE($R108,";",REPT(" ",99)),1,99)))+1,99)),0) + IFERROR(VLOOKUP(LEFT(TRIM(MID(SUBSTITUTE($R108,";",REPT(" ",99)),100,99)),FIND(":",TRIM(MID(SUBSTITUTE($R108,";",REPT(" ",99)),100,99)))-1),Materiales!$A$2:$E$502,5,FALSE)*VALUE(MID(TRIM(MID(SUBSTITUTE($R108,";",REPT(" ",99)),100,99)),FIND(":",TRIM(MID(SUBSTITUTE($R108,";",REPT(" ",99)),100,99)))+1,99)),0) + IFERROR(VLOOKUP(LEFT(TRIM(MID(SUBSTITUTE($R108,";",REPT(" ",99)),199,99)),FIND(":",TRIM(MID(SUBSTITUTE($R108,";",REPT(" ",99)),199,99)))-1),Materiales!$A$2:$E$502,5,FALSE)*VALUE(MID(TRIM(MID(SUBSTITUTE($R108,";",REPT(" ",99)),199,99)),FIND(":",TRIM(MID(SUBSTITUTE($R108,";",REPT(" ",99)),199,99)))+1,99)),0) + IFERROR(VLOOKUP(LEFT(TRIM(MID(SUBSTITUTE($R108,";",REPT(" ",99)),298,99)),FIND(":",TRIM(MID(SUBSTITUTE($R108,";",REPT(" ",99)),298,99)))-1),Materiales!$A$2:$E$502,5,FALSE)*VALUE(MID(TRIM(MID(SUBSTITUTE($R108,";",REPT(" ",99)),298,99)),FIND(":",TRIM(MID(SUBSTITUTE($R108,";",REPT(" ",99)),298,99)))+1,99)),0) + IFERROR(VLOOKUP(LEFT(TRIM(MID(SUBSTITUTE($R108,";",REPT(" ",99)),397,99)),FIND(":",TRIM(MID(SUBSTITUTE($R108,";",REPT(" ",99)),397,99)))-1),Materiales!$A$2:$E$502,5,FALSE)*VALUE(MID(TRIM(MID(SUBSTITUTE($R108,";",REPT(" ",99)),397,99)),FIND(":",TRIM(MID(SUBSTITUTE($R108,";",REPT(" ",99)),397,99)))+1,99)),0) + IFERROR(VLOOKUP(LEFT(TRIM(MID(SUBSTITUTE($R108,";",REPT(" ",99)),496,99)),FIND(":",TRIM(MID(SUBSTITUTE($R108,";",REPT(" ",99)),496,99)))-1),Materiales!$A$2:$E$502,5,FALSE)*VALUE(MID(TRIM(MID(SUBSTITUTE($R108,";",REPT(" ",99)),496,99)),FIND(":",TRIM(MID(SUBSTITUTE($R108,";",REPT(" ",99)),496,99)))+1,99)),0) + IFERROR(VLOOKUP(LEFT(TRIM(MID(SUBSTITUTE($R108,";",REPT(" ",99)),595,99)),FIND(":",TRIM(MID(SUBSTITUTE($R108,";",REPT(" ",99)),595,99)))-1),Materiales!$A$2:$E$502,5,FALSE)*VALUE(MID(TRIM(MID(SUBSTITUTE($R108,";",REPT(" ",99)),595,99)),FIND(":",TRIM(MID(SUBSTITUTE($R108,";",REPT(" ",99)),595,99)))+1,99)),0) + IFERROR(VLOOKUP(LEFT(TRIM(MID(SUBSTITUTE($R108,";",REPT(" ",99)),694,99)),FIND(":",TRIM(MID(SUBSTITUTE($R108,";",REPT(" ",99)),694,99)))-1),Materiales!$A$2:$E$502,5,FALSE)*VALUE(MID(TRIM(MID(SUBSTITUTE($R108,";",REPT(" ",99)),694,99)),FIND(":",TRIM(MID(SUBSTITUTE($R108,";",REPT(" ",99)),694,99)))+1,99)),0) + IFERROR(VLOOKUP(LEFT(TRIM(MID(SUBSTITUTE($R108,";",REPT(" ",99)),793,99)),FIND(":",TRIM(MID(SUBSTITUTE($R108,";",REPT(" ",99)),793,99)))-1),Materiales!$A$2:$E$502,5,FALSE)*VALUE(MID(TRIM(MID(SUBSTITUTE($R108,";",REPT(" ",99)),793,99)),FIND(":",TRIM(MID(SUBSTITUTE($R108,";",REPT(" ",99)),793,99)))+1,99)),0) + IFERROR(VLOOKUP(LEFT(TRIM(MID(SUBSTITUTE($R108,";",REPT(" ",99)),892,99)),FIND(":",TRIM(MID(SUBSTITUTE($R108,";",REPT(" ",99)),892,99)))-1),Materiales!$A$2:$E$502,5,FALSE)*VALUE(MID(TRIM(MID(SUBSTITUTE($R108,";",REPT(" ",99)),892,99)),FIND(":",TRIM(MID(SUBSTITUTE($R108,";",REPT(" ",99)),892,99)))+1,99)),0)))</f>
        <v/>
      </c>
      <c r="T108" s="3"/>
      <c r="U108" s="5" t="str">
        <f t="array" ref="U108">IF($A108="","",IF($T108="",0,IFERROR(VLOOKUP(LEFT(TRIM(MID(SUBSTITUTE($T108,";",REPT(" ",99)),1,99)),FIND(":",TRIM(MID(SUBSTITUTE($T108,";",REPT(" ",99)),1,99)))-1),Materiales!$A$2:$E$502,5,FALSE)*VALUE(MID(TRIM(MID(SUBSTITUTE($T108,";",REPT(" ",99)),1,99)),FIND(":",TRIM(MID(SUBSTITUTE($T108,";",REPT(" ",99)),1,99)))+1,99)),0) + IFERROR(VLOOKUP(LEFT(TRIM(MID(SUBSTITUTE($T108,";",REPT(" ",99)),100,99)),FIND(":",TRIM(MID(SUBSTITUTE($T108,";",REPT(" ",99)),100,99)))-1),Materiales!$A$2:$E$502,5,FALSE)*VALUE(MID(TRIM(MID(SUBSTITUTE($T108,";",REPT(" ",99)),100,99)),FIND(":",TRIM(MID(SUBSTITUTE($T108,";",REPT(" ",99)),100,99)))+1,99)),0) + IFERROR(VLOOKUP(LEFT(TRIM(MID(SUBSTITUTE($T108,";",REPT(" ",99)),199,99)),FIND(":",TRIM(MID(SUBSTITUTE($T108,";",REPT(" ",99)),199,99)))-1),Materiales!$A$2:$E$502,5,FALSE)*VALUE(MID(TRIM(MID(SUBSTITUTE($T108,";",REPT(" ",99)),199,99)),FIND(":",TRIM(MID(SUBSTITUTE($T108,";",REPT(" ",99)),199,99)))+1,99)),0) + IFERROR(VLOOKUP(LEFT(TRIM(MID(SUBSTITUTE($T108,";",REPT(" ",99)),298,99)),FIND(":",TRIM(MID(SUBSTITUTE($T108,";",REPT(" ",99)),298,99)))-1),Materiales!$A$2:$E$502,5,FALSE)*VALUE(MID(TRIM(MID(SUBSTITUTE($T108,";",REPT(" ",99)),298,99)),FIND(":",TRIM(MID(SUBSTITUTE($T108,";",REPT(" ",99)),298,99)))+1,99)),0) + IFERROR(VLOOKUP(LEFT(TRIM(MID(SUBSTITUTE($T108,";",REPT(" ",99)),397,99)),FIND(":",TRIM(MID(SUBSTITUTE($T108,";",REPT(" ",99)),397,99)))-1),Materiales!$A$2:$E$502,5,FALSE)*VALUE(MID(TRIM(MID(SUBSTITUTE($T108,";",REPT(" ",99)),397,99)),FIND(":",TRIM(MID(SUBSTITUTE($T108,";",REPT(" ",99)),397,99)))+1,99)),0) + IFERROR(VLOOKUP(LEFT(TRIM(MID(SUBSTITUTE($T108,";",REPT(" ",99)),496,99)),FIND(":",TRIM(MID(SUBSTITUTE($T108,";",REPT(" ",99)),496,99)))-1),Materiales!$A$2:$E$502,5,FALSE)*VALUE(MID(TRIM(MID(SUBSTITUTE($T108,";",REPT(" ",99)),496,99)),FIND(":",TRIM(MID(SUBSTITUTE($T108,";",REPT(" ",99)),496,99)))+1,99)),0) + IFERROR(VLOOKUP(LEFT(TRIM(MID(SUBSTITUTE($T108,";",REPT(" ",99)),595,99)),FIND(":",TRIM(MID(SUBSTITUTE($T108,";",REPT(" ",99)),595,99)))-1),Materiales!$A$2:$E$502,5,FALSE)*VALUE(MID(TRIM(MID(SUBSTITUTE($T108,";",REPT(" ",99)),595,99)),FIND(":",TRIM(MID(SUBSTITUTE($T108,";",REPT(" ",99)),595,99)))+1,99)),0) + IFERROR(VLOOKUP(LEFT(TRIM(MID(SUBSTITUTE($T108,";",REPT(" ",99)),694,99)),FIND(":",TRIM(MID(SUBSTITUTE($T108,";",REPT(" ",99)),694,99)))-1),Materiales!$A$2:$E$502,5,FALSE)*VALUE(MID(TRIM(MID(SUBSTITUTE($T108,";",REPT(" ",99)),694,99)),FIND(":",TRIM(MID(SUBSTITUTE($T108,";",REPT(" ",99)),694,99)))+1,99)),0) + IFERROR(VLOOKUP(LEFT(TRIM(MID(SUBSTITUTE($T108,";",REPT(" ",99)),793,99)),FIND(":",TRIM(MID(SUBSTITUTE($T108,";",REPT(" ",99)),793,99)))-1),Materiales!$A$2:$E$502,5,FALSE)*VALUE(MID(TRIM(MID(SUBSTITUTE($T108,";",REPT(" ",99)),793,99)),FIND(":",TRIM(MID(SUBSTITUTE($T108,";",REPT(" ",99)),793,99)))+1,99)),0) + IFERROR(VLOOKUP(LEFT(TRIM(MID(SUBSTITUTE($T108,";",REPT(" ",99)),892,99)),FIND(":",TRIM(MID(SUBSTITUTE($T108,";",REPT(" ",99)),892,99)))-1),Materiales!$A$2:$E$502,5,FALSE)*VALUE(MID(TRIM(MID(SUBSTITUTE($T108,";",REPT(" ",99)),892,99)),FIND(":",TRIM(MID(SUBSTITUTE($T108,";",REPT(" ",99)),892,99)))+1,99)),0)))</f>
        <v/>
      </c>
      <c r="V108" s="3"/>
      <c r="W108" s="5" t="str">
        <f t="array" ref="W108">IF($A108="","",IF($V108="",0,IFERROR(VLOOKUP(LEFT(TRIM(MID(SUBSTITUTE($V108,";",REPT(" ",99)),1,99)),FIND(":",TRIM(MID(SUBSTITUTE($V108,";",REPT(" ",99)),1,99)))-1),Materiales!$A$2:$E$502,5,FALSE)*VALUE(MID(TRIM(MID(SUBSTITUTE($V108,";",REPT(" ",99)),1,99)),FIND(":",TRIM(MID(SUBSTITUTE($V108,";",REPT(" ",99)),1,99)))+1,99)),0) + IFERROR(VLOOKUP(LEFT(TRIM(MID(SUBSTITUTE($V108,";",REPT(" ",99)),100,99)),FIND(":",TRIM(MID(SUBSTITUTE($V108,";",REPT(" ",99)),100,99)))-1),Materiales!$A$2:$E$502,5,FALSE)*VALUE(MID(TRIM(MID(SUBSTITUTE($V108,";",REPT(" ",99)),100,99)),FIND(":",TRIM(MID(SUBSTITUTE($V108,";",REPT(" ",99)),100,99)))+1,99)),0) + IFERROR(VLOOKUP(LEFT(TRIM(MID(SUBSTITUTE($V108,";",REPT(" ",99)),199,99)),FIND(":",TRIM(MID(SUBSTITUTE($V108,";",REPT(" ",99)),199,99)))-1),Materiales!$A$2:$E$502,5,FALSE)*VALUE(MID(TRIM(MID(SUBSTITUTE($V108,";",REPT(" ",99)),199,99)),FIND(":",TRIM(MID(SUBSTITUTE($V108,";",REPT(" ",99)),199,99)))+1,99)),0) + IFERROR(VLOOKUP(LEFT(TRIM(MID(SUBSTITUTE($V108,";",REPT(" ",99)),298,99)),FIND(":",TRIM(MID(SUBSTITUTE($V108,";",REPT(" ",99)),298,99)))-1),Materiales!$A$2:$E$502,5,FALSE)*VALUE(MID(TRIM(MID(SUBSTITUTE($V108,";",REPT(" ",99)),298,99)),FIND(":",TRIM(MID(SUBSTITUTE($V108,";",REPT(" ",99)),298,99)))+1,99)),0) + IFERROR(VLOOKUP(LEFT(TRIM(MID(SUBSTITUTE($V108,";",REPT(" ",99)),397,99)),FIND(":",TRIM(MID(SUBSTITUTE($V108,";",REPT(" ",99)),397,99)))-1),Materiales!$A$2:$E$502,5,FALSE)*VALUE(MID(TRIM(MID(SUBSTITUTE($V108,";",REPT(" ",99)),397,99)),FIND(":",TRIM(MID(SUBSTITUTE($V108,";",REPT(" ",99)),397,99)))+1,99)),0) + IFERROR(VLOOKUP(LEFT(TRIM(MID(SUBSTITUTE($V108,";",REPT(" ",99)),496,99)),FIND(":",TRIM(MID(SUBSTITUTE($V108,";",REPT(" ",99)),496,99)))-1),Materiales!$A$2:$E$502,5,FALSE)*VALUE(MID(TRIM(MID(SUBSTITUTE($V108,";",REPT(" ",99)),496,99)),FIND(":",TRIM(MID(SUBSTITUTE($V108,";",REPT(" ",99)),496,99)))+1,99)),0) + IFERROR(VLOOKUP(LEFT(TRIM(MID(SUBSTITUTE($V108,";",REPT(" ",99)),595,99)),FIND(":",TRIM(MID(SUBSTITUTE($V108,";",REPT(" ",99)),595,99)))-1),Materiales!$A$2:$E$502,5,FALSE)*VALUE(MID(TRIM(MID(SUBSTITUTE($V108,";",REPT(" ",99)),595,99)),FIND(":",TRIM(MID(SUBSTITUTE($V108,";",REPT(" ",99)),595,99)))+1,99)),0) + IFERROR(VLOOKUP(LEFT(TRIM(MID(SUBSTITUTE($V108,";",REPT(" ",99)),694,99)),FIND(":",TRIM(MID(SUBSTITUTE($V108,";",REPT(" ",99)),694,99)))-1),Materiales!$A$2:$E$502,5,FALSE)*VALUE(MID(TRIM(MID(SUBSTITUTE($V108,";",REPT(" ",99)),694,99)),FIND(":",TRIM(MID(SUBSTITUTE($V108,";",REPT(" ",99)),694,99)))+1,99)),0) + IFERROR(VLOOKUP(LEFT(TRIM(MID(SUBSTITUTE($V108,";",REPT(" ",99)),793,99)),FIND(":",TRIM(MID(SUBSTITUTE($V108,";",REPT(" ",99)),793,99)))-1),Materiales!$A$2:$E$502,5,FALSE)*VALUE(MID(TRIM(MID(SUBSTITUTE($V108,";",REPT(" ",99)),793,99)),FIND(":",TRIM(MID(SUBSTITUTE($V108,";",REPT(" ",99)),793,99)))+1,99)),0) + IFERROR(VLOOKUP(LEFT(TRIM(MID(SUBSTITUTE($V108,";",REPT(" ",99)),892,99)),FIND(":",TRIM(MID(SUBSTITUTE($V108,";",REPT(" ",99)),892,99)))-1),Materiales!$A$2:$E$502,5,FALSE)*VALUE(MID(TRIM(MID(SUBSTITUTE($V108,";",REPT(" ",99)),892,99)),FIND(":",TRIM(MID(SUBSTITUTE($V108,";",REPT(" ",99)),892,99)))+1,99)),0)))</f>
        <v/>
      </c>
      <c r="X108" s="39" t="str">
        <f t="shared" si="13"/>
        <v/>
      </c>
      <c r="Y108" s="64"/>
      <c r="Z108" s="41"/>
      <c r="AA108" s="65"/>
      <c r="AB108" s="14"/>
      <c r="AC108" s="66"/>
      <c r="AD108" s="65"/>
      <c r="AE108" s="44">
        <f t="shared" si="17"/>
        <v>0</v>
      </c>
      <c r="AF108" s="45" t="str">
        <f t="shared" si="18"/>
        <v>#DIV/0!</v>
      </c>
    </row>
    <row r="109" ht="15.75" customHeight="1">
      <c r="A109" s="3"/>
      <c r="B109" s="3"/>
      <c r="C109" s="38"/>
      <c r="D109" s="38"/>
      <c r="E109" s="38"/>
      <c r="F109" s="14"/>
      <c r="G109" s="5" t="str">
        <f t="array" ref="G109">IF($A109="","",IFERROR($F109*(N($C109)*XLOOKUP($B109,Ceras!$A$2:$A$500,Ceras!$G$2:$G$500,0)+IF($D109="",0,N($E109)*XLOOKUP($D109,Ceras!$A$2:$A$500,Ceras!$G$2:$G$500,0))),"Revisar cera"))</f>
        <v/>
      </c>
      <c r="H109" s="5"/>
      <c r="I109" s="3"/>
      <c r="J109" s="14"/>
      <c r="K109" s="5" t="str">
        <f t="array" ref="K109">IF($A109="","",IFERROR($J109*XLOOKUP($I109,Pabilos!$A$2:$A$500,Pabilos!$H$2:$H$500,0),"Revisar pabilo"))</f>
        <v/>
      </c>
      <c r="L109" s="3"/>
      <c r="M109" s="14"/>
      <c r="N109" s="5" t="str">
        <f t="array" ref="N109">IF($A109="","",IFERROR($M109*XLOOKUP($L109,Esencias!$A$2:$A$501,Esencias!$G$2:$G$501,0),"Revisar esencia"))</f>
        <v/>
      </c>
      <c r="O109" s="3"/>
      <c r="P109" s="14"/>
      <c r="Q109" s="5" t="str">
        <f t="array" ref="Q109">IF($A109="","",IFERROR(IF($P109="",1,$P109)*XLOOKUP($O109,Colores!$A$2:$A$500,Colores!$H$2:$H$500,0),"Revisar color"))</f>
        <v/>
      </c>
      <c r="R109" s="3"/>
      <c r="S109" s="5" t="str">
        <f t="array" ref="S109">IF($A109="","",IF($R109="",0,IFERROR(VLOOKUP(LEFT(TRIM(MID(SUBSTITUTE($R109,";",REPT(" ",99)),1,99)),FIND(":",TRIM(MID(SUBSTITUTE($R109,";",REPT(" ",99)),1,99)))-1),Materiales!$A$2:$E$502,5,FALSE)*VALUE(MID(TRIM(MID(SUBSTITUTE($R109,";",REPT(" ",99)),1,99)),FIND(":",TRIM(MID(SUBSTITUTE($R109,";",REPT(" ",99)),1,99)))+1,99)),0) + IFERROR(VLOOKUP(LEFT(TRIM(MID(SUBSTITUTE($R109,";",REPT(" ",99)),100,99)),FIND(":",TRIM(MID(SUBSTITUTE($R109,";",REPT(" ",99)),100,99)))-1),Materiales!$A$2:$E$502,5,FALSE)*VALUE(MID(TRIM(MID(SUBSTITUTE($R109,";",REPT(" ",99)),100,99)),FIND(":",TRIM(MID(SUBSTITUTE($R109,";",REPT(" ",99)),100,99)))+1,99)),0) + IFERROR(VLOOKUP(LEFT(TRIM(MID(SUBSTITUTE($R109,";",REPT(" ",99)),199,99)),FIND(":",TRIM(MID(SUBSTITUTE($R109,";",REPT(" ",99)),199,99)))-1),Materiales!$A$2:$E$502,5,FALSE)*VALUE(MID(TRIM(MID(SUBSTITUTE($R109,";",REPT(" ",99)),199,99)),FIND(":",TRIM(MID(SUBSTITUTE($R109,";",REPT(" ",99)),199,99)))+1,99)),0) + IFERROR(VLOOKUP(LEFT(TRIM(MID(SUBSTITUTE($R109,";",REPT(" ",99)),298,99)),FIND(":",TRIM(MID(SUBSTITUTE($R109,";",REPT(" ",99)),298,99)))-1),Materiales!$A$2:$E$502,5,FALSE)*VALUE(MID(TRIM(MID(SUBSTITUTE($R109,";",REPT(" ",99)),298,99)),FIND(":",TRIM(MID(SUBSTITUTE($R109,";",REPT(" ",99)),298,99)))+1,99)),0) + IFERROR(VLOOKUP(LEFT(TRIM(MID(SUBSTITUTE($R109,";",REPT(" ",99)),397,99)),FIND(":",TRIM(MID(SUBSTITUTE($R109,";",REPT(" ",99)),397,99)))-1),Materiales!$A$2:$E$502,5,FALSE)*VALUE(MID(TRIM(MID(SUBSTITUTE($R109,";",REPT(" ",99)),397,99)),FIND(":",TRIM(MID(SUBSTITUTE($R109,";",REPT(" ",99)),397,99)))+1,99)),0) + IFERROR(VLOOKUP(LEFT(TRIM(MID(SUBSTITUTE($R109,";",REPT(" ",99)),496,99)),FIND(":",TRIM(MID(SUBSTITUTE($R109,";",REPT(" ",99)),496,99)))-1),Materiales!$A$2:$E$502,5,FALSE)*VALUE(MID(TRIM(MID(SUBSTITUTE($R109,";",REPT(" ",99)),496,99)),FIND(":",TRIM(MID(SUBSTITUTE($R109,";",REPT(" ",99)),496,99)))+1,99)),0) + IFERROR(VLOOKUP(LEFT(TRIM(MID(SUBSTITUTE($R109,";",REPT(" ",99)),595,99)),FIND(":",TRIM(MID(SUBSTITUTE($R109,";",REPT(" ",99)),595,99)))-1),Materiales!$A$2:$E$502,5,FALSE)*VALUE(MID(TRIM(MID(SUBSTITUTE($R109,";",REPT(" ",99)),595,99)),FIND(":",TRIM(MID(SUBSTITUTE($R109,";",REPT(" ",99)),595,99)))+1,99)),0) + IFERROR(VLOOKUP(LEFT(TRIM(MID(SUBSTITUTE($R109,";",REPT(" ",99)),694,99)),FIND(":",TRIM(MID(SUBSTITUTE($R109,";",REPT(" ",99)),694,99)))-1),Materiales!$A$2:$E$502,5,FALSE)*VALUE(MID(TRIM(MID(SUBSTITUTE($R109,";",REPT(" ",99)),694,99)),FIND(":",TRIM(MID(SUBSTITUTE($R109,";",REPT(" ",99)),694,99)))+1,99)),0) + IFERROR(VLOOKUP(LEFT(TRIM(MID(SUBSTITUTE($R109,";",REPT(" ",99)),793,99)),FIND(":",TRIM(MID(SUBSTITUTE($R109,";",REPT(" ",99)),793,99)))-1),Materiales!$A$2:$E$502,5,FALSE)*VALUE(MID(TRIM(MID(SUBSTITUTE($R109,";",REPT(" ",99)),793,99)),FIND(":",TRIM(MID(SUBSTITUTE($R109,";",REPT(" ",99)),793,99)))+1,99)),0) + IFERROR(VLOOKUP(LEFT(TRIM(MID(SUBSTITUTE($R109,";",REPT(" ",99)),892,99)),FIND(":",TRIM(MID(SUBSTITUTE($R109,";",REPT(" ",99)),892,99)))-1),Materiales!$A$2:$E$502,5,FALSE)*VALUE(MID(TRIM(MID(SUBSTITUTE($R109,";",REPT(" ",99)),892,99)),FIND(":",TRIM(MID(SUBSTITUTE($R109,";",REPT(" ",99)),892,99)))+1,99)),0)))</f>
        <v/>
      </c>
      <c r="T109" s="3"/>
      <c r="U109" s="5" t="str">
        <f t="array" ref="U109">IF($A109="","",IF($T109="",0,IFERROR(VLOOKUP(LEFT(TRIM(MID(SUBSTITUTE($T109,";",REPT(" ",99)),1,99)),FIND(":",TRIM(MID(SUBSTITUTE($T109,";",REPT(" ",99)),1,99)))-1),Materiales!$A$2:$E$502,5,FALSE)*VALUE(MID(TRIM(MID(SUBSTITUTE($T109,";",REPT(" ",99)),1,99)),FIND(":",TRIM(MID(SUBSTITUTE($T109,";",REPT(" ",99)),1,99)))+1,99)),0) + IFERROR(VLOOKUP(LEFT(TRIM(MID(SUBSTITUTE($T109,";",REPT(" ",99)),100,99)),FIND(":",TRIM(MID(SUBSTITUTE($T109,";",REPT(" ",99)),100,99)))-1),Materiales!$A$2:$E$502,5,FALSE)*VALUE(MID(TRIM(MID(SUBSTITUTE($T109,";",REPT(" ",99)),100,99)),FIND(":",TRIM(MID(SUBSTITUTE($T109,";",REPT(" ",99)),100,99)))+1,99)),0) + IFERROR(VLOOKUP(LEFT(TRIM(MID(SUBSTITUTE($T109,";",REPT(" ",99)),199,99)),FIND(":",TRIM(MID(SUBSTITUTE($T109,";",REPT(" ",99)),199,99)))-1),Materiales!$A$2:$E$502,5,FALSE)*VALUE(MID(TRIM(MID(SUBSTITUTE($T109,";",REPT(" ",99)),199,99)),FIND(":",TRIM(MID(SUBSTITUTE($T109,";",REPT(" ",99)),199,99)))+1,99)),0) + IFERROR(VLOOKUP(LEFT(TRIM(MID(SUBSTITUTE($T109,";",REPT(" ",99)),298,99)),FIND(":",TRIM(MID(SUBSTITUTE($T109,";",REPT(" ",99)),298,99)))-1),Materiales!$A$2:$E$502,5,FALSE)*VALUE(MID(TRIM(MID(SUBSTITUTE($T109,";",REPT(" ",99)),298,99)),FIND(":",TRIM(MID(SUBSTITUTE($T109,";",REPT(" ",99)),298,99)))+1,99)),0) + IFERROR(VLOOKUP(LEFT(TRIM(MID(SUBSTITUTE($T109,";",REPT(" ",99)),397,99)),FIND(":",TRIM(MID(SUBSTITUTE($T109,";",REPT(" ",99)),397,99)))-1),Materiales!$A$2:$E$502,5,FALSE)*VALUE(MID(TRIM(MID(SUBSTITUTE($T109,";",REPT(" ",99)),397,99)),FIND(":",TRIM(MID(SUBSTITUTE($T109,";",REPT(" ",99)),397,99)))+1,99)),0) + IFERROR(VLOOKUP(LEFT(TRIM(MID(SUBSTITUTE($T109,";",REPT(" ",99)),496,99)),FIND(":",TRIM(MID(SUBSTITUTE($T109,";",REPT(" ",99)),496,99)))-1),Materiales!$A$2:$E$502,5,FALSE)*VALUE(MID(TRIM(MID(SUBSTITUTE($T109,";",REPT(" ",99)),496,99)),FIND(":",TRIM(MID(SUBSTITUTE($T109,";",REPT(" ",99)),496,99)))+1,99)),0) + IFERROR(VLOOKUP(LEFT(TRIM(MID(SUBSTITUTE($T109,";",REPT(" ",99)),595,99)),FIND(":",TRIM(MID(SUBSTITUTE($T109,";",REPT(" ",99)),595,99)))-1),Materiales!$A$2:$E$502,5,FALSE)*VALUE(MID(TRIM(MID(SUBSTITUTE($T109,";",REPT(" ",99)),595,99)),FIND(":",TRIM(MID(SUBSTITUTE($T109,";",REPT(" ",99)),595,99)))+1,99)),0) + IFERROR(VLOOKUP(LEFT(TRIM(MID(SUBSTITUTE($T109,";",REPT(" ",99)),694,99)),FIND(":",TRIM(MID(SUBSTITUTE($T109,";",REPT(" ",99)),694,99)))-1),Materiales!$A$2:$E$502,5,FALSE)*VALUE(MID(TRIM(MID(SUBSTITUTE($T109,";",REPT(" ",99)),694,99)),FIND(":",TRIM(MID(SUBSTITUTE($T109,";",REPT(" ",99)),694,99)))+1,99)),0) + IFERROR(VLOOKUP(LEFT(TRIM(MID(SUBSTITUTE($T109,";",REPT(" ",99)),793,99)),FIND(":",TRIM(MID(SUBSTITUTE($T109,";",REPT(" ",99)),793,99)))-1),Materiales!$A$2:$E$502,5,FALSE)*VALUE(MID(TRIM(MID(SUBSTITUTE($T109,";",REPT(" ",99)),793,99)),FIND(":",TRIM(MID(SUBSTITUTE($T109,";",REPT(" ",99)),793,99)))+1,99)),0) + IFERROR(VLOOKUP(LEFT(TRIM(MID(SUBSTITUTE($T109,";",REPT(" ",99)),892,99)),FIND(":",TRIM(MID(SUBSTITUTE($T109,";",REPT(" ",99)),892,99)))-1),Materiales!$A$2:$E$502,5,FALSE)*VALUE(MID(TRIM(MID(SUBSTITUTE($T109,";",REPT(" ",99)),892,99)),FIND(":",TRIM(MID(SUBSTITUTE($T109,";",REPT(" ",99)),892,99)))+1,99)),0)))</f>
        <v/>
      </c>
      <c r="V109" s="3"/>
      <c r="W109" s="5" t="str">
        <f t="array" ref="W109">IF($A109="","",IF($V109="",0,IFERROR(VLOOKUP(LEFT(TRIM(MID(SUBSTITUTE($V109,";",REPT(" ",99)),1,99)),FIND(":",TRIM(MID(SUBSTITUTE($V109,";",REPT(" ",99)),1,99)))-1),Materiales!$A$2:$E$502,5,FALSE)*VALUE(MID(TRIM(MID(SUBSTITUTE($V109,";",REPT(" ",99)),1,99)),FIND(":",TRIM(MID(SUBSTITUTE($V109,";",REPT(" ",99)),1,99)))+1,99)),0) + IFERROR(VLOOKUP(LEFT(TRIM(MID(SUBSTITUTE($V109,";",REPT(" ",99)),100,99)),FIND(":",TRIM(MID(SUBSTITUTE($V109,";",REPT(" ",99)),100,99)))-1),Materiales!$A$2:$E$502,5,FALSE)*VALUE(MID(TRIM(MID(SUBSTITUTE($V109,";",REPT(" ",99)),100,99)),FIND(":",TRIM(MID(SUBSTITUTE($V109,";",REPT(" ",99)),100,99)))+1,99)),0) + IFERROR(VLOOKUP(LEFT(TRIM(MID(SUBSTITUTE($V109,";",REPT(" ",99)),199,99)),FIND(":",TRIM(MID(SUBSTITUTE($V109,";",REPT(" ",99)),199,99)))-1),Materiales!$A$2:$E$502,5,FALSE)*VALUE(MID(TRIM(MID(SUBSTITUTE($V109,";",REPT(" ",99)),199,99)),FIND(":",TRIM(MID(SUBSTITUTE($V109,";",REPT(" ",99)),199,99)))+1,99)),0) + IFERROR(VLOOKUP(LEFT(TRIM(MID(SUBSTITUTE($V109,";",REPT(" ",99)),298,99)),FIND(":",TRIM(MID(SUBSTITUTE($V109,";",REPT(" ",99)),298,99)))-1),Materiales!$A$2:$E$502,5,FALSE)*VALUE(MID(TRIM(MID(SUBSTITUTE($V109,";",REPT(" ",99)),298,99)),FIND(":",TRIM(MID(SUBSTITUTE($V109,";",REPT(" ",99)),298,99)))+1,99)),0) + IFERROR(VLOOKUP(LEFT(TRIM(MID(SUBSTITUTE($V109,";",REPT(" ",99)),397,99)),FIND(":",TRIM(MID(SUBSTITUTE($V109,";",REPT(" ",99)),397,99)))-1),Materiales!$A$2:$E$502,5,FALSE)*VALUE(MID(TRIM(MID(SUBSTITUTE($V109,";",REPT(" ",99)),397,99)),FIND(":",TRIM(MID(SUBSTITUTE($V109,";",REPT(" ",99)),397,99)))+1,99)),0) + IFERROR(VLOOKUP(LEFT(TRIM(MID(SUBSTITUTE($V109,";",REPT(" ",99)),496,99)),FIND(":",TRIM(MID(SUBSTITUTE($V109,";",REPT(" ",99)),496,99)))-1),Materiales!$A$2:$E$502,5,FALSE)*VALUE(MID(TRIM(MID(SUBSTITUTE($V109,";",REPT(" ",99)),496,99)),FIND(":",TRIM(MID(SUBSTITUTE($V109,";",REPT(" ",99)),496,99)))+1,99)),0) + IFERROR(VLOOKUP(LEFT(TRIM(MID(SUBSTITUTE($V109,";",REPT(" ",99)),595,99)),FIND(":",TRIM(MID(SUBSTITUTE($V109,";",REPT(" ",99)),595,99)))-1),Materiales!$A$2:$E$502,5,FALSE)*VALUE(MID(TRIM(MID(SUBSTITUTE($V109,";",REPT(" ",99)),595,99)),FIND(":",TRIM(MID(SUBSTITUTE($V109,";",REPT(" ",99)),595,99)))+1,99)),0) + IFERROR(VLOOKUP(LEFT(TRIM(MID(SUBSTITUTE($V109,";",REPT(" ",99)),694,99)),FIND(":",TRIM(MID(SUBSTITUTE($V109,";",REPT(" ",99)),694,99)))-1),Materiales!$A$2:$E$502,5,FALSE)*VALUE(MID(TRIM(MID(SUBSTITUTE($V109,";",REPT(" ",99)),694,99)),FIND(":",TRIM(MID(SUBSTITUTE($V109,";",REPT(" ",99)),694,99)))+1,99)),0) + IFERROR(VLOOKUP(LEFT(TRIM(MID(SUBSTITUTE($V109,";",REPT(" ",99)),793,99)),FIND(":",TRIM(MID(SUBSTITUTE($V109,";",REPT(" ",99)),793,99)))-1),Materiales!$A$2:$E$502,5,FALSE)*VALUE(MID(TRIM(MID(SUBSTITUTE($V109,";",REPT(" ",99)),793,99)),FIND(":",TRIM(MID(SUBSTITUTE($V109,";",REPT(" ",99)),793,99)))+1,99)),0) + IFERROR(VLOOKUP(LEFT(TRIM(MID(SUBSTITUTE($V109,";",REPT(" ",99)),892,99)),FIND(":",TRIM(MID(SUBSTITUTE($V109,";",REPT(" ",99)),892,99)))-1),Materiales!$A$2:$E$502,5,FALSE)*VALUE(MID(TRIM(MID(SUBSTITUTE($V109,";",REPT(" ",99)),892,99)),FIND(":",TRIM(MID(SUBSTITUTE($V109,";",REPT(" ",99)),892,99)))+1,99)),0)))</f>
        <v/>
      </c>
      <c r="X109" s="39" t="str">
        <f t="shared" si="13"/>
        <v/>
      </c>
      <c r="Y109" s="64"/>
      <c r="Z109" s="41"/>
      <c r="AA109" s="65"/>
      <c r="AB109" s="14"/>
      <c r="AC109" s="66"/>
      <c r="AD109" s="65"/>
      <c r="AE109" s="44">
        <f t="shared" si="17"/>
        <v>0</v>
      </c>
      <c r="AF109" s="45" t="str">
        <f t="shared" si="18"/>
        <v>#DIV/0!</v>
      </c>
    </row>
    <row r="110" ht="15.75" customHeight="1">
      <c r="A110" s="3"/>
      <c r="B110" s="3"/>
      <c r="C110" s="38"/>
      <c r="D110" s="38"/>
      <c r="E110" s="38"/>
      <c r="F110" s="14"/>
      <c r="G110" s="5" t="str">
        <f t="array" ref="G110">IF($A110="","",IFERROR($F110*(N($C110)*XLOOKUP($B110,Ceras!$A$2:$A$500,Ceras!$G$2:$G$500,0)+IF($D110="",0,N($E110)*XLOOKUP($D110,Ceras!$A$2:$A$500,Ceras!$G$2:$G$500,0))),"Revisar cera"))</f>
        <v/>
      </c>
      <c r="H110" s="5"/>
      <c r="I110" s="3"/>
      <c r="J110" s="14"/>
      <c r="K110" s="5" t="str">
        <f t="array" ref="K110">IF($A110="","",IFERROR($J110*XLOOKUP($I110,Pabilos!$A$2:$A$500,Pabilos!$H$2:$H$500,0),"Revisar pabilo"))</f>
        <v/>
      </c>
      <c r="L110" s="3"/>
      <c r="M110" s="14"/>
      <c r="N110" s="5" t="str">
        <f t="array" ref="N110">IF($A110="","",IFERROR($M110*XLOOKUP($L110,Esencias!$A$2:$A$501,Esencias!$G$2:$G$501,0),"Revisar esencia"))</f>
        <v/>
      </c>
      <c r="O110" s="3"/>
      <c r="P110" s="14"/>
      <c r="Q110" s="5" t="str">
        <f t="array" ref="Q110">IF($A110="","",IFERROR(IF($P110="",1,$P110)*XLOOKUP($O110,Colores!$A$2:$A$500,Colores!$H$2:$H$500,0),"Revisar color"))</f>
        <v/>
      </c>
      <c r="R110" s="3"/>
      <c r="S110" s="5" t="str">
        <f t="array" ref="S110">IF($A110="","",IF($R110="",0,IFERROR(VLOOKUP(LEFT(TRIM(MID(SUBSTITUTE($R110,";",REPT(" ",99)),1,99)),FIND(":",TRIM(MID(SUBSTITUTE($R110,";",REPT(" ",99)),1,99)))-1),Materiales!$A$2:$E$502,5,FALSE)*VALUE(MID(TRIM(MID(SUBSTITUTE($R110,";",REPT(" ",99)),1,99)),FIND(":",TRIM(MID(SUBSTITUTE($R110,";",REPT(" ",99)),1,99)))+1,99)),0) + IFERROR(VLOOKUP(LEFT(TRIM(MID(SUBSTITUTE($R110,";",REPT(" ",99)),100,99)),FIND(":",TRIM(MID(SUBSTITUTE($R110,";",REPT(" ",99)),100,99)))-1),Materiales!$A$2:$E$502,5,FALSE)*VALUE(MID(TRIM(MID(SUBSTITUTE($R110,";",REPT(" ",99)),100,99)),FIND(":",TRIM(MID(SUBSTITUTE($R110,";",REPT(" ",99)),100,99)))+1,99)),0) + IFERROR(VLOOKUP(LEFT(TRIM(MID(SUBSTITUTE($R110,";",REPT(" ",99)),199,99)),FIND(":",TRIM(MID(SUBSTITUTE($R110,";",REPT(" ",99)),199,99)))-1),Materiales!$A$2:$E$502,5,FALSE)*VALUE(MID(TRIM(MID(SUBSTITUTE($R110,";",REPT(" ",99)),199,99)),FIND(":",TRIM(MID(SUBSTITUTE($R110,";",REPT(" ",99)),199,99)))+1,99)),0) + IFERROR(VLOOKUP(LEFT(TRIM(MID(SUBSTITUTE($R110,";",REPT(" ",99)),298,99)),FIND(":",TRIM(MID(SUBSTITUTE($R110,";",REPT(" ",99)),298,99)))-1),Materiales!$A$2:$E$502,5,FALSE)*VALUE(MID(TRIM(MID(SUBSTITUTE($R110,";",REPT(" ",99)),298,99)),FIND(":",TRIM(MID(SUBSTITUTE($R110,";",REPT(" ",99)),298,99)))+1,99)),0) + IFERROR(VLOOKUP(LEFT(TRIM(MID(SUBSTITUTE($R110,";",REPT(" ",99)),397,99)),FIND(":",TRIM(MID(SUBSTITUTE($R110,";",REPT(" ",99)),397,99)))-1),Materiales!$A$2:$E$502,5,FALSE)*VALUE(MID(TRIM(MID(SUBSTITUTE($R110,";",REPT(" ",99)),397,99)),FIND(":",TRIM(MID(SUBSTITUTE($R110,";",REPT(" ",99)),397,99)))+1,99)),0) + IFERROR(VLOOKUP(LEFT(TRIM(MID(SUBSTITUTE($R110,";",REPT(" ",99)),496,99)),FIND(":",TRIM(MID(SUBSTITUTE($R110,";",REPT(" ",99)),496,99)))-1),Materiales!$A$2:$E$502,5,FALSE)*VALUE(MID(TRIM(MID(SUBSTITUTE($R110,";",REPT(" ",99)),496,99)),FIND(":",TRIM(MID(SUBSTITUTE($R110,";",REPT(" ",99)),496,99)))+1,99)),0) + IFERROR(VLOOKUP(LEFT(TRIM(MID(SUBSTITUTE($R110,";",REPT(" ",99)),595,99)),FIND(":",TRIM(MID(SUBSTITUTE($R110,";",REPT(" ",99)),595,99)))-1),Materiales!$A$2:$E$502,5,FALSE)*VALUE(MID(TRIM(MID(SUBSTITUTE($R110,";",REPT(" ",99)),595,99)),FIND(":",TRIM(MID(SUBSTITUTE($R110,";",REPT(" ",99)),595,99)))+1,99)),0) + IFERROR(VLOOKUP(LEFT(TRIM(MID(SUBSTITUTE($R110,";",REPT(" ",99)),694,99)),FIND(":",TRIM(MID(SUBSTITUTE($R110,";",REPT(" ",99)),694,99)))-1),Materiales!$A$2:$E$502,5,FALSE)*VALUE(MID(TRIM(MID(SUBSTITUTE($R110,";",REPT(" ",99)),694,99)),FIND(":",TRIM(MID(SUBSTITUTE($R110,";",REPT(" ",99)),694,99)))+1,99)),0) + IFERROR(VLOOKUP(LEFT(TRIM(MID(SUBSTITUTE($R110,";",REPT(" ",99)),793,99)),FIND(":",TRIM(MID(SUBSTITUTE($R110,";",REPT(" ",99)),793,99)))-1),Materiales!$A$2:$E$502,5,FALSE)*VALUE(MID(TRIM(MID(SUBSTITUTE($R110,";",REPT(" ",99)),793,99)),FIND(":",TRIM(MID(SUBSTITUTE($R110,";",REPT(" ",99)),793,99)))+1,99)),0) + IFERROR(VLOOKUP(LEFT(TRIM(MID(SUBSTITUTE($R110,";",REPT(" ",99)),892,99)),FIND(":",TRIM(MID(SUBSTITUTE($R110,";",REPT(" ",99)),892,99)))-1),Materiales!$A$2:$E$502,5,FALSE)*VALUE(MID(TRIM(MID(SUBSTITUTE($R110,";",REPT(" ",99)),892,99)),FIND(":",TRIM(MID(SUBSTITUTE($R110,";",REPT(" ",99)),892,99)))+1,99)),0)))</f>
        <v/>
      </c>
      <c r="T110" s="3"/>
      <c r="U110" s="5" t="str">
        <f t="array" ref="U110">IF($A110="","",IF($T110="",0,IFERROR(VLOOKUP(LEFT(TRIM(MID(SUBSTITUTE($T110,";",REPT(" ",99)),1,99)),FIND(":",TRIM(MID(SUBSTITUTE($T110,";",REPT(" ",99)),1,99)))-1),Materiales!$A$2:$E$502,5,FALSE)*VALUE(MID(TRIM(MID(SUBSTITUTE($T110,";",REPT(" ",99)),1,99)),FIND(":",TRIM(MID(SUBSTITUTE($T110,";",REPT(" ",99)),1,99)))+1,99)),0) + IFERROR(VLOOKUP(LEFT(TRIM(MID(SUBSTITUTE($T110,";",REPT(" ",99)),100,99)),FIND(":",TRIM(MID(SUBSTITUTE($T110,";",REPT(" ",99)),100,99)))-1),Materiales!$A$2:$E$502,5,FALSE)*VALUE(MID(TRIM(MID(SUBSTITUTE($T110,";",REPT(" ",99)),100,99)),FIND(":",TRIM(MID(SUBSTITUTE($T110,";",REPT(" ",99)),100,99)))+1,99)),0) + IFERROR(VLOOKUP(LEFT(TRIM(MID(SUBSTITUTE($T110,";",REPT(" ",99)),199,99)),FIND(":",TRIM(MID(SUBSTITUTE($T110,";",REPT(" ",99)),199,99)))-1),Materiales!$A$2:$E$502,5,FALSE)*VALUE(MID(TRIM(MID(SUBSTITUTE($T110,";",REPT(" ",99)),199,99)),FIND(":",TRIM(MID(SUBSTITUTE($T110,";",REPT(" ",99)),199,99)))+1,99)),0) + IFERROR(VLOOKUP(LEFT(TRIM(MID(SUBSTITUTE($T110,";",REPT(" ",99)),298,99)),FIND(":",TRIM(MID(SUBSTITUTE($T110,";",REPT(" ",99)),298,99)))-1),Materiales!$A$2:$E$502,5,FALSE)*VALUE(MID(TRIM(MID(SUBSTITUTE($T110,";",REPT(" ",99)),298,99)),FIND(":",TRIM(MID(SUBSTITUTE($T110,";",REPT(" ",99)),298,99)))+1,99)),0) + IFERROR(VLOOKUP(LEFT(TRIM(MID(SUBSTITUTE($T110,";",REPT(" ",99)),397,99)),FIND(":",TRIM(MID(SUBSTITUTE($T110,";",REPT(" ",99)),397,99)))-1),Materiales!$A$2:$E$502,5,FALSE)*VALUE(MID(TRIM(MID(SUBSTITUTE($T110,";",REPT(" ",99)),397,99)),FIND(":",TRIM(MID(SUBSTITUTE($T110,";",REPT(" ",99)),397,99)))+1,99)),0) + IFERROR(VLOOKUP(LEFT(TRIM(MID(SUBSTITUTE($T110,";",REPT(" ",99)),496,99)),FIND(":",TRIM(MID(SUBSTITUTE($T110,";",REPT(" ",99)),496,99)))-1),Materiales!$A$2:$E$502,5,FALSE)*VALUE(MID(TRIM(MID(SUBSTITUTE($T110,";",REPT(" ",99)),496,99)),FIND(":",TRIM(MID(SUBSTITUTE($T110,";",REPT(" ",99)),496,99)))+1,99)),0) + IFERROR(VLOOKUP(LEFT(TRIM(MID(SUBSTITUTE($T110,";",REPT(" ",99)),595,99)),FIND(":",TRIM(MID(SUBSTITUTE($T110,";",REPT(" ",99)),595,99)))-1),Materiales!$A$2:$E$502,5,FALSE)*VALUE(MID(TRIM(MID(SUBSTITUTE($T110,";",REPT(" ",99)),595,99)),FIND(":",TRIM(MID(SUBSTITUTE($T110,";",REPT(" ",99)),595,99)))+1,99)),0) + IFERROR(VLOOKUP(LEFT(TRIM(MID(SUBSTITUTE($T110,";",REPT(" ",99)),694,99)),FIND(":",TRIM(MID(SUBSTITUTE($T110,";",REPT(" ",99)),694,99)))-1),Materiales!$A$2:$E$502,5,FALSE)*VALUE(MID(TRIM(MID(SUBSTITUTE($T110,";",REPT(" ",99)),694,99)),FIND(":",TRIM(MID(SUBSTITUTE($T110,";",REPT(" ",99)),694,99)))+1,99)),0) + IFERROR(VLOOKUP(LEFT(TRIM(MID(SUBSTITUTE($T110,";",REPT(" ",99)),793,99)),FIND(":",TRIM(MID(SUBSTITUTE($T110,";",REPT(" ",99)),793,99)))-1),Materiales!$A$2:$E$502,5,FALSE)*VALUE(MID(TRIM(MID(SUBSTITUTE($T110,";",REPT(" ",99)),793,99)),FIND(":",TRIM(MID(SUBSTITUTE($T110,";",REPT(" ",99)),793,99)))+1,99)),0) + IFERROR(VLOOKUP(LEFT(TRIM(MID(SUBSTITUTE($T110,";",REPT(" ",99)),892,99)),FIND(":",TRIM(MID(SUBSTITUTE($T110,";",REPT(" ",99)),892,99)))-1),Materiales!$A$2:$E$502,5,FALSE)*VALUE(MID(TRIM(MID(SUBSTITUTE($T110,";",REPT(" ",99)),892,99)),FIND(":",TRIM(MID(SUBSTITUTE($T110,";",REPT(" ",99)),892,99)))+1,99)),0)))</f>
        <v/>
      </c>
      <c r="V110" s="3"/>
      <c r="W110" s="5" t="str">
        <f t="array" ref="W110">IF($A110="","",IF($V110="",0,IFERROR(VLOOKUP(LEFT(TRIM(MID(SUBSTITUTE($V110,";",REPT(" ",99)),1,99)),FIND(":",TRIM(MID(SUBSTITUTE($V110,";",REPT(" ",99)),1,99)))-1),Materiales!$A$2:$E$502,5,FALSE)*VALUE(MID(TRIM(MID(SUBSTITUTE($V110,";",REPT(" ",99)),1,99)),FIND(":",TRIM(MID(SUBSTITUTE($V110,";",REPT(" ",99)),1,99)))+1,99)),0) + IFERROR(VLOOKUP(LEFT(TRIM(MID(SUBSTITUTE($V110,";",REPT(" ",99)),100,99)),FIND(":",TRIM(MID(SUBSTITUTE($V110,";",REPT(" ",99)),100,99)))-1),Materiales!$A$2:$E$502,5,FALSE)*VALUE(MID(TRIM(MID(SUBSTITUTE($V110,";",REPT(" ",99)),100,99)),FIND(":",TRIM(MID(SUBSTITUTE($V110,";",REPT(" ",99)),100,99)))+1,99)),0) + IFERROR(VLOOKUP(LEFT(TRIM(MID(SUBSTITUTE($V110,";",REPT(" ",99)),199,99)),FIND(":",TRIM(MID(SUBSTITUTE($V110,";",REPT(" ",99)),199,99)))-1),Materiales!$A$2:$E$502,5,FALSE)*VALUE(MID(TRIM(MID(SUBSTITUTE($V110,";",REPT(" ",99)),199,99)),FIND(":",TRIM(MID(SUBSTITUTE($V110,";",REPT(" ",99)),199,99)))+1,99)),0) + IFERROR(VLOOKUP(LEFT(TRIM(MID(SUBSTITUTE($V110,";",REPT(" ",99)),298,99)),FIND(":",TRIM(MID(SUBSTITUTE($V110,";",REPT(" ",99)),298,99)))-1),Materiales!$A$2:$E$502,5,FALSE)*VALUE(MID(TRIM(MID(SUBSTITUTE($V110,";",REPT(" ",99)),298,99)),FIND(":",TRIM(MID(SUBSTITUTE($V110,";",REPT(" ",99)),298,99)))+1,99)),0) + IFERROR(VLOOKUP(LEFT(TRIM(MID(SUBSTITUTE($V110,";",REPT(" ",99)),397,99)),FIND(":",TRIM(MID(SUBSTITUTE($V110,";",REPT(" ",99)),397,99)))-1),Materiales!$A$2:$E$502,5,FALSE)*VALUE(MID(TRIM(MID(SUBSTITUTE($V110,";",REPT(" ",99)),397,99)),FIND(":",TRIM(MID(SUBSTITUTE($V110,";",REPT(" ",99)),397,99)))+1,99)),0) + IFERROR(VLOOKUP(LEFT(TRIM(MID(SUBSTITUTE($V110,";",REPT(" ",99)),496,99)),FIND(":",TRIM(MID(SUBSTITUTE($V110,";",REPT(" ",99)),496,99)))-1),Materiales!$A$2:$E$502,5,FALSE)*VALUE(MID(TRIM(MID(SUBSTITUTE($V110,";",REPT(" ",99)),496,99)),FIND(":",TRIM(MID(SUBSTITUTE($V110,";",REPT(" ",99)),496,99)))+1,99)),0) + IFERROR(VLOOKUP(LEFT(TRIM(MID(SUBSTITUTE($V110,";",REPT(" ",99)),595,99)),FIND(":",TRIM(MID(SUBSTITUTE($V110,";",REPT(" ",99)),595,99)))-1),Materiales!$A$2:$E$502,5,FALSE)*VALUE(MID(TRIM(MID(SUBSTITUTE($V110,";",REPT(" ",99)),595,99)),FIND(":",TRIM(MID(SUBSTITUTE($V110,";",REPT(" ",99)),595,99)))+1,99)),0) + IFERROR(VLOOKUP(LEFT(TRIM(MID(SUBSTITUTE($V110,";",REPT(" ",99)),694,99)),FIND(":",TRIM(MID(SUBSTITUTE($V110,";",REPT(" ",99)),694,99)))-1),Materiales!$A$2:$E$502,5,FALSE)*VALUE(MID(TRIM(MID(SUBSTITUTE($V110,";",REPT(" ",99)),694,99)),FIND(":",TRIM(MID(SUBSTITUTE($V110,";",REPT(" ",99)),694,99)))+1,99)),0) + IFERROR(VLOOKUP(LEFT(TRIM(MID(SUBSTITUTE($V110,";",REPT(" ",99)),793,99)),FIND(":",TRIM(MID(SUBSTITUTE($V110,";",REPT(" ",99)),793,99)))-1),Materiales!$A$2:$E$502,5,FALSE)*VALUE(MID(TRIM(MID(SUBSTITUTE($V110,";",REPT(" ",99)),793,99)),FIND(":",TRIM(MID(SUBSTITUTE($V110,";",REPT(" ",99)),793,99)))+1,99)),0) + IFERROR(VLOOKUP(LEFT(TRIM(MID(SUBSTITUTE($V110,";",REPT(" ",99)),892,99)),FIND(":",TRIM(MID(SUBSTITUTE($V110,";",REPT(" ",99)),892,99)))-1),Materiales!$A$2:$E$502,5,FALSE)*VALUE(MID(TRIM(MID(SUBSTITUTE($V110,";",REPT(" ",99)),892,99)),FIND(":",TRIM(MID(SUBSTITUTE($V110,";",REPT(" ",99)),892,99)))+1,99)),0)))</f>
        <v/>
      </c>
      <c r="X110" s="39" t="str">
        <f t="shared" si="13"/>
        <v/>
      </c>
      <c r="Y110" s="64"/>
      <c r="Z110" s="41"/>
      <c r="AA110" s="65"/>
      <c r="AB110" s="14"/>
      <c r="AC110" s="66"/>
      <c r="AD110" s="65"/>
      <c r="AE110" s="44">
        <f t="shared" si="17"/>
        <v>0</v>
      </c>
      <c r="AF110" s="45" t="str">
        <f t="shared" si="18"/>
        <v>#DIV/0!</v>
      </c>
    </row>
    <row r="111" ht="15.75" customHeight="1">
      <c r="A111" s="3"/>
      <c r="B111" s="3"/>
      <c r="C111" s="38"/>
      <c r="D111" s="38"/>
      <c r="E111" s="38"/>
      <c r="F111" s="14"/>
      <c r="G111" s="5" t="str">
        <f t="array" ref="G111">IF($A111="","",IFERROR($F111*(N($C111)*XLOOKUP($B111,Ceras!$A$2:$A$500,Ceras!$G$2:$G$500,0)+IF($D111="",0,N($E111)*XLOOKUP($D111,Ceras!$A$2:$A$500,Ceras!$G$2:$G$500,0))),"Revisar cera"))</f>
        <v/>
      </c>
      <c r="H111" s="5"/>
      <c r="I111" s="3"/>
      <c r="J111" s="14"/>
      <c r="K111" s="5" t="str">
        <f t="array" ref="K111">IF($A111="","",IFERROR($J111*XLOOKUP($I111,Pabilos!$A$2:$A$500,Pabilos!$H$2:$H$500,0),"Revisar pabilo"))</f>
        <v/>
      </c>
      <c r="L111" s="3"/>
      <c r="M111" s="14"/>
      <c r="N111" s="5" t="str">
        <f t="array" ref="N111">IF($A111="","",IFERROR($M111*XLOOKUP($L111,Esencias!$A$2:$A$501,Esencias!$G$2:$G$501,0),"Revisar esencia"))</f>
        <v/>
      </c>
      <c r="O111" s="3"/>
      <c r="P111" s="14"/>
      <c r="Q111" s="5" t="str">
        <f t="array" ref="Q111">IF($A111="","",IFERROR(IF($P111="",1,$P111)*XLOOKUP($O111,Colores!$A$2:$A$500,Colores!$H$2:$H$500,0),"Revisar color"))</f>
        <v/>
      </c>
      <c r="R111" s="3"/>
      <c r="S111" s="5" t="str">
        <f t="array" ref="S111">IF($A111="","",IF($R111="",0,IFERROR(VLOOKUP(LEFT(TRIM(MID(SUBSTITUTE($R111,";",REPT(" ",99)),1,99)),FIND(":",TRIM(MID(SUBSTITUTE($R111,";",REPT(" ",99)),1,99)))-1),Materiales!$A$2:$E$502,5,FALSE)*VALUE(MID(TRIM(MID(SUBSTITUTE($R111,";",REPT(" ",99)),1,99)),FIND(":",TRIM(MID(SUBSTITUTE($R111,";",REPT(" ",99)),1,99)))+1,99)),0) + IFERROR(VLOOKUP(LEFT(TRIM(MID(SUBSTITUTE($R111,";",REPT(" ",99)),100,99)),FIND(":",TRIM(MID(SUBSTITUTE($R111,";",REPT(" ",99)),100,99)))-1),Materiales!$A$2:$E$502,5,FALSE)*VALUE(MID(TRIM(MID(SUBSTITUTE($R111,";",REPT(" ",99)),100,99)),FIND(":",TRIM(MID(SUBSTITUTE($R111,";",REPT(" ",99)),100,99)))+1,99)),0) + IFERROR(VLOOKUP(LEFT(TRIM(MID(SUBSTITUTE($R111,";",REPT(" ",99)),199,99)),FIND(":",TRIM(MID(SUBSTITUTE($R111,";",REPT(" ",99)),199,99)))-1),Materiales!$A$2:$E$502,5,FALSE)*VALUE(MID(TRIM(MID(SUBSTITUTE($R111,";",REPT(" ",99)),199,99)),FIND(":",TRIM(MID(SUBSTITUTE($R111,";",REPT(" ",99)),199,99)))+1,99)),0) + IFERROR(VLOOKUP(LEFT(TRIM(MID(SUBSTITUTE($R111,";",REPT(" ",99)),298,99)),FIND(":",TRIM(MID(SUBSTITUTE($R111,";",REPT(" ",99)),298,99)))-1),Materiales!$A$2:$E$502,5,FALSE)*VALUE(MID(TRIM(MID(SUBSTITUTE($R111,";",REPT(" ",99)),298,99)),FIND(":",TRIM(MID(SUBSTITUTE($R111,";",REPT(" ",99)),298,99)))+1,99)),0) + IFERROR(VLOOKUP(LEFT(TRIM(MID(SUBSTITUTE($R111,";",REPT(" ",99)),397,99)),FIND(":",TRIM(MID(SUBSTITUTE($R111,";",REPT(" ",99)),397,99)))-1),Materiales!$A$2:$E$502,5,FALSE)*VALUE(MID(TRIM(MID(SUBSTITUTE($R111,";",REPT(" ",99)),397,99)),FIND(":",TRIM(MID(SUBSTITUTE($R111,";",REPT(" ",99)),397,99)))+1,99)),0) + IFERROR(VLOOKUP(LEFT(TRIM(MID(SUBSTITUTE($R111,";",REPT(" ",99)),496,99)),FIND(":",TRIM(MID(SUBSTITUTE($R111,";",REPT(" ",99)),496,99)))-1),Materiales!$A$2:$E$502,5,FALSE)*VALUE(MID(TRIM(MID(SUBSTITUTE($R111,";",REPT(" ",99)),496,99)),FIND(":",TRIM(MID(SUBSTITUTE($R111,";",REPT(" ",99)),496,99)))+1,99)),0) + IFERROR(VLOOKUP(LEFT(TRIM(MID(SUBSTITUTE($R111,";",REPT(" ",99)),595,99)),FIND(":",TRIM(MID(SUBSTITUTE($R111,";",REPT(" ",99)),595,99)))-1),Materiales!$A$2:$E$502,5,FALSE)*VALUE(MID(TRIM(MID(SUBSTITUTE($R111,";",REPT(" ",99)),595,99)),FIND(":",TRIM(MID(SUBSTITUTE($R111,";",REPT(" ",99)),595,99)))+1,99)),0) + IFERROR(VLOOKUP(LEFT(TRIM(MID(SUBSTITUTE($R111,";",REPT(" ",99)),694,99)),FIND(":",TRIM(MID(SUBSTITUTE($R111,";",REPT(" ",99)),694,99)))-1),Materiales!$A$2:$E$502,5,FALSE)*VALUE(MID(TRIM(MID(SUBSTITUTE($R111,";",REPT(" ",99)),694,99)),FIND(":",TRIM(MID(SUBSTITUTE($R111,";",REPT(" ",99)),694,99)))+1,99)),0) + IFERROR(VLOOKUP(LEFT(TRIM(MID(SUBSTITUTE($R111,";",REPT(" ",99)),793,99)),FIND(":",TRIM(MID(SUBSTITUTE($R111,";",REPT(" ",99)),793,99)))-1),Materiales!$A$2:$E$502,5,FALSE)*VALUE(MID(TRIM(MID(SUBSTITUTE($R111,";",REPT(" ",99)),793,99)),FIND(":",TRIM(MID(SUBSTITUTE($R111,";",REPT(" ",99)),793,99)))+1,99)),0) + IFERROR(VLOOKUP(LEFT(TRIM(MID(SUBSTITUTE($R111,";",REPT(" ",99)),892,99)),FIND(":",TRIM(MID(SUBSTITUTE($R111,";",REPT(" ",99)),892,99)))-1),Materiales!$A$2:$E$502,5,FALSE)*VALUE(MID(TRIM(MID(SUBSTITUTE($R111,";",REPT(" ",99)),892,99)),FIND(":",TRIM(MID(SUBSTITUTE($R111,";",REPT(" ",99)),892,99)))+1,99)),0)))</f>
        <v/>
      </c>
      <c r="T111" s="3"/>
      <c r="U111" s="5" t="str">
        <f t="array" ref="U111">IF($A111="","",IF($T111="",0,IFERROR(VLOOKUP(LEFT(TRIM(MID(SUBSTITUTE($T111,";",REPT(" ",99)),1,99)),FIND(":",TRIM(MID(SUBSTITUTE($T111,";",REPT(" ",99)),1,99)))-1),Materiales!$A$2:$E$502,5,FALSE)*VALUE(MID(TRIM(MID(SUBSTITUTE($T111,";",REPT(" ",99)),1,99)),FIND(":",TRIM(MID(SUBSTITUTE($T111,";",REPT(" ",99)),1,99)))+1,99)),0) + IFERROR(VLOOKUP(LEFT(TRIM(MID(SUBSTITUTE($T111,";",REPT(" ",99)),100,99)),FIND(":",TRIM(MID(SUBSTITUTE($T111,";",REPT(" ",99)),100,99)))-1),Materiales!$A$2:$E$502,5,FALSE)*VALUE(MID(TRIM(MID(SUBSTITUTE($T111,";",REPT(" ",99)),100,99)),FIND(":",TRIM(MID(SUBSTITUTE($T111,";",REPT(" ",99)),100,99)))+1,99)),0) + IFERROR(VLOOKUP(LEFT(TRIM(MID(SUBSTITUTE($T111,";",REPT(" ",99)),199,99)),FIND(":",TRIM(MID(SUBSTITUTE($T111,";",REPT(" ",99)),199,99)))-1),Materiales!$A$2:$E$502,5,FALSE)*VALUE(MID(TRIM(MID(SUBSTITUTE($T111,";",REPT(" ",99)),199,99)),FIND(":",TRIM(MID(SUBSTITUTE($T111,";",REPT(" ",99)),199,99)))+1,99)),0) + IFERROR(VLOOKUP(LEFT(TRIM(MID(SUBSTITUTE($T111,";",REPT(" ",99)),298,99)),FIND(":",TRIM(MID(SUBSTITUTE($T111,";",REPT(" ",99)),298,99)))-1),Materiales!$A$2:$E$502,5,FALSE)*VALUE(MID(TRIM(MID(SUBSTITUTE($T111,";",REPT(" ",99)),298,99)),FIND(":",TRIM(MID(SUBSTITUTE($T111,";",REPT(" ",99)),298,99)))+1,99)),0) + IFERROR(VLOOKUP(LEFT(TRIM(MID(SUBSTITUTE($T111,";",REPT(" ",99)),397,99)),FIND(":",TRIM(MID(SUBSTITUTE($T111,";",REPT(" ",99)),397,99)))-1),Materiales!$A$2:$E$502,5,FALSE)*VALUE(MID(TRIM(MID(SUBSTITUTE($T111,";",REPT(" ",99)),397,99)),FIND(":",TRIM(MID(SUBSTITUTE($T111,";",REPT(" ",99)),397,99)))+1,99)),0) + IFERROR(VLOOKUP(LEFT(TRIM(MID(SUBSTITUTE($T111,";",REPT(" ",99)),496,99)),FIND(":",TRIM(MID(SUBSTITUTE($T111,";",REPT(" ",99)),496,99)))-1),Materiales!$A$2:$E$502,5,FALSE)*VALUE(MID(TRIM(MID(SUBSTITUTE($T111,";",REPT(" ",99)),496,99)),FIND(":",TRIM(MID(SUBSTITUTE($T111,";",REPT(" ",99)),496,99)))+1,99)),0) + IFERROR(VLOOKUP(LEFT(TRIM(MID(SUBSTITUTE($T111,";",REPT(" ",99)),595,99)),FIND(":",TRIM(MID(SUBSTITUTE($T111,";",REPT(" ",99)),595,99)))-1),Materiales!$A$2:$E$502,5,FALSE)*VALUE(MID(TRIM(MID(SUBSTITUTE($T111,";",REPT(" ",99)),595,99)),FIND(":",TRIM(MID(SUBSTITUTE($T111,";",REPT(" ",99)),595,99)))+1,99)),0) + IFERROR(VLOOKUP(LEFT(TRIM(MID(SUBSTITUTE($T111,";",REPT(" ",99)),694,99)),FIND(":",TRIM(MID(SUBSTITUTE($T111,";",REPT(" ",99)),694,99)))-1),Materiales!$A$2:$E$502,5,FALSE)*VALUE(MID(TRIM(MID(SUBSTITUTE($T111,";",REPT(" ",99)),694,99)),FIND(":",TRIM(MID(SUBSTITUTE($T111,";",REPT(" ",99)),694,99)))+1,99)),0) + IFERROR(VLOOKUP(LEFT(TRIM(MID(SUBSTITUTE($T111,";",REPT(" ",99)),793,99)),FIND(":",TRIM(MID(SUBSTITUTE($T111,";",REPT(" ",99)),793,99)))-1),Materiales!$A$2:$E$502,5,FALSE)*VALUE(MID(TRIM(MID(SUBSTITUTE($T111,";",REPT(" ",99)),793,99)),FIND(":",TRIM(MID(SUBSTITUTE($T111,";",REPT(" ",99)),793,99)))+1,99)),0) + IFERROR(VLOOKUP(LEFT(TRIM(MID(SUBSTITUTE($T111,";",REPT(" ",99)),892,99)),FIND(":",TRIM(MID(SUBSTITUTE($T111,";",REPT(" ",99)),892,99)))-1),Materiales!$A$2:$E$502,5,FALSE)*VALUE(MID(TRIM(MID(SUBSTITUTE($T111,";",REPT(" ",99)),892,99)),FIND(":",TRIM(MID(SUBSTITUTE($T111,";",REPT(" ",99)),892,99)))+1,99)),0)))</f>
        <v/>
      </c>
      <c r="V111" s="3"/>
      <c r="W111" s="5" t="str">
        <f t="array" ref="W111">IF($A111="","",IF($V111="",0,IFERROR(VLOOKUP(LEFT(TRIM(MID(SUBSTITUTE($V111,";",REPT(" ",99)),1,99)),FIND(":",TRIM(MID(SUBSTITUTE($V111,";",REPT(" ",99)),1,99)))-1),Materiales!$A$2:$E$502,5,FALSE)*VALUE(MID(TRIM(MID(SUBSTITUTE($V111,";",REPT(" ",99)),1,99)),FIND(":",TRIM(MID(SUBSTITUTE($V111,";",REPT(" ",99)),1,99)))+1,99)),0) + IFERROR(VLOOKUP(LEFT(TRIM(MID(SUBSTITUTE($V111,";",REPT(" ",99)),100,99)),FIND(":",TRIM(MID(SUBSTITUTE($V111,";",REPT(" ",99)),100,99)))-1),Materiales!$A$2:$E$502,5,FALSE)*VALUE(MID(TRIM(MID(SUBSTITUTE($V111,";",REPT(" ",99)),100,99)),FIND(":",TRIM(MID(SUBSTITUTE($V111,";",REPT(" ",99)),100,99)))+1,99)),0) + IFERROR(VLOOKUP(LEFT(TRIM(MID(SUBSTITUTE($V111,";",REPT(" ",99)),199,99)),FIND(":",TRIM(MID(SUBSTITUTE($V111,";",REPT(" ",99)),199,99)))-1),Materiales!$A$2:$E$502,5,FALSE)*VALUE(MID(TRIM(MID(SUBSTITUTE($V111,";",REPT(" ",99)),199,99)),FIND(":",TRIM(MID(SUBSTITUTE($V111,";",REPT(" ",99)),199,99)))+1,99)),0) + IFERROR(VLOOKUP(LEFT(TRIM(MID(SUBSTITUTE($V111,";",REPT(" ",99)),298,99)),FIND(":",TRIM(MID(SUBSTITUTE($V111,";",REPT(" ",99)),298,99)))-1),Materiales!$A$2:$E$502,5,FALSE)*VALUE(MID(TRIM(MID(SUBSTITUTE($V111,";",REPT(" ",99)),298,99)),FIND(":",TRIM(MID(SUBSTITUTE($V111,";",REPT(" ",99)),298,99)))+1,99)),0) + IFERROR(VLOOKUP(LEFT(TRIM(MID(SUBSTITUTE($V111,";",REPT(" ",99)),397,99)),FIND(":",TRIM(MID(SUBSTITUTE($V111,";",REPT(" ",99)),397,99)))-1),Materiales!$A$2:$E$502,5,FALSE)*VALUE(MID(TRIM(MID(SUBSTITUTE($V111,";",REPT(" ",99)),397,99)),FIND(":",TRIM(MID(SUBSTITUTE($V111,";",REPT(" ",99)),397,99)))+1,99)),0) + IFERROR(VLOOKUP(LEFT(TRIM(MID(SUBSTITUTE($V111,";",REPT(" ",99)),496,99)),FIND(":",TRIM(MID(SUBSTITUTE($V111,";",REPT(" ",99)),496,99)))-1),Materiales!$A$2:$E$502,5,FALSE)*VALUE(MID(TRIM(MID(SUBSTITUTE($V111,";",REPT(" ",99)),496,99)),FIND(":",TRIM(MID(SUBSTITUTE($V111,";",REPT(" ",99)),496,99)))+1,99)),0) + IFERROR(VLOOKUP(LEFT(TRIM(MID(SUBSTITUTE($V111,";",REPT(" ",99)),595,99)),FIND(":",TRIM(MID(SUBSTITUTE($V111,";",REPT(" ",99)),595,99)))-1),Materiales!$A$2:$E$502,5,FALSE)*VALUE(MID(TRIM(MID(SUBSTITUTE($V111,";",REPT(" ",99)),595,99)),FIND(":",TRIM(MID(SUBSTITUTE($V111,";",REPT(" ",99)),595,99)))+1,99)),0) + IFERROR(VLOOKUP(LEFT(TRIM(MID(SUBSTITUTE($V111,";",REPT(" ",99)),694,99)),FIND(":",TRIM(MID(SUBSTITUTE($V111,";",REPT(" ",99)),694,99)))-1),Materiales!$A$2:$E$502,5,FALSE)*VALUE(MID(TRIM(MID(SUBSTITUTE($V111,";",REPT(" ",99)),694,99)),FIND(":",TRIM(MID(SUBSTITUTE($V111,";",REPT(" ",99)),694,99)))+1,99)),0) + IFERROR(VLOOKUP(LEFT(TRIM(MID(SUBSTITUTE($V111,";",REPT(" ",99)),793,99)),FIND(":",TRIM(MID(SUBSTITUTE($V111,";",REPT(" ",99)),793,99)))-1),Materiales!$A$2:$E$502,5,FALSE)*VALUE(MID(TRIM(MID(SUBSTITUTE($V111,";",REPT(" ",99)),793,99)),FIND(":",TRIM(MID(SUBSTITUTE($V111,";",REPT(" ",99)),793,99)))+1,99)),0) + IFERROR(VLOOKUP(LEFT(TRIM(MID(SUBSTITUTE($V111,";",REPT(" ",99)),892,99)),FIND(":",TRIM(MID(SUBSTITUTE($V111,";",REPT(" ",99)),892,99)))-1),Materiales!$A$2:$E$502,5,FALSE)*VALUE(MID(TRIM(MID(SUBSTITUTE($V111,";",REPT(" ",99)),892,99)),FIND(":",TRIM(MID(SUBSTITUTE($V111,";",REPT(" ",99)),892,99)))+1,99)),0)))</f>
        <v/>
      </c>
      <c r="X111" s="39" t="str">
        <f t="shared" si="13"/>
        <v/>
      </c>
      <c r="Y111" s="64"/>
      <c r="Z111" s="41"/>
      <c r="AA111" s="65"/>
      <c r="AB111" s="14"/>
      <c r="AC111" s="66"/>
      <c r="AD111" s="65"/>
      <c r="AE111" s="44">
        <f t="shared" si="17"/>
        <v>0</v>
      </c>
      <c r="AF111" s="45" t="str">
        <f t="shared" si="18"/>
        <v>#DIV/0!</v>
      </c>
    </row>
    <row r="112" ht="15.75" customHeight="1">
      <c r="A112" s="3"/>
      <c r="B112" s="3"/>
      <c r="C112" s="38"/>
      <c r="D112" s="38"/>
      <c r="E112" s="38"/>
      <c r="F112" s="14"/>
      <c r="G112" s="5" t="str">
        <f t="array" ref="G112">IF($A112="","",IFERROR($F112*(N($C112)*XLOOKUP($B112,Ceras!$A$2:$A$500,Ceras!$G$2:$G$500,0)+IF($D112="",0,N($E112)*XLOOKUP($D112,Ceras!$A$2:$A$500,Ceras!$G$2:$G$500,0))),"Revisar cera"))</f>
        <v/>
      </c>
      <c r="H112" s="5"/>
      <c r="I112" s="3"/>
      <c r="J112" s="14"/>
      <c r="K112" s="5" t="str">
        <f t="array" ref="K112">IF($A112="","",IFERROR($J112*XLOOKUP($I112,Pabilos!$A$2:$A$500,Pabilos!$H$2:$H$500,0),"Revisar pabilo"))</f>
        <v/>
      </c>
      <c r="L112" s="3"/>
      <c r="M112" s="14"/>
      <c r="N112" s="5" t="str">
        <f t="array" ref="N112">IF($A112="","",IFERROR($M112*XLOOKUP($L112,Esencias!$A$2:$A$501,Esencias!$G$2:$G$501,0),"Revisar esencia"))</f>
        <v/>
      </c>
      <c r="O112" s="3"/>
      <c r="P112" s="14"/>
      <c r="Q112" s="5" t="str">
        <f t="array" ref="Q112">IF($A112="","",IFERROR(IF($P112="",1,$P112)*XLOOKUP($O112,Colores!$A$2:$A$500,Colores!$H$2:$H$500,0),"Revisar color"))</f>
        <v/>
      </c>
      <c r="R112" s="3"/>
      <c r="S112" s="5" t="str">
        <f t="array" ref="S112">IF($A112="","",IF($R112="",0,IFERROR(VLOOKUP(LEFT(TRIM(MID(SUBSTITUTE($R112,";",REPT(" ",99)),1,99)),FIND(":",TRIM(MID(SUBSTITUTE($R112,";",REPT(" ",99)),1,99)))-1),Materiales!$A$2:$E$502,5,FALSE)*VALUE(MID(TRIM(MID(SUBSTITUTE($R112,";",REPT(" ",99)),1,99)),FIND(":",TRIM(MID(SUBSTITUTE($R112,";",REPT(" ",99)),1,99)))+1,99)),0) + IFERROR(VLOOKUP(LEFT(TRIM(MID(SUBSTITUTE($R112,";",REPT(" ",99)),100,99)),FIND(":",TRIM(MID(SUBSTITUTE($R112,";",REPT(" ",99)),100,99)))-1),Materiales!$A$2:$E$502,5,FALSE)*VALUE(MID(TRIM(MID(SUBSTITUTE($R112,";",REPT(" ",99)),100,99)),FIND(":",TRIM(MID(SUBSTITUTE($R112,";",REPT(" ",99)),100,99)))+1,99)),0) + IFERROR(VLOOKUP(LEFT(TRIM(MID(SUBSTITUTE($R112,";",REPT(" ",99)),199,99)),FIND(":",TRIM(MID(SUBSTITUTE($R112,";",REPT(" ",99)),199,99)))-1),Materiales!$A$2:$E$502,5,FALSE)*VALUE(MID(TRIM(MID(SUBSTITUTE($R112,";",REPT(" ",99)),199,99)),FIND(":",TRIM(MID(SUBSTITUTE($R112,";",REPT(" ",99)),199,99)))+1,99)),0) + IFERROR(VLOOKUP(LEFT(TRIM(MID(SUBSTITUTE($R112,";",REPT(" ",99)),298,99)),FIND(":",TRIM(MID(SUBSTITUTE($R112,";",REPT(" ",99)),298,99)))-1),Materiales!$A$2:$E$502,5,FALSE)*VALUE(MID(TRIM(MID(SUBSTITUTE($R112,";",REPT(" ",99)),298,99)),FIND(":",TRIM(MID(SUBSTITUTE($R112,";",REPT(" ",99)),298,99)))+1,99)),0) + IFERROR(VLOOKUP(LEFT(TRIM(MID(SUBSTITUTE($R112,";",REPT(" ",99)),397,99)),FIND(":",TRIM(MID(SUBSTITUTE($R112,";",REPT(" ",99)),397,99)))-1),Materiales!$A$2:$E$502,5,FALSE)*VALUE(MID(TRIM(MID(SUBSTITUTE($R112,";",REPT(" ",99)),397,99)),FIND(":",TRIM(MID(SUBSTITUTE($R112,";",REPT(" ",99)),397,99)))+1,99)),0) + IFERROR(VLOOKUP(LEFT(TRIM(MID(SUBSTITUTE($R112,";",REPT(" ",99)),496,99)),FIND(":",TRIM(MID(SUBSTITUTE($R112,";",REPT(" ",99)),496,99)))-1),Materiales!$A$2:$E$502,5,FALSE)*VALUE(MID(TRIM(MID(SUBSTITUTE($R112,";",REPT(" ",99)),496,99)),FIND(":",TRIM(MID(SUBSTITUTE($R112,";",REPT(" ",99)),496,99)))+1,99)),0) + IFERROR(VLOOKUP(LEFT(TRIM(MID(SUBSTITUTE($R112,";",REPT(" ",99)),595,99)),FIND(":",TRIM(MID(SUBSTITUTE($R112,";",REPT(" ",99)),595,99)))-1),Materiales!$A$2:$E$502,5,FALSE)*VALUE(MID(TRIM(MID(SUBSTITUTE($R112,";",REPT(" ",99)),595,99)),FIND(":",TRIM(MID(SUBSTITUTE($R112,";",REPT(" ",99)),595,99)))+1,99)),0) + IFERROR(VLOOKUP(LEFT(TRIM(MID(SUBSTITUTE($R112,";",REPT(" ",99)),694,99)),FIND(":",TRIM(MID(SUBSTITUTE($R112,";",REPT(" ",99)),694,99)))-1),Materiales!$A$2:$E$502,5,FALSE)*VALUE(MID(TRIM(MID(SUBSTITUTE($R112,";",REPT(" ",99)),694,99)),FIND(":",TRIM(MID(SUBSTITUTE($R112,";",REPT(" ",99)),694,99)))+1,99)),0) + IFERROR(VLOOKUP(LEFT(TRIM(MID(SUBSTITUTE($R112,";",REPT(" ",99)),793,99)),FIND(":",TRIM(MID(SUBSTITUTE($R112,";",REPT(" ",99)),793,99)))-1),Materiales!$A$2:$E$502,5,FALSE)*VALUE(MID(TRIM(MID(SUBSTITUTE($R112,";",REPT(" ",99)),793,99)),FIND(":",TRIM(MID(SUBSTITUTE($R112,";",REPT(" ",99)),793,99)))+1,99)),0) + IFERROR(VLOOKUP(LEFT(TRIM(MID(SUBSTITUTE($R112,";",REPT(" ",99)),892,99)),FIND(":",TRIM(MID(SUBSTITUTE($R112,";",REPT(" ",99)),892,99)))-1),Materiales!$A$2:$E$502,5,FALSE)*VALUE(MID(TRIM(MID(SUBSTITUTE($R112,";",REPT(" ",99)),892,99)),FIND(":",TRIM(MID(SUBSTITUTE($R112,";",REPT(" ",99)),892,99)))+1,99)),0)))</f>
        <v/>
      </c>
      <c r="T112" s="3"/>
      <c r="U112" s="5" t="str">
        <f t="array" ref="U112">IF($A112="","",IF($T112="",0,IFERROR(VLOOKUP(LEFT(TRIM(MID(SUBSTITUTE($T112,";",REPT(" ",99)),1,99)),FIND(":",TRIM(MID(SUBSTITUTE($T112,";",REPT(" ",99)),1,99)))-1),Materiales!$A$2:$E$502,5,FALSE)*VALUE(MID(TRIM(MID(SUBSTITUTE($T112,";",REPT(" ",99)),1,99)),FIND(":",TRIM(MID(SUBSTITUTE($T112,";",REPT(" ",99)),1,99)))+1,99)),0) + IFERROR(VLOOKUP(LEFT(TRIM(MID(SUBSTITUTE($T112,";",REPT(" ",99)),100,99)),FIND(":",TRIM(MID(SUBSTITUTE($T112,";",REPT(" ",99)),100,99)))-1),Materiales!$A$2:$E$502,5,FALSE)*VALUE(MID(TRIM(MID(SUBSTITUTE($T112,";",REPT(" ",99)),100,99)),FIND(":",TRIM(MID(SUBSTITUTE($T112,";",REPT(" ",99)),100,99)))+1,99)),0) + IFERROR(VLOOKUP(LEFT(TRIM(MID(SUBSTITUTE($T112,";",REPT(" ",99)),199,99)),FIND(":",TRIM(MID(SUBSTITUTE($T112,";",REPT(" ",99)),199,99)))-1),Materiales!$A$2:$E$502,5,FALSE)*VALUE(MID(TRIM(MID(SUBSTITUTE($T112,";",REPT(" ",99)),199,99)),FIND(":",TRIM(MID(SUBSTITUTE($T112,";",REPT(" ",99)),199,99)))+1,99)),0) + IFERROR(VLOOKUP(LEFT(TRIM(MID(SUBSTITUTE($T112,";",REPT(" ",99)),298,99)),FIND(":",TRIM(MID(SUBSTITUTE($T112,";",REPT(" ",99)),298,99)))-1),Materiales!$A$2:$E$502,5,FALSE)*VALUE(MID(TRIM(MID(SUBSTITUTE($T112,";",REPT(" ",99)),298,99)),FIND(":",TRIM(MID(SUBSTITUTE($T112,";",REPT(" ",99)),298,99)))+1,99)),0) + IFERROR(VLOOKUP(LEFT(TRIM(MID(SUBSTITUTE($T112,";",REPT(" ",99)),397,99)),FIND(":",TRIM(MID(SUBSTITUTE($T112,";",REPT(" ",99)),397,99)))-1),Materiales!$A$2:$E$502,5,FALSE)*VALUE(MID(TRIM(MID(SUBSTITUTE($T112,";",REPT(" ",99)),397,99)),FIND(":",TRIM(MID(SUBSTITUTE($T112,";",REPT(" ",99)),397,99)))+1,99)),0) + IFERROR(VLOOKUP(LEFT(TRIM(MID(SUBSTITUTE($T112,";",REPT(" ",99)),496,99)),FIND(":",TRIM(MID(SUBSTITUTE($T112,";",REPT(" ",99)),496,99)))-1),Materiales!$A$2:$E$502,5,FALSE)*VALUE(MID(TRIM(MID(SUBSTITUTE($T112,";",REPT(" ",99)),496,99)),FIND(":",TRIM(MID(SUBSTITUTE($T112,";",REPT(" ",99)),496,99)))+1,99)),0) + IFERROR(VLOOKUP(LEFT(TRIM(MID(SUBSTITUTE($T112,";",REPT(" ",99)),595,99)),FIND(":",TRIM(MID(SUBSTITUTE($T112,";",REPT(" ",99)),595,99)))-1),Materiales!$A$2:$E$502,5,FALSE)*VALUE(MID(TRIM(MID(SUBSTITUTE($T112,";",REPT(" ",99)),595,99)),FIND(":",TRIM(MID(SUBSTITUTE($T112,";",REPT(" ",99)),595,99)))+1,99)),0) + IFERROR(VLOOKUP(LEFT(TRIM(MID(SUBSTITUTE($T112,";",REPT(" ",99)),694,99)),FIND(":",TRIM(MID(SUBSTITUTE($T112,";",REPT(" ",99)),694,99)))-1),Materiales!$A$2:$E$502,5,FALSE)*VALUE(MID(TRIM(MID(SUBSTITUTE($T112,";",REPT(" ",99)),694,99)),FIND(":",TRIM(MID(SUBSTITUTE($T112,";",REPT(" ",99)),694,99)))+1,99)),0) + IFERROR(VLOOKUP(LEFT(TRIM(MID(SUBSTITUTE($T112,";",REPT(" ",99)),793,99)),FIND(":",TRIM(MID(SUBSTITUTE($T112,";",REPT(" ",99)),793,99)))-1),Materiales!$A$2:$E$502,5,FALSE)*VALUE(MID(TRIM(MID(SUBSTITUTE($T112,";",REPT(" ",99)),793,99)),FIND(":",TRIM(MID(SUBSTITUTE($T112,";",REPT(" ",99)),793,99)))+1,99)),0) + IFERROR(VLOOKUP(LEFT(TRIM(MID(SUBSTITUTE($T112,";",REPT(" ",99)),892,99)),FIND(":",TRIM(MID(SUBSTITUTE($T112,";",REPT(" ",99)),892,99)))-1),Materiales!$A$2:$E$502,5,FALSE)*VALUE(MID(TRIM(MID(SUBSTITUTE($T112,";",REPT(" ",99)),892,99)),FIND(":",TRIM(MID(SUBSTITUTE($T112,";",REPT(" ",99)),892,99)))+1,99)),0)))</f>
        <v/>
      </c>
      <c r="V112" s="3"/>
      <c r="W112" s="5" t="str">
        <f t="array" ref="W112">IF($A112="","",IF($V112="",0,IFERROR(VLOOKUP(LEFT(TRIM(MID(SUBSTITUTE($V112,";",REPT(" ",99)),1,99)),FIND(":",TRIM(MID(SUBSTITUTE($V112,";",REPT(" ",99)),1,99)))-1),Materiales!$A$2:$E$502,5,FALSE)*VALUE(MID(TRIM(MID(SUBSTITUTE($V112,";",REPT(" ",99)),1,99)),FIND(":",TRIM(MID(SUBSTITUTE($V112,";",REPT(" ",99)),1,99)))+1,99)),0) + IFERROR(VLOOKUP(LEFT(TRIM(MID(SUBSTITUTE($V112,";",REPT(" ",99)),100,99)),FIND(":",TRIM(MID(SUBSTITUTE($V112,";",REPT(" ",99)),100,99)))-1),Materiales!$A$2:$E$502,5,FALSE)*VALUE(MID(TRIM(MID(SUBSTITUTE($V112,";",REPT(" ",99)),100,99)),FIND(":",TRIM(MID(SUBSTITUTE($V112,";",REPT(" ",99)),100,99)))+1,99)),0) + IFERROR(VLOOKUP(LEFT(TRIM(MID(SUBSTITUTE($V112,";",REPT(" ",99)),199,99)),FIND(":",TRIM(MID(SUBSTITUTE($V112,";",REPT(" ",99)),199,99)))-1),Materiales!$A$2:$E$502,5,FALSE)*VALUE(MID(TRIM(MID(SUBSTITUTE($V112,";",REPT(" ",99)),199,99)),FIND(":",TRIM(MID(SUBSTITUTE($V112,";",REPT(" ",99)),199,99)))+1,99)),0) + IFERROR(VLOOKUP(LEFT(TRIM(MID(SUBSTITUTE($V112,";",REPT(" ",99)),298,99)),FIND(":",TRIM(MID(SUBSTITUTE($V112,";",REPT(" ",99)),298,99)))-1),Materiales!$A$2:$E$502,5,FALSE)*VALUE(MID(TRIM(MID(SUBSTITUTE($V112,";",REPT(" ",99)),298,99)),FIND(":",TRIM(MID(SUBSTITUTE($V112,";",REPT(" ",99)),298,99)))+1,99)),0) + IFERROR(VLOOKUP(LEFT(TRIM(MID(SUBSTITUTE($V112,";",REPT(" ",99)),397,99)),FIND(":",TRIM(MID(SUBSTITUTE($V112,";",REPT(" ",99)),397,99)))-1),Materiales!$A$2:$E$502,5,FALSE)*VALUE(MID(TRIM(MID(SUBSTITUTE($V112,";",REPT(" ",99)),397,99)),FIND(":",TRIM(MID(SUBSTITUTE($V112,";",REPT(" ",99)),397,99)))+1,99)),0) + IFERROR(VLOOKUP(LEFT(TRIM(MID(SUBSTITUTE($V112,";",REPT(" ",99)),496,99)),FIND(":",TRIM(MID(SUBSTITUTE($V112,";",REPT(" ",99)),496,99)))-1),Materiales!$A$2:$E$502,5,FALSE)*VALUE(MID(TRIM(MID(SUBSTITUTE($V112,";",REPT(" ",99)),496,99)),FIND(":",TRIM(MID(SUBSTITUTE($V112,";",REPT(" ",99)),496,99)))+1,99)),0) + IFERROR(VLOOKUP(LEFT(TRIM(MID(SUBSTITUTE($V112,";",REPT(" ",99)),595,99)),FIND(":",TRIM(MID(SUBSTITUTE($V112,";",REPT(" ",99)),595,99)))-1),Materiales!$A$2:$E$502,5,FALSE)*VALUE(MID(TRIM(MID(SUBSTITUTE($V112,";",REPT(" ",99)),595,99)),FIND(":",TRIM(MID(SUBSTITUTE($V112,";",REPT(" ",99)),595,99)))+1,99)),0) + IFERROR(VLOOKUP(LEFT(TRIM(MID(SUBSTITUTE($V112,";",REPT(" ",99)),694,99)),FIND(":",TRIM(MID(SUBSTITUTE($V112,";",REPT(" ",99)),694,99)))-1),Materiales!$A$2:$E$502,5,FALSE)*VALUE(MID(TRIM(MID(SUBSTITUTE($V112,";",REPT(" ",99)),694,99)),FIND(":",TRIM(MID(SUBSTITUTE($V112,";",REPT(" ",99)),694,99)))+1,99)),0) + IFERROR(VLOOKUP(LEFT(TRIM(MID(SUBSTITUTE($V112,";",REPT(" ",99)),793,99)),FIND(":",TRIM(MID(SUBSTITUTE($V112,";",REPT(" ",99)),793,99)))-1),Materiales!$A$2:$E$502,5,FALSE)*VALUE(MID(TRIM(MID(SUBSTITUTE($V112,";",REPT(" ",99)),793,99)),FIND(":",TRIM(MID(SUBSTITUTE($V112,";",REPT(" ",99)),793,99)))+1,99)),0) + IFERROR(VLOOKUP(LEFT(TRIM(MID(SUBSTITUTE($V112,";",REPT(" ",99)),892,99)),FIND(":",TRIM(MID(SUBSTITUTE($V112,";",REPT(" ",99)),892,99)))-1),Materiales!$A$2:$E$502,5,FALSE)*VALUE(MID(TRIM(MID(SUBSTITUTE($V112,";",REPT(" ",99)),892,99)),FIND(":",TRIM(MID(SUBSTITUTE($V112,";",REPT(" ",99)),892,99)))+1,99)),0)))</f>
        <v/>
      </c>
      <c r="X112" s="39" t="str">
        <f t="shared" si="13"/>
        <v/>
      </c>
      <c r="Y112" s="64"/>
      <c r="Z112" s="41"/>
      <c r="AA112" s="65"/>
      <c r="AB112" s="14"/>
      <c r="AC112" s="66"/>
      <c r="AD112" s="65"/>
      <c r="AE112" s="44">
        <f t="shared" si="17"/>
        <v>0</v>
      </c>
      <c r="AF112" s="45" t="str">
        <f t="shared" ref="AF112:AF267" si="20">((AD112/AE112)-1)</f>
        <v>#DIV/0!</v>
      </c>
    </row>
    <row r="113" ht="15.75" customHeight="1">
      <c r="A113" s="3"/>
      <c r="B113" s="3"/>
      <c r="C113" s="38"/>
      <c r="D113" s="38"/>
      <c r="E113" s="38"/>
      <c r="F113" s="14"/>
      <c r="G113" s="5" t="str">
        <f t="array" ref="G113">IF($A113="","",IFERROR($F113*(N($C113)*XLOOKUP($B113,Ceras!$A$2:$A$500,Ceras!$G$2:$G$500,0)+IF($D113="",0,N($E113)*XLOOKUP($D113,Ceras!$A$2:$A$500,Ceras!$G$2:$G$500,0))),"Revisar cera"))</f>
        <v/>
      </c>
      <c r="H113" s="5"/>
      <c r="I113" s="3"/>
      <c r="J113" s="14"/>
      <c r="K113" s="5" t="str">
        <f t="array" ref="K113">IF($A113="","",IFERROR($J113*XLOOKUP($I113,Pabilos!$A$2:$A$500,Pabilos!$H$2:$H$500,0),"Revisar pabilo"))</f>
        <v/>
      </c>
      <c r="L113" s="3"/>
      <c r="M113" s="14"/>
      <c r="N113" s="5" t="str">
        <f t="array" ref="N113">IF($A113="","",IFERROR($M113*XLOOKUP($L113,Esencias!$A$2:$A$501,Esencias!$G$2:$G$501,0),"Revisar esencia"))</f>
        <v/>
      </c>
      <c r="O113" s="3"/>
      <c r="P113" s="14"/>
      <c r="Q113" s="5" t="str">
        <f t="array" ref="Q113">IF($A113="","",IFERROR(IF($P113="",1,$P113)*XLOOKUP($O113,Colores!$A$2:$A$500,Colores!$H$2:$H$500,0),"Revisar color"))</f>
        <v/>
      </c>
      <c r="R113" s="3"/>
      <c r="S113" s="5" t="str">
        <f t="array" ref="S113">IF($A113="","",IF($R113="",0,IFERROR(VLOOKUP(LEFT(TRIM(MID(SUBSTITUTE($R113,";",REPT(" ",99)),1,99)),FIND(":",TRIM(MID(SUBSTITUTE($R113,";",REPT(" ",99)),1,99)))-1),Materiales!$A$2:$E$502,5,FALSE)*VALUE(MID(TRIM(MID(SUBSTITUTE($R113,";",REPT(" ",99)),1,99)),FIND(":",TRIM(MID(SUBSTITUTE($R113,";",REPT(" ",99)),1,99)))+1,99)),0) + IFERROR(VLOOKUP(LEFT(TRIM(MID(SUBSTITUTE($R113,";",REPT(" ",99)),100,99)),FIND(":",TRIM(MID(SUBSTITUTE($R113,";",REPT(" ",99)),100,99)))-1),Materiales!$A$2:$E$502,5,FALSE)*VALUE(MID(TRIM(MID(SUBSTITUTE($R113,";",REPT(" ",99)),100,99)),FIND(":",TRIM(MID(SUBSTITUTE($R113,";",REPT(" ",99)),100,99)))+1,99)),0) + IFERROR(VLOOKUP(LEFT(TRIM(MID(SUBSTITUTE($R113,";",REPT(" ",99)),199,99)),FIND(":",TRIM(MID(SUBSTITUTE($R113,";",REPT(" ",99)),199,99)))-1),Materiales!$A$2:$E$502,5,FALSE)*VALUE(MID(TRIM(MID(SUBSTITUTE($R113,";",REPT(" ",99)),199,99)),FIND(":",TRIM(MID(SUBSTITUTE($R113,";",REPT(" ",99)),199,99)))+1,99)),0) + IFERROR(VLOOKUP(LEFT(TRIM(MID(SUBSTITUTE($R113,";",REPT(" ",99)),298,99)),FIND(":",TRIM(MID(SUBSTITUTE($R113,";",REPT(" ",99)),298,99)))-1),Materiales!$A$2:$E$502,5,FALSE)*VALUE(MID(TRIM(MID(SUBSTITUTE($R113,";",REPT(" ",99)),298,99)),FIND(":",TRIM(MID(SUBSTITUTE($R113,";",REPT(" ",99)),298,99)))+1,99)),0) + IFERROR(VLOOKUP(LEFT(TRIM(MID(SUBSTITUTE($R113,";",REPT(" ",99)),397,99)),FIND(":",TRIM(MID(SUBSTITUTE($R113,";",REPT(" ",99)),397,99)))-1),Materiales!$A$2:$E$502,5,FALSE)*VALUE(MID(TRIM(MID(SUBSTITUTE($R113,";",REPT(" ",99)),397,99)),FIND(":",TRIM(MID(SUBSTITUTE($R113,";",REPT(" ",99)),397,99)))+1,99)),0) + IFERROR(VLOOKUP(LEFT(TRIM(MID(SUBSTITUTE($R113,";",REPT(" ",99)),496,99)),FIND(":",TRIM(MID(SUBSTITUTE($R113,";",REPT(" ",99)),496,99)))-1),Materiales!$A$2:$E$502,5,FALSE)*VALUE(MID(TRIM(MID(SUBSTITUTE($R113,";",REPT(" ",99)),496,99)),FIND(":",TRIM(MID(SUBSTITUTE($R113,";",REPT(" ",99)),496,99)))+1,99)),0) + IFERROR(VLOOKUP(LEFT(TRIM(MID(SUBSTITUTE($R113,";",REPT(" ",99)),595,99)),FIND(":",TRIM(MID(SUBSTITUTE($R113,";",REPT(" ",99)),595,99)))-1),Materiales!$A$2:$E$502,5,FALSE)*VALUE(MID(TRIM(MID(SUBSTITUTE($R113,";",REPT(" ",99)),595,99)),FIND(":",TRIM(MID(SUBSTITUTE($R113,";",REPT(" ",99)),595,99)))+1,99)),0) + IFERROR(VLOOKUP(LEFT(TRIM(MID(SUBSTITUTE($R113,";",REPT(" ",99)),694,99)),FIND(":",TRIM(MID(SUBSTITUTE($R113,";",REPT(" ",99)),694,99)))-1),Materiales!$A$2:$E$502,5,FALSE)*VALUE(MID(TRIM(MID(SUBSTITUTE($R113,";",REPT(" ",99)),694,99)),FIND(":",TRIM(MID(SUBSTITUTE($R113,";",REPT(" ",99)),694,99)))+1,99)),0) + IFERROR(VLOOKUP(LEFT(TRIM(MID(SUBSTITUTE($R113,";",REPT(" ",99)),793,99)),FIND(":",TRIM(MID(SUBSTITUTE($R113,";",REPT(" ",99)),793,99)))-1),Materiales!$A$2:$E$502,5,FALSE)*VALUE(MID(TRIM(MID(SUBSTITUTE($R113,";",REPT(" ",99)),793,99)),FIND(":",TRIM(MID(SUBSTITUTE($R113,";",REPT(" ",99)),793,99)))+1,99)),0) + IFERROR(VLOOKUP(LEFT(TRIM(MID(SUBSTITUTE($R113,";",REPT(" ",99)),892,99)),FIND(":",TRIM(MID(SUBSTITUTE($R113,";",REPT(" ",99)),892,99)))-1),Materiales!$A$2:$E$502,5,FALSE)*VALUE(MID(TRIM(MID(SUBSTITUTE($R113,";",REPT(" ",99)),892,99)),FIND(":",TRIM(MID(SUBSTITUTE($R113,";",REPT(" ",99)),892,99)))+1,99)),0)))</f>
        <v/>
      </c>
      <c r="T113" s="3"/>
      <c r="U113" s="5" t="str">
        <f t="array" ref="U113">IF($A113="","",IF($T113="",0,IFERROR(VLOOKUP(LEFT(TRIM(MID(SUBSTITUTE($T113,";",REPT(" ",99)),1,99)),FIND(":",TRIM(MID(SUBSTITUTE($T113,";",REPT(" ",99)),1,99)))-1),Materiales!$A$2:$E$502,5,FALSE)*VALUE(MID(TRIM(MID(SUBSTITUTE($T113,";",REPT(" ",99)),1,99)),FIND(":",TRIM(MID(SUBSTITUTE($T113,";",REPT(" ",99)),1,99)))+1,99)),0) + IFERROR(VLOOKUP(LEFT(TRIM(MID(SUBSTITUTE($T113,";",REPT(" ",99)),100,99)),FIND(":",TRIM(MID(SUBSTITUTE($T113,";",REPT(" ",99)),100,99)))-1),Materiales!$A$2:$E$502,5,FALSE)*VALUE(MID(TRIM(MID(SUBSTITUTE($T113,";",REPT(" ",99)),100,99)),FIND(":",TRIM(MID(SUBSTITUTE($T113,";",REPT(" ",99)),100,99)))+1,99)),0) + IFERROR(VLOOKUP(LEFT(TRIM(MID(SUBSTITUTE($T113,";",REPT(" ",99)),199,99)),FIND(":",TRIM(MID(SUBSTITUTE($T113,";",REPT(" ",99)),199,99)))-1),Materiales!$A$2:$E$502,5,FALSE)*VALUE(MID(TRIM(MID(SUBSTITUTE($T113,";",REPT(" ",99)),199,99)),FIND(":",TRIM(MID(SUBSTITUTE($T113,";",REPT(" ",99)),199,99)))+1,99)),0) + IFERROR(VLOOKUP(LEFT(TRIM(MID(SUBSTITUTE($T113,";",REPT(" ",99)),298,99)),FIND(":",TRIM(MID(SUBSTITUTE($T113,";",REPT(" ",99)),298,99)))-1),Materiales!$A$2:$E$502,5,FALSE)*VALUE(MID(TRIM(MID(SUBSTITUTE($T113,";",REPT(" ",99)),298,99)),FIND(":",TRIM(MID(SUBSTITUTE($T113,";",REPT(" ",99)),298,99)))+1,99)),0) + IFERROR(VLOOKUP(LEFT(TRIM(MID(SUBSTITUTE($T113,";",REPT(" ",99)),397,99)),FIND(":",TRIM(MID(SUBSTITUTE($T113,";",REPT(" ",99)),397,99)))-1),Materiales!$A$2:$E$502,5,FALSE)*VALUE(MID(TRIM(MID(SUBSTITUTE($T113,";",REPT(" ",99)),397,99)),FIND(":",TRIM(MID(SUBSTITUTE($T113,";",REPT(" ",99)),397,99)))+1,99)),0) + IFERROR(VLOOKUP(LEFT(TRIM(MID(SUBSTITUTE($T113,";",REPT(" ",99)),496,99)),FIND(":",TRIM(MID(SUBSTITUTE($T113,";",REPT(" ",99)),496,99)))-1),Materiales!$A$2:$E$502,5,FALSE)*VALUE(MID(TRIM(MID(SUBSTITUTE($T113,";",REPT(" ",99)),496,99)),FIND(":",TRIM(MID(SUBSTITUTE($T113,";",REPT(" ",99)),496,99)))+1,99)),0) + IFERROR(VLOOKUP(LEFT(TRIM(MID(SUBSTITUTE($T113,";",REPT(" ",99)),595,99)),FIND(":",TRIM(MID(SUBSTITUTE($T113,";",REPT(" ",99)),595,99)))-1),Materiales!$A$2:$E$502,5,FALSE)*VALUE(MID(TRIM(MID(SUBSTITUTE($T113,";",REPT(" ",99)),595,99)),FIND(":",TRIM(MID(SUBSTITUTE($T113,";",REPT(" ",99)),595,99)))+1,99)),0) + IFERROR(VLOOKUP(LEFT(TRIM(MID(SUBSTITUTE($T113,";",REPT(" ",99)),694,99)),FIND(":",TRIM(MID(SUBSTITUTE($T113,";",REPT(" ",99)),694,99)))-1),Materiales!$A$2:$E$502,5,FALSE)*VALUE(MID(TRIM(MID(SUBSTITUTE($T113,";",REPT(" ",99)),694,99)),FIND(":",TRIM(MID(SUBSTITUTE($T113,";",REPT(" ",99)),694,99)))+1,99)),0) + IFERROR(VLOOKUP(LEFT(TRIM(MID(SUBSTITUTE($T113,";",REPT(" ",99)),793,99)),FIND(":",TRIM(MID(SUBSTITUTE($T113,";",REPT(" ",99)),793,99)))-1),Materiales!$A$2:$E$502,5,FALSE)*VALUE(MID(TRIM(MID(SUBSTITUTE($T113,";",REPT(" ",99)),793,99)),FIND(":",TRIM(MID(SUBSTITUTE($T113,";",REPT(" ",99)),793,99)))+1,99)),0) + IFERROR(VLOOKUP(LEFT(TRIM(MID(SUBSTITUTE($T113,";",REPT(" ",99)),892,99)),FIND(":",TRIM(MID(SUBSTITUTE($T113,";",REPT(" ",99)),892,99)))-1),Materiales!$A$2:$E$502,5,FALSE)*VALUE(MID(TRIM(MID(SUBSTITUTE($T113,";",REPT(" ",99)),892,99)),FIND(":",TRIM(MID(SUBSTITUTE($T113,";",REPT(" ",99)),892,99)))+1,99)),0)))</f>
        <v/>
      </c>
      <c r="V113" s="3"/>
      <c r="W113" s="5" t="str">
        <f t="array" ref="W113">IF($A113="","",IF($V113="",0,IFERROR(VLOOKUP(LEFT(TRIM(MID(SUBSTITUTE($V113,";",REPT(" ",99)),1,99)),FIND(":",TRIM(MID(SUBSTITUTE($V113,";",REPT(" ",99)),1,99)))-1),Materiales!$A$2:$E$502,5,FALSE)*VALUE(MID(TRIM(MID(SUBSTITUTE($V113,";",REPT(" ",99)),1,99)),FIND(":",TRIM(MID(SUBSTITUTE($V113,";",REPT(" ",99)),1,99)))+1,99)),0) + IFERROR(VLOOKUP(LEFT(TRIM(MID(SUBSTITUTE($V113,";",REPT(" ",99)),100,99)),FIND(":",TRIM(MID(SUBSTITUTE($V113,";",REPT(" ",99)),100,99)))-1),Materiales!$A$2:$E$502,5,FALSE)*VALUE(MID(TRIM(MID(SUBSTITUTE($V113,";",REPT(" ",99)),100,99)),FIND(":",TRIM(MID(SUBSTITUTE($V113,";",REPT(" ",99)),100,99)))+1,99)),0) + IFERROR(VLOOKUP(LEFT(TRIM(MID(SUBSTITUTE($V113,";",REPT(" ",99)),199,99)),FIND(":",TRIM(MID(SUBSTITUTE($V113,";",REPT(" ",99)),199,99)))-1),Materiales!$A$2:$E$502,5,FALSE)*VALUE(MID(TRIM(MID(SUBSTITUTE($V113,";",REPT(" ",99)),199,99)),FIND(":",TRIM(MID(SUBSTITUTE($V113,";",REPT(" ",99)),199,99)))+1,99)),0) + IFERROR(VLOOKUP(LEFT(TRIM(MID(SUBSTITUTE($V113,";",REPT(" ",99)),298,99)),FIND(":",TRIM(MID(SUBSTITUTE($V113,";",REPT(" ",99)),298,99)))-1),Materiales!$A$2:$E$502,5,FALSE)*VALUE(MID(TRIM(MID(SUBSTITUTE($V113,";",REPT(" ",99)),298,99)),FIND(":",TRIM(MID(SUBSTITUTE($V113,";",REPT(" ",99)),298,99)))+1,99)),0) + IFERROR(VLOOKUP(LEFT(TRIM(MID(SUBSTITUTE($V113,";",REPT(" ",99)),397,99)),FIND(":",TRIM(MID(SUBSTITUTE($V113,";",REPT(" ",99)),397,99)))-1),Materiales!$A$2:$E$502,5,FALSE)*VALUE(MID(TRIM(MID(SUBSTITUTE($V113,";",REPT(" ",99)),397,99)),FIND(":",TRIM(MID(SUBSTITUTE($V113,";",REPT(" ",99)),397,99)))+1,99)),0) + IFERROR(VLOOKUP(LEFT(TRIM(MID(SUBSTITUTE($V113,";",REPT(" ",99)),496,99)),FIND(":",TRIM(MID(SUBSTITUTE($V113,";",REPT(" ",99)),496,99)))-1),Materiales!$A$2:$E$502,5,FALSE)*VALUE(MID(TRIM(MID(SUBSTITUTE($V113,";",REPT(" ",99)),496,99)),FIND(":",TRIM(MID(SUBSTITUTE($V113,";",REPT(" ",99)),496,99)))+1,99)),0) + IFERROR(VLOOKUP(LEFT(TRIM(MID(SUBSTITUTE($V113,";",REPT(" ",99)),595,99)),FIND(":",TRIM(MID(SUBSTITUTE($V113,";",REPT(" ",99)),595,99)))-1),Materiales!$A$2:$E$502,5,FALSE)*VALUE(MID(TRIM(MID(SUBSTITUTE($V113,";",REPT(" ",99)),595,99)),FIND(":",TRIM(MID(SUBSTITUTE($V113,";",REPT(" ",99)),595,99)))+1,99)),0) + IFERROR(VLOOKUP(LEFT(TRIM(MID(SUBSTITUTE($V113,";",REPT(" ",99)),694,99)),FIND(":",TRIM(MID(SUBSTITUTE($V113,";",REPT(" ",99)),694,99)))-1),Materiales!$A$2:$E$502,5,FALSE)*VALUE(MID(TRIM(MID(SUBSTITUTE($V113,";",REPT(" ",99)),694,99)),FIND(":",TRIM(MID(SUBSTITUTE($V113,";",REPT(" ",99)),694,99)))+1,99)),0) + IFERROR(VLOOKUP(LEFT(TRIM(MID(SUBSTITUTE($V113,";",REPT(" ",99)),793,99)),FIND(":",TRIM(MID(SUBSTITUTE($V113,";",REPT(" ",99)),793,99)))-1),Materiales!$A$2:$E$502,5,FALSE)*VALUE(MID(TRIM(MID(SUBSTITUTE($V113,";",REPT(" ",99)),793,99)),FIND(":",TRIM(MID(SUBSTITUTE($V113,";",REPT(" ",99)),793,99)))+1,99)),0) + IFERROR(VLOOKUP(LEFT(TRIM(MID(SUBSTITUTE($V113,";",REPT(" ",99)),892,99)),FIND(":",TRIM(MID(SUBSTITUTE($V113,";",REPT(" ",99)),892,99)))-1),Materiales!$A$2:$E$502,5,FALSE)*VALUE(MID(TRIM(MID(SUBSTITUTE($V113,";",REPT(" ",99)),892,99)),FIND(":",TRIM(MID(SUBSTITUTE($V113,";",REPT(" ",99)),892,99)))+1,99)),0)))</f>
        <v/>
      </c>
      <c r="X113" s="39" t="str">
        <f t="shared" si="13"/>
        <v/>
      </c>
      <c r="Y113" s="64"/>
      <c r="Z113" s="41"/>
      <c r="AA113" s="65"/>
      <c r="AB113" s="14"/>
      <c r="AC113" s="66"/>
      <c r="AD113" s="65"/>
      <c r="AE113" s="44">
        <f t="shared" si="17"/>
        <v>0</v>
      </c>
      <c r="AF113" s="45" t="str">
        <f t="shared" si="20"/>
        <v>#DIV/0!</v>
      </c>
    </row>
    <row r="114" ht="15.75" customHeight="1">
      <c r="A114" s="3"/>
      <c r="B114" s="3"/>
      <c r="C114" s="38"/>
      <c r="D114" s="38"/>
      <c r="E114" s="38"/>
      <c r="F114" s="14"/>
      <c r="G114" s="5" t="str">
        <f t="array" ref="G114">IF($A114="","",IFERROR($F114*(N($C114)*XLOOKUP($B114,Ceras!$A$2:$A$500,Ceras!$G$2:$G$500,0)+IF($D114="",0,N($E114)*XLOOKUP($D114,Ceras!$A$2:$A$500,Ceras!$G$2:$G$500,0))),"Revisar cera"))</f>
        <v/>
      </c>
      <c r="H114" s="5"/>
      <c r="I114" s="3"/>
      <c r="J114" s="14"/>
      <c r="K114" s="5" t="str">
        <f t="array" ref="K114">IF($A114="","",IFERROR($J114*XLOOKUP($I114,Pabilos!$A$2:$A$500,Pabilos!$H$2:$H$500,0),"Revisar pabilo"))</f>
        <v/>
      </c>
      <c r="L114" s="3"/>
      <c r="M114" s="14"/>
      <c r="N114" s="5" t="str">
        <f t="array" ref="N114">IF($A114="","",IFERROR($M114*XLOOKUP($L114,Esencias!$A$2:$A$501,Esencias!$G$2:$G$501,0),"Revisar esencia"))</f>
        <v/>
      </c>
      <c r="O114" s="3"/>
      <c r="P114" s="14"/>
      <c r="Q114" s="5" t="str">
        <f t="array" ref="Q114">IF($A114="","",IFERROR(IF($P114="",1,$P114)*XLOOKUP($O114,Colores!$A$2:$A$500,Colores!$H$2:$H$500,0),"Revisar color"))</f>
        <v/>
      </c>
      <c r="R114" s="3"/>
      <c r="S114" s="5" t="str">
        <f t="array" ref="S114">IF($A114="","",IF($R114="",0,IFERROR(VLOOKUP(LEFT(TRIM(MID(SUBSTITUTE($R114,";",REPT(" ",99)),1,99)),FIND(":",TRIM(MID(SUBSTITUTE($R114,";",REPT(" ",99)),1,99)))-1),Materiales!$A$2:$E$502,5,FALSE)*VALUE(MID(TRIM(MID(SUBSTITUTE($R114,";",REPT(" ",99)),1,99)),FIND(":",TRIM(MID(SUBSTITUTE($R114,";",REPT(" ",99)),1,99)))+1,99)),0) + IFERROR(VLOOKUP(LEFT(TRIM(MID(SUBSTITUTE($R114,";",REPT(" ",99)),100,99)),FIND(":",TRIM(MID(SUBSTITUTE($R114,";",REPT(" ",99)),100,99)))-1),Materiales!$A$2:$E$502,5,FALSE)*VALUE(MID(TRIM(MID(SUBSTITUTE($R114,";",REPT(" ",99)),100,99)),FIND(":",TRIM(MID(SUBSTITUTE($R114,";",REPT(" ",99)),100,99)))+1,99)),0) + IFERROR(VLOOKUP(LEFT(TRIM(MID(SUBSTITUTE($R114,";",REPT(" ",99)),199,99)),FIND(":",TRIM(MID(SUBSTITUTE($R114,";",REPT(" ",99)),199,99)))-1),Materiales!$A$2:$E$502,5,FALSE)*VALUE(MID(TRIM(MID(SUBSTITUTE($R114,";",REPT(" ",99)),199,99)),FIND(":",TRIM(MID(SUBSTITUTE($R114,";",REPT(" ",99)),199,99)))+1,99)),0) + IFERROR(VLOOKUP(LEFT(TRIM(MID(SUBSTITUTE($R114,";",REPT(" ",99)),298,99)),FIND(":",TRIM(MID(SUBSTITUTE($R114,";",REPT(" ",99)),298,99)))-1),Materiales!$A$2:$E$502,5,FALSE)*VALUE(MID(TRIM(MID(SUBSTITUTE($R114,";",REPT(" ",99)),298,99)),FIND(":",TRIM(MID(SUBSTITUTE($R114,";",REPT(" ",99)),298,99)))+1,99)),0) + IFERROR(VLOOKUP(LEFT(TRIM(MID(SUBSTITUTE($R114,";",REPT(" ",99)),397,99)),FIND(":",TRIM(MID(SUBSTITUTE($R114,";",REPT(" ",99)),397,99)))-1),Materiales!$A$2:$E$502,5,FALSE)*VALUE(MID(TRIM(MID(SUBSTITUTE($R114,";",REPT(" ",99)),397,99)),FIND(":",TRIM(MID(SUBSTITUTE($R114,";",REPT(" ",99)),397,99)))+1,99)),0) + IFERROR(VLOOKUP(LEFT(TRIM(MID(SUBSTITUTE($R114,";",REPT(" ",99)),496,99)),FIND(":",TRIM(MID(SUBSTITUTE($R114,";",REPT(" ",99)),496,99)))-1),Materiales!$A$2:$E$502,5,FALSE)*VALUE(MID(TRIM(MID(SUBSTITUTE($R114,";",REPT(" ",99)),496,99)),FIND(":",TRIM(MID(SUBSTITUTE($R114,";",REPT(" ",99)),496,99)))+1,99)),0) + IFERROR(VLOOKUP(LEFT(TRIM(MID(SUBSTITUTE($R114,";",REPT(" ",99)),595,99)),FIND(":",TRIM(MID(SUBSTITUTE($R114,";",REPT(" ",99)),595,99)))-1),Materiales!$A$2:$E$502,5,FALSE)*VALUE(MID(TRIM(MID(SUBSTITUTE($R114,";",REPT(" ",99)),595,99)),FIND(":",TRIM(MID(SUBSTITUTE($R114,";",REPT(" ",99)),595,99)))+1,99)),0) + IFERROR(VLOOKUP(LEFT(TRIM(MID(SUBSTITUTE($R114,";",REPT(" ",99)),694,99)),FIND(":",TRIM(MID(SUBSTITUTE($R114,";",REPT(" ",99)),694,99)))-1),Materiales!$A$2:$E$502,5,FALSE)*VALUE(MID(TRIM(MID(SUBSTITUTE($R114,";",REPT(" ",99)),694,99)),FIND(":",TRIM(MID(SUBSTITUTE($R114,";",REPT(" ",99)),694,99)))+1,99)),0) + IFERROR(VLOOKUP(LEFT(TRIM(MID(SUBSTITUTE($R114,";",REPT(" ",99)),793,99)),FIND(":",TRIM(MID(SUBSTITUTE($R114,";",REPT(" ",99)),793,99)))-1),Materiales!$A$2:$E$502,5,FALSE)*VALUE(MID(TRIM(MID(SUBSTITUTE($R114,";",REPT(" ",99)),793,99)),FIND(":",TRIM(MID(SUBSTITUTE($R114,";",REPT(" ",99)),793,99)))+1,99)),0) + IFERROR(VLOOKUP(LEFT(TRIM(MID(SUBSTITUTE($R114,";",REPT(" ",99)),892,99)),FIND(":",TRIM(MID(SUBSTITUTE($R114,";",REPT(" ",99)),892,99)))-1),Materiales!$A$2:$E$502,5,FALSE)*VALUE(MID(TRIM(MID(SUBSTITUTE($R114,";",REPT(" ",99)),892,99)),FIND(":",TRIM(MID(SUBSTITUTE($R114,";",REPT(" ",99)),892,99)))+1,99)),0)))</f>
        <v/>
      </c>
      <c r="T114" s="3"/>
      <c r="U114" s="5" t="str">
        <f t="array" ref="U114">IF($A114="","",IF($T114="",0,IFERROR(VLOOKUP(LEFT(TRIM(MID(SUBSTITUTE($T114,";",REPT(" ",99)),1,99)),FIND(":",TRIM(MID(SUBSTITUTE($T114,";",REPT(" ",99)),1,99)))-1),Materiales!$A$2:$E$502,5,FALSE)*VALUE(MID(TRIM(MID(SUBSTITUTE($T114,";",REPT(" ",99)),1,99)),FIND(":",TRIM(MID(SUBSTITUTE($T114,";",REPT(" ",99)),1,99)))+1,99)),0) + IFERROR(VLOOKUP(LEFT(TRIM(MID(SUBSTITUTE($T114,";",REPT(" ",99)),100,99)),FIND(":",TRIM(MID(SUBSTITUTE($T114,";",REPT(" ",99)),100,99)))-1),Materiales!$A$2:$E$502,5,FALSE)*VALUE(MID(TRIM(MID(SUBSTITUTE($T114,";",REPT(" ",99)),100,99)),FIND(":",TRIM(MID(SUBSTITUTE($T114,";",REPT(" ",99)),100,99)))+1,99)),0) + IFERROR(VLOOKUP(LEFT(TRIM(MID(SUBSTITUTE($T114,";",REPT(" ",99)),199,99)),FIND(":",TRIM(MID(SUBSTITUTE($T114,";",REPT(" ",99)),199,99)))-1),Materiales!$A$2:$E$502,5,FALSE)*VALUE(MID(TRIM(MID(SUBSTITUTE($T114,";",REPT(" ",99)),199,99)),FIND(":",TRIM(MID(SUBSTITUTE($T114,";",REPT(" ",99)),199,99)))+1,99)),0) + IFERROR(VLOOKUP(LEFT(TRIM(MID(SUBSTITUTE($T114,";",REPT(" ",99)),298,99)),FIND(":",TRIM(MID(SUBSTITUTE($T114,";",REPT(" ",99)),298,99)))-1),Materiales!$A$2:$E$502,5,FALSE)*VALUE(MID(TRIM(MID(SUBSTITUTE($T114,";",REPT(" ",99)),298,99)),FIND(":",TRIM(MID(SUBSTITUTE($T114,";",REPT(" ",99)),298,99)))+1,99)),0) + IFERROR(VLOOKUP(LEFT(TRIM(MID(SUBSTITUTE($T114,";",REPT(" ",99)),397,99)),FIND(":",TRIM(MID(SUBSTITUTE($T114,";",REPT(" ",99)),397,99)))-1),Materiales!$A$2:$E$502,5,FALSE)*VALUE(MID(TRIM(MID(SUBSTITUTE($T114,";",REPT(" ",99)),397,99)),FIND(":",TRIM(MID(SUBSTITUTE($T114,";",REPT(" ",99)),397,99)))+1,99)),0) + IFERROR(VLOOKUP(LEFT(TRIM(MID(SUBSTITUTE($T114,";",REPT(" ",99)),496,99)),FIND(":",TRIM(MID(SUBSTITUTE($T114,";",REPT(" ",99)),496,99)))-1),Materiales!$A$2:$E$502,5,FALSE)*VALUE(MID(TRIM(MID(SUBSTITUTE($T114,";",REPT(" ",99)),496,99)),FIND(":",TRIM(MID(SUBSTITUTE($T114,";",REPT(" ",99)),496,99)))+1,99)),0) + IFERROR(VLOOKUP(LEFT(TRIM(MID(SUBSTITUTE($T114,";",REPT(" ",99)),595,99)),FIND(":",TRIM(MID(SUBSTITUTE($T114,";",REPT(" ",99)),595,99)))-1),Materiales!$A$2:$E$502,5,FALSE)*VALUE(MID(TRIM(MID(SUBSTITUTE($T114,";",REPT(" ",99)),595,99)),FIND(":",TRIM(MID(SUBSTITUTE($T114,";",REPT(" ",99)),595,99)))+1,99)),0) + IFERROR(VLOOKUP(LEFT(TRIM(MID(SUBSTITUTE($T114,";",REPT(" ",99)),694,99)),FIND(":",TRIM(MID(SUBSTITUTE($T114,";",REPT(" ",99)),694,99)))-1),Materiales!$A$2:$E$502,5,FALSE)*VALUE(MID(TRIM(MID(SUBSTITUTE($T114,";",REPT(" ",99)),694,99)),FIND(":",TRIM(MID(SUBSTITUTE($T114,";",REPT(" ",99)),694,99)))+1,99)),0) + IFERROR(VLOOKUP(LEFT(TRIM(MID(SUBSTITUTE($T114,";",REPT(" ",99)),793,99)),FIND(":",TRIM(MID(SUBSTITUTE($T114,";",REPT(" ",99)),793,99)))-1),Materiales!$A$2:$E$502,5,FALSE)*VALUE(MID(TRIM(MID(SUBSTITUTE($T114,";",REPT(" ",99)),793,99)),FIND(":",TRIM(MID(SUBSTITUTE($T114,";",REPT(" ",99)),793,99)))+1,99)),0) + IFERROR(VLOOKUP(LEFT(TRIM(MID(SUBSTITUTE($T114,";",REPT(" ",99)),892,99)),FIND(":",TRIM(MID(SUBSTITUTE($T114,";",REPT(" ",99)),892,99)))-1),Materiales!$A$2:$E$502,5,FALSE)*VALUE(MID(TRIM(MID(SUBSTITUTE($T114,";",REPT(" ",99)),892,99)),FIND(":",TRIM(MID(SUBSTITUTE($T114,";",REPT(" ",99)),892,99)))+1,99)),0)))</f>
        <v/>
      </c>
      <c r="V114" s="3"/>
      <c r="W114" s="5" t="str">
        <f t="array" ref="W114">IF($A114="","",IF($V114="",0,IFERROR(VLOOKUP(LEFT(TRIM(MID(SUBSTITUTE($V114,";",REPT(" ",99)),1,99)),FIND(":",TRIM(MID(SUBSTITUTE($V114,";",REPT(" ",99)),1,99)))-1),Materiales!$A$2:$E$502,5,FALSE)*VALUE(MID(TRIM(MID(SUBSTITUTE($V114,";",REPT(" ",99)),1,99)),FIND(":",TRIM(MID(SUBSTITUTE($V114,";",REPT(" ",99)),1,99)))+1,99)),0) + IFERROR(VLOOKUP(LEFT(TRIM(MID(SUBSTITUTE($V114,";",REPT(" ",99)),100,99)),FIND(":",TRIM(MID(SUBSTITUTE($V114,";",REPT(" ",99)),100,99)))-1),Materiales!$A$2:$E$502,5,FALSE)*VALUE(MID(TRIM(MID(SUBSTITUTE($V114,";",REPT(" ",99)),100,99)),FIND(":",TRIM(MID(SUBSTITUTE($V114,";",REPT(" ",99)),100,99)))+1,99)),0) + IFERROR(VLOOKUP(LEFT(TRIM(MID(SUBSTITUTE($V114,";",REPT(" ",99)),199,99)),FIND(":",TRIM(MID(SUBSTITUTE($V114,";",REPT(" ",99)),199,99)))-1),Materiales!$A$2:$E$502,5,FALSE)*VALUE(MID(TRIM(MID(SUBSTITUTE($V114,";",REPT(" ",99)),199,99)),FIND(":",TRIM(MID(SUBSTITUTE($V114,";",REPT(" ",99)),199,99)))+1,99)),0) + IFERROR(VLOOKUP(LEFT(TRIM(MID(SUBSTITUTE($V114,";",REPT(" ",99)),298,99)),FIND(":",TRIM(MID(SUBSTITUTE($V114,";",REPT(" ",99)),298,99)))-1),Materiales!$A$2:$E$502,5,FALSE)*VALUE(MID(TRIM(MID(SUBSTITUTE($V114,";",REPT(" ",99)),298,99)),FIND(":",TRIM(MID(SUBSTITUTE($V114,";",REPT(" ",99)),298,99)))+1,99)),0) + IFERROR(VLOOKUP(LEFT(TRIM(MID(SUBSTITUTE($V114,";",REPT(" ",99)),397,99)),FIND(":",TRIM(MID(SUBSTITUTE($V114,";",REPT(" ",99)),397,99)))-1),Materiales!$A$2:$E$502,5,FALSE)*VALUE(MID(TRIM(MID(SUBSTITUTE($V114,";",REPT(" ",99)),397,99)),FIND(":",TRIM(MID(SUBSTITUTE($V114,";",REPT(" ",99)),397,99)))+1,99)),0) + IFERROR(VLOOKUP(LEFT(TRIM(MID(SUBSTITUTE($V114,";",REPT(" ",99)),496,99)),FIND(":",TRIM(MID(SUBSTITUTE($V114,";",REPT(" ",99)),496,99)))-1),Materiales!$A$2:$E$502,5,FALSE)*VALUE(MID(TRIM(MID(SUBSTITUTE($V114,";",REPT(" ",99)),496,99)),FIND(":",TRIM(MID(SUBSTITUTE($V114,";",REPT(" ",99)),496,99)))+1,99)),0) + IFERROR(VLOOKUP(LEFT(TRIM(MID(SUBSTITUTE($V114,";",REPT(" ",99)),595,99)),FIND(":",TRIM(MID(SUBSTITUTE($V114,";",REPT(" ",99)),595,99)))-1),Materiales!$A$2:$E$502,5,FALSE)*VALUE(MID(TRIM(MID(SUBSTITUTE($V114,";",REPT(" ",99)),595,99)),FIND(":",TRIM(MID(SUBSTITUTE($V114,";",REPT(" ",99)),595,99)))+1,99)),0) + IFERROR(VLOOKUP(LEFT(TRIM(MID(SUBSTITUTE($V114,";",REPT(" ",99)),694,99)),FIND(":",TRIM(MID(SUBSTITUTE($V114,";",REPT(" ",99)),694,99)))-1),Materiales!$A$2:$E$502,5,FALSE)*VALUE(MID(TRIM(MID(SUBSTITUTE($V114,";",REPT(" ",99)),694,99)),FIND(":",TRIM(MID(SUBSTITUTE($V114,";",REPT(" ",99)),694,99)))+1,99)),0) + IFERROR(VLOOKUP(LEFT(TRIM(MID(SUBSTITUTE($V114,";",REPT(" ",99)),793,99)),FIND(":",TRIM(MID(SUBSTITUTE($V114,";",REPT(" ",99)),793,99)))-1),Materiales!$A$2:$E$502,5,FALSE)*VALUE(MID(TRIM(MID(SUBSTITUTE($V114,";",REPT(" ",99)),793,99)),FIND(":",TRIM(MID(SUBSTITUTE($V114,";",REPT(" ",99)),793,99)))+1,99)),0) + IFERROR(VLOOKUP(LEFT(TRIM(MID(SUBSTITUTE($V114,";",REPT(" ",99)),892,99)),FIND(":",TRIM(MID(SUBSTITUTE($V114,";",REPT(" ",99)),892,99)))-1),Materiales!$A$2:$E$502,5,FALSE)*VALUE(MID(TRIM(MID(SUBSTITUTE($V114,";",REPT(" ",99)),892,99)),FIND(":",TRIM(MID(SUBSTITUTE($V114,";",REPT(" ",99)),892,99)))+1,99)),0)))</f>
        <v/>
      </c>
      <c r="X114" s="39" t="str">
        <f t="shared" si="13"/>
        <v/>
      </c>
      <c r="Y114" s="64"/>
      <c r="Z114" s="41"/>
      <c r="AA114" s="65"/>
      <c r="AB114" s="14"/>
      <c r="AC114" s="66"/>
      <c r="AD114" s="65"/>
      <c r="AE114" s="44">
        <f t="shared" si="17"/>
        <v>0</v>
      </c>
      <c r="AF114" s="45" t="str">
        <f t="shared" si="20"/>
        <v>#DIV/0!</v>
      </c>
    </row>
    <row r="115" ht="15.75" customHeight="1">
      <c r="A115" s="3"/>
      <c r="B115" s="3"/>
      <c r="C115" s="38"/>
      <c r="D115" s="38"/>
      <c r="E115" s="38"/>
      <c r="F115" s="14"/>
      <c r="G115" s="5" t="str">
        <f t="array" ref="G115">IF($A115="","",IFERROR($F115*(N($C115)*XLOOKUP($B115,Ceras!$A$2:$A$500,Ceras!$G$2:$G$500,0)+IF($D115="",0,N($E115)*XLOOKUP($D115,Ceras!$A$2:$A$500,Ceras!$G$2:$G$500,0))),"Revisar cera"))</f>
        <v/>
      </c>
      <c r="H115" s="5"/>
      <c r="I115" s="3"/>
      <c r="J115" s="14"/>
      <c r="K115" s="5" t="str">
        <f t="array" ref="K115">IF($A115="","",IFERROR($J115*XLOOKUP($I115,Pabilos!$A$2:$A$500,Pabilos!$H$2:$H$500,0),"Revisar pabilo"))</f>
        <v/>
      </c>
      <c r="L115" s="3"/>
      <c r="M115" s="14"/>
      <c r="N115" s="5" t="str">
        <f t="array" ref="N115">IF($A115="","",IFERROR($M115*XLOOKUP($L115,Esencias!$A$2:$A$501,Esencias!$G$2:$G$501,0),"Revisar esencia"))</f>
        <v/>
      </c>
      <c r="O115" s="3"/>
      <c r="P115" s="14"/>
      <c r="Q115" s="5" t="str">
        <f t="array" ref="Q115">IF($A115="","",IFERROR(IF($P115="",1,$P115)*XLOOKUP($O115,Colores!$A$2:$A$500,Colores!$H$2:$H$500,0),"Revisar color"))</f>
        <v/>
      </c>
      <c r="R115" s="3"/>
      <c r="S115" s="5" t="str">
        <f t="array" ref="S115">IF($A115="","",IF($R115="",0,IFERROR(VLOOKUP(LEFT(TRIM(MID(SUBSTITUTE($R115,";",REPT(" ",99)),1,99)),FIND(":",TRIM(MID(SUBSTITUTE($R115,";",REPT(" ",99)),1,99)))-1),Materiales!$A$2:$E$502,5,FALSE)*VALUE(MID(TRIM(MID(SUBSTITUTE($R115,";",REPT(" ",99)),1,99)),FIND(":",TRIM(MID(SUBSTITUTE($R115,";",REPT(" ",99)),1,99)))+1,99)),0) + IFERROR(VLOOKUP(LEFT(TRIM(MID(SUBSTITUTE($R115,";",REPT(" ",99)),100,99)),FIND(":",TRIM(MID(SUBSTITUTE($R115,";",REPT(" ",99)),100,99)))-1),Materiales!$A$2:$E$502,5,FALSE)*VALUE(MID(TRIM(MID(SUBSTITUTE($R115,";",REPT(" ",99)),100,99)),FIND(":",TRIM(MID(SUBSTITUTE($R115,";",REPT(" ",99)),100,99)))+1,99)),0) + IFERROR(VLOOKUP(LEFT(TRIM(MID(SUBSTITUTE($R115,";",REPT(" ",99)),199,99)),FIND(":",TRIM(MID(SUBSTITUTE($R115,";",REPT(" ",99)),199,99)))-1),Materiales!$A$2:$E$502,5,FALSE)*VALUE(MID(TRIM(MID(SUBSTITUTE($R115,";",REPT(" ",99)),199,99)),FIND(":",TRIM(MID(SUBSTITUTE($R115,";",REPT(" ",99)),199,99)))+1,99)),0) + IFERROR(VLOOKUP(LEFT(TRIM(MID(SUBSTITUTE($R115,";",REPT(" ",99)),298,99)),FIND(":",TRIM(MID(SUBSTITUTE($R115,";",REPT(" ",99)),298,99)))-1),Materiales!$A$2:$E$502,5,FALSE)*VALUE(MID(TRIM(MID(SUBSTITUTE($R115,";",REPT(" ",99)),298,99)),FIND(":",TRIM(MID(SUBSTITUTE($R115,";",REPT(" ",99)),298,99)))+1,99)),0) + IFERROR(VLOOKUP(LEFT(TRIM(MID(SUBSTITUTE($R115,";",REPT(" ",99)),397,99)),FIND(":",TRIM(MID(SUBSTITUTE($R115,";",REPT(" ",99)),397,99)))-1),Materiales!$A$2:$E$502,5,FALSE)*VALUE(MID(TRIM(MID(SUBSTITUTE($R115,";",REPT(" ",99)),397,99)),FIND(":",TRIM(MID(SUBSTITUTE($R115,";",REPT(" ",99)),397,99)))+1,99)),0) + IFERROR(VLOOKUP(LEFT(TRIM(MID(SUBSTITUTE($R115,";",REPT(" ",99)),496,99)),FIND(":",TRIM(MID(SUBSTITUTE($R115,";",REPT(" ",99)),496,99)))-1),Materiales!$A$2:$E$502,5,FALSE)*VALUE(MID(TRIM(MID(SUBSTITUTE($R115,";",REPT(" ",99)),496,99)),FIND(":",TRIM(MID(SUBSTITUTE($R115,";",REPT(" ",99)),496,99)))+1,99)),0) + IFERROR(VLOOKUP(LEFT(TRIM(MID(SUBSTITUTE($R115,";",REPT(" ",99)),595,99)),FIND(":",TRIM(MID(SUBSTITUTE($R115,";",REPT(" ",99)),595,99)))-1),Materiales!$A$2:$E$502,5,FALSE)*VALUE(MID(TRIM(MID(SUBSTITUTE($R115,";",REPT(" ",99)),595,99)),FIND(":",TRIM(MID(SUBSTITUTE($R115,";",REPT(" ",99)),595,99)))+1,99)),0) + IFERROR(VLOOKUP(LEFT(TRIM(MID(SUBSTITUTE($R115,";",REPT(" ",99)),694,99)),FIND(":",TRIM(MID(SUBSTITUTE($R115,";",REPT(" ",99)),694,99)))-1),Materiales!$A$2:$E$502,5,FALSE)*VALUE(MID(TRIM(MID(SUBSTITUTE($R115,";",REPT(" ",99)),694,99)),FIND(":",TRIM(MID(SUBSTITUTE($R115,";",REPT(" ",99)),694,99)))+1,99)),0) + IFERROR(VLOOKUP(LEFT(TRIM(MID(SUBSTITUTE($R115,";",REPT(" ",99)),793,99)),FIND(":",TRIM(MID(SUBSTITUTE($R115,";",REPT(" ",99)),793,99)))-1),Materiales!$A$2:$E$502,5,FALSE)*VALUE(MID(TRIM(MID(SUBSTITUTE($R115,";",REPT(" ",99)),793,99)),FIND(":",TRIM(MID(SUBSTITUTE($R115,";",REPT(" ",99)),793,99)))+1,99)),0) + IFERROR(VLOOKUP(LEFT(TRIM(MID(SUBSTITUTE($R115,";",REPT(" ",99)),892,99)),FIND(":",TRIM(MID(SUBSTITUTE($R115,";",REPT(" ",99)),892,99)))-1),Materiales!$A$2:$E$502,5,FALSE)*VALUE(MID(TRIM(MID(SUBSTITUTE($R115,";",REPT(" ",99)),892,99)),FIND(":",TRIM(MID(SUBSTITUTE($R115,";",REPT(" ",99)),892,99)))+1,99)),0)))</f>
        <v/>
      </c>
      <c r="T115" s="3"/>
      <c r="U115" s="5" t="str">
        <f t="array" ref="U115">IF($A115="","",IF($T115="",0,IFERROR(VLOOKUP(LEFT(TRIM(MID(SUBSTITUTE($T115,";",REPT(" ",99)),1,99)),FIND(":",TRIM(MID(SUBSTITUTE($T115,";",REPT(" ",99)),1,99)))-1),Materiales!$A$2:$E$502,5,FALSE)*VALUE(MID(TRIM(MID(SUBSTITUTE($T115,";",REPT(" ",99)),1,99)),FIND(":",TRIM(MID(SUBSTITUTE($T115,";",REPT(" ",99)),1,99)))+1,99)),0) + IFERROR(VLOOKUP(LEFT(TRIM(MID(SUBSTITUTE($T115,";",REPT(" ",99)),100,99)),FIND(":",TRIM(MID(SUBSTITUTE($T115,";",REPT(" ",99)),100,99)))-1),Materiales!$A$2:$E$502,5,FALSE)*VALUE(MID(TRIM(MID(SUBSTITUTE($T115,";",REPT(" ",99)),100,99)),FIND(":",TRIM(MID(SUBSTITUTE($T115,";",REPT(" ",99)),100,99)))+1,99)),0) + IFERROR(VLOOKUP(LEFT(TRIM(MID(SUBSTITUTE($T115,";",REPT(" ",99)),199,99)),FIND(":",TRIM(MID(SUBSTITUTE($T115,";",REPT(" ",99)),199,99)))-1),Materiales!$A$2:$E$502,5,FALSE)*VALUE(MID(TRIM(MID(SUBSTITUTE($T115,";",REPT(" ",99)),199,99)),FIND(":",TRIM(MID(SUBSTITUTE($T115,";",REPT(" ",99)),199,99)))+1,99)),0) + IFERROR(VLOOKUP(LEFT(TRIM(MID(SUBSTITUTE($T115,";",REPT(" ",99)),298,99)),FIND(":",TRIM(MID(SUBSTITUTE($T115,";",REPT(" ",99)),298,99)))-1),Materiales!$A$2:$E$502,5,FALSE)*VALUE(MID(TRIM(MID(SUBSTITUTE($T115,";",REPT(" ",99)),298,99)),FIND(":",TRIM(MID(SUBSTITUTE($T115,";",REPT(" ",99)),298,99)))+1,99)),0) + IFERROR(VLOOKUP(LEFT(TRIM(MID(SUBSTITUTE($T115,";",REPT(" ",99)),397,99)),FIND(":",TRIM(MID(SUBSTITUTE($T115,";",REPT(" ",99)),397,99)))-1),Materiales!$A$2:$E$502,5,FALSE)*VALUE(MID(TRIM(MID(SUBSTITUTE($T115,";",REPT(" ",99)),397,99)),FIND(":",TRIM(MID(SUBSTITUTE($T115,";",REPT(" ",99)),397,99)))+1,99)),0) + IFERROR(VLOOKUP(LEFT(TRIM(MID(SUBSTITUTE($T115,";",REPT(" ",99)),496,99)),FIND(":",TRIM(MID(SUBSTITUTE($T115,";",REPT(" ",99)),496,99)))-1),Materiales!$A$2:$E$502,5,FALSE)*VALUE(MID(TRIM(MID(SUBSTITUTE($T115,";",REPT(" ",99)),496,99)),FIND(":",TRIM(MID(SUBSTITUTE($T115,";",REPT(" ",99)),496,99)))+1,99)),0) + IFERROR(VLOOKUP(LEFT(TRIM(MID(SUBSTITUTE($T115,";",REPT(" ",99)),595,99)),FIND(":",TRIM(MID(SUBSTITUTE($T115,";",REPT(" ",99)),595,99)))-1),Materiales!$A$2:$E$502,5,FALSE)*VALUE(MID(TRIM(MID(SUBSTITUTE($T115,";",REPT(" ",99)),595,99)),FIND(":",TRIM(MID(SUBSTITUTE($T115,";",REPT(" ",99)),595,99)))+1,99)),0) + IFERROR(VLOOKUP(LEFT(TRIM(MID(SUBSTITUTE($T115,";",REPT(" ",99)),694,99)),FIND(":",TRIM(MID(SUBSTITUTE($T115,";",REPT(" ",99)),694,99)))-1),Materiales!$A$2:$E$502,5,FALSE)*VALUE(MID(TRIM(MID(SUBSTITUTE($T115,";",REPT(" ",99)),694,99)),FIND(":",TRIM(MID(SUBSTITUTE($T115,";",REPT(" ",99)),694,99)))+1,99)),0) + IFERROR(VLOOKUP(LEFT(TRIM(MID(SUBSTITUTE($T115,";",REPT(" ",99)),793,99)),FIND(":",TRIM(MID(SUBSTITUTE($T115,";",REPT(" ",99)),793,99)))-1),Materiales!$A$2:$E$502,5,FALSE)*VALUE(MID(TRIM(MID(SUBSTITUTE($T115,";",REPT(" ",99)),793,99)),FIND(":",TRIM(MID(SUBSTITUTE($T115,";",REPT(" ",99)),793,99)))+1,99)),0) + IFERROR(VLOOKUP(LEFT(TRIM(MID(SUBSTITUTE($T115,";",REPT(" ",99)),892,99)),FIND(":",TRIM(MID(SUBSTITUTE($T115,";",REPT(" ",99)),892,99)))-1),Materiales!$A$2:$E$502,5,FALSE)*VALUE(MID(TRIM(MID(SUBSTITUTE($T115,";",REPT(" ",99)),892,99)),FIND(":",TRIM(MID(SUBSTITUTE($T115,";",REPT(" ",99)),892,99)))+1,99)),0)))</f>
        <v/>
      </c>
      <c r="V115" s="3"/>
      <c r="W115" s="5" t="str">
        <f t="array" ref="W115">IF($A115="","",IF($V115="",0,IFERROR(VLOOKUP(LEFT(TRIM(MID(SUBSTITUTE($V115,";",REPT(" ",99)),1,99)),FIND(":",TRIM(MID(SUBSTITUTE($V115,";",REPT(" ",99)),1,99)))-1),Materiales!$A$2:$E$502,5,FALSE)*VALUE(MID(TRIM(MID(SUBSTITUTE($V115,";",REPT(" ",99)),1,99)),FIND(":",TRIM(MID(SUBSTITUTE($V115,";",REPT(" ",99)),1,99)))+1,99)),0) + IFERROR(VLOOKUP(LEFT(TRIM(MID(SUBSTITUTE($V115,";",REPT(" ",99)),100,99)),FIND(":",TRIM(MID(SUBSTITUTE($V115,";",REPT(" ",99)),100,99)))-1),Materiales!$A$2:$E$502,5,FALSE)*VALUE(MID(TRIM(MID(SUBSTITUTE($V115,";",REPT(" ",99)),100,99)),FIND(":",TRIM(MID(SUBSTITUTE($V115,";",REPT(" ",99)),100,99)))+1,99)),0) + IFERROR(VLOOKUP(LEFT(TRIM(MID(SUBSTITUTE($V115,";",REPT(" ",99)),199,99)),FIND(":",TRIM(MID(SUBSTITUTE($V115,";",REPT(" ",99)),199,99)))-1),Materiales!$A$2:$E$502,5,FALSE)*VALUE(MID(TRIM(MID(SUBSTITUTE($V115,";",REPT(" ",99)),199,99)),FIND(":",TRIM(MID(SUBSTITUTE($V115,";",REPT(" ",99)),199,99)))+1,99)),0) + IFERROR(VLOOKUP(LEFT(TRIM(MID(SUBSTITUTE($V115,";",REPT(" ",99)),298,99)),FIND(":",TRIM(MID(SUBSTITUTE($V115,";",REPT(" ",99)),298,99)))-1),Materiales!$A$2:$E$502,5,FALSE)*VALUE(MID(TRIM(MID(SUBSTITUTE($V115,";",REPT(" ",99)),298,99)),FIND(":",TRIM(MID(SUBSTITUTE($V115,";",REPT(" ",99)),298,99)))+1,99)),0) + IFERROR(VLOOKUP(LEFT(TRIM(MID(SUBSTITUTE($V115,";",REPT(" ",99)),397,99)),FIND(":",TRIM(MID(SUBSTITUTE($V115,";",REPT(" ",99)),397,99)))-1),Materiales!$A$2:$E$502,5,FALSE)*VALUE(MID(TRIM(MID(SUBSTITUTE($V115,";",REPT(" ",99)),397,99)),FIND(":",TRIM(MID(SUBSTITUTE($V115,";",REPT(" ",99)),397,99)))+1,99)),0) + IFERROR(VLOOKUP(LEFT(TRIM(MID(SUBSTITUTE($V115,";",REPT(" ",99)),496,99)),FIND(":",TRIM(MID(SUBSTITUTE($V115,";",REPT(" ",99)),496,99)))-1),Materiales!$A$2:$E$502,5,FALSE)*VALUE(MID(TRIM(MID(SUBSTITUTE($V115,";",REPT(" ",99)),496,99)),FIND(":",TRIM(MID(SUBSTITUTE($V115,";",REPT(" ",99)),496,99)))+1,99)),0) + IFERROR(VLOOKUP(LEFT(TRIM(MID(SUBSTITUTE($V115,";",REPT(" ",99)),595,99)),FIND(":",TRIM(MID(SUBSTITUTE($V115,";",REPT(" ",99)),595,99)))-1),Materiales!$A$2:$E$502,5,FALSE)*VALUE(MID(TRIM(MID(SUBSTITUTE($V115,";",REPT(" ",99)),595,99)),FIND(":",TRIM(MID(SUBSTITUTE($V115,";",REPT(" ",99)),595,99)))+1,99)),0) + IFERROR(VLOOKUP(LEFT(TRIM(MID(SUBSTITUTE($V115,";",REPT(" ",99)),694,99)),FIND(":",TRIM(MID(SUBSTITUTE($V115,";",REPT(" ",99)),694,99)))-1),Materiales!$A$2:$E$502,5,FALSE)*VALUE(MID(TRIM(MID(SUBSTITUTE($V115,";",REPT(" ",99)),694,99)),FIND(":",TRIM(MID(SUBSTITUTE($V115,";",REPT(" ",99)),694,99)))+1,99)),0) + IFERROR(VLOOKUP(LEFT(TRIM(MID(SUBSTITUTE($V115,";",REPT(" ",99)),793,99)),FIND(":",TRIM(MID(SUBSTITUTE($V115,";",REPT(" ",99)),793,99)))-1),Materiales!$A$2:$E$502,5,FALSE)*VALUE(MID(TRIM(MID(SUBSTITUTE($V115,";",REPT(" ",99)),793,99)),FIND(":",TRIM(MID(SUBSTITUTE($V115,";",REPT(" ",99)),793,99)))+1,99)),0) + IFERROR(VLOOKUP(LEFT(TRIM(MID(SUBSTITUTE($V115,";",REPT(" ",99)),892,99)),FIND(":",TRIM(MID(SUBSTITUTE($V115,";",REPT(" ",99)),892,99)))-1),Materiales!$A$2:$E$502,5,FALSE)*VALUE(MID(TRIM(MID(SUBSTITUTE($V115,";",REPT(" ",99)),892,99)),FIND(":",TRIM(MID(SUBSTITUTE($V115,";",REPT(" ",99)),892,99)))+1,99)),0)))</f>
        <v/>
      </c>
      <c r="X115" s="39" t="str">
        <f t="shared" si="13"/>
        <v/>
      </c>
      <c r="Y115" s="64"/>
      <c r="Z115" s="41"/>
      <c r="AA115" s="65"/>
      <c r="AB115" s="14"/>
      <c r="AC115" s="66"/>
      <c r="AD115" s="65"/>
      <c r="AE115" s="44">
        <f t="shared" si="17"/>
        <v>0</v>
      </c>
      <c r="AF115" s="45" t="str">
        <f t="shared" si="20"/>
        <v>#DIV/0!</v>
      </c>
    </row>
    <row r="116" ht="15.75" customHeight="1">
      <c r="A116" s="3"/>
      <c r="B116" s="3"/>
      <c r="C116" s="38"/>
      <c r="D116" s="38"/>
      <c r="E116" s="38"/>
      <c r="F116" s="14"/>
      <c r="G116" s="5" t="str">
        <f t="array" ref="G116">IF($A116="","",IFERROR($F116*(N($C116)*XLOOKUP($B116,Ceras!$A$2:$A$500,Ceras!$G$2:$G$500,0)+IF($D116="",0,N($E116)*XLOOKUP($D116,Ceras!$A$2:$A$500,Ceras!$G$2:$G$500,0))),"Revisar cera"))</f>
        <v/>
      </c>
      <c r="H116" s="5"/>
      <c r="I116" s="3"/>
      <c r="J116" s="14"/>
      <c r="K116" s="5" t="str">
        <f t="array" ref="K116">IF($A116="","",IFERROR($J116*XLOOKUP($I116,Pabilos!$A$2:$A$500,Pabilos!$H$2:$H$500,0),"Revisar pabilo"))</f>
        <v/>
      </c>
      <c r="L116" s="3"/>
      <c r="M116" s="14"/>
      <c r="N116" s="5" t="str">
        <f t="array" ref="N116">IF($A116="","",IFERROR($M116*XLOOKUP($L116,Esencias!$A$2:$A$501,Esencias!$G$2:$G$501,0),"Revisar esencia"))</f>
        <v/>
      </c>
      <c r="O116" s="3"/>
      <c r="P116" s="14"/>
      <c r="Q116" s="5" t="str">
        <f t="array" ref="Q116">IF($A116="","",IFERROR(IF($P116="",1,$P116)*XLOOKUP($O116,Colores!$A$2:$A$500,Colores!$H$2:$H$500,0),"Revisar color"))</f>
        <v/>
      </c>
      <c r="R116" s="3"/>
      <c r="S116" s="5" t="str">
        <f t="array" ref="S116">IF($A116="","",IF($R116="",0,IFERROR(VLOOKUP(LEFT(TRIM(MID(SUBSTITUTE($R116,";",REPT(" ",99)),1,99)),FIND(":",TRIM(MID(SUBSTITUTE($R116,";",REPT(" ",99)),1,99)))-1),Materiales!$A$2:$E$502,5,FALSE)*VALUE(MID(TRIM(MID(SUBSTITUTE($R116,";",REPT(" ",99)),1,99)),FIND(":",TRIM(MID(SUBSTITUTE($R116,";",REPT(" ",99)),1,99)))+1,99)),0) + IFERROR(VLOOKUP(LEFT(TRIM(MID(SUBSTITUTE($R116,";",REPT(" ",99)),100,99)),FIND(":",TRIM(MID(SUBSTITUTE($R116,";",REPT(" ",99)),100,99)))-1),Materiales!$A$2:$E$502,5,FALSE)*VALUE(MID(TRIM(MID(SUBSTITUTE($R116,";",REPT(" ",99)),100,99)),FIND(":",TRIM(MID(SUBSTITUTE($R116,";",REPT(" ",99)),100,99)))+1,99)),0) + IFERROR(VLOOKUP(LEFT(TRIM(MID(SUBSTITUTE($R116,";",REPT(" ",99)),199,99)),FIND(":",TRIM(MID(SUBSTITUTE($R116,";",REPT(" ",99)),199,99)))-1),Materiales!$A$2:$E$502,5,FALSE)*VALUE(MID(TRIM(MID(SUBSTITUTE($R116,";",REPT(" ",99)),199,99)),FIND(":",TRIM(MID(SUBSTITUTE($R116,";",REPT(" ",99)),199,99)))+1,99)),0) + IFERROR(VLOOKUP(LEFT(TRIM(MID(SUBSTITUTE($R116,";",REPT(" ",99)),298,99)),FIND(":",TRIM(MID(SUBSTITUTE($R116,";",REPT(" ",99)),298,99)))-1),Materiales!$A$2:$E$502,5,FALSE)*VALUE(MID(TRIM(MID(SUBSTITUTE($R116,";",REPT(" ",99)),298,99)),FIND(":",TRIM(MID(SUBSTITUTE($R116,";",REPT(" ",99)),298,99)))+1,99)),0) + IFERROR(VLOOKUP(LEFT(TRIM(MID(SUBSTITUTE($R116,";",REPT(" ",99)),397,99)),FIND(":",TRIM(MID(SUBSTITUTE($R116,";",REPT(" ",99)),397,99)))-1),Materiales!$A$2:$E$502,5,FALSE)*VALUE(MID(TRIM(MID(SUBSTITUTE($R116,";",REPT(" ",99)),397,99)),FIND(":",TRIM(MID(SUBSTITUTE($R116,";",REPT(" ",99)),397,99)))+1,99)),0) + IFERROR(VLOOKUP(LEFT(TRIM(MID(SUBSTITUTE($R116,";",REPT(" ",99)),496,99)),FIND(":",TRIM(MID(SUBSTITUTE($R116,";",REPT(" ",99)),496,99)))-1),Materiales!$A$2:$E$502,5,FALSE)*VALUE(MID(TRIM(MID(SUBSTITUTE($R116,";",REPT(" ",99)),496,99)),FIND(":",TRIM(MID(SUBSTITUTE($R116,";",REPT(" ",99)),496,99)))+1,99)),0) + IFERROR(VLOOKUP(LEFT(TRIM(MID(SUBSTITUTE($R116,";",REPT(" ",99)),595,99)),FIND(":",TRIM(MID(SUBSTITUTE($R116,";",REPT(" ",99)),595,99)))-1),Materiales!$A$2:$E$502,5,FALSE)*VALUE(MID(TRIM(MID(SUBSTITUTE($R116,";",REPT(" ",99)),595,99)),FIND(":",TRIM(MID(SUBSTITUTE($R116,";",REPT(" ",99)),595,99)))+1,99)),0) + IFERROR(VLOOKUP(LEFT(TRIM(MID(SUBSTITUTE($R116,";",REPT(" ",99)),694,99)),FIND(":",TRIM(MID(SUBSTITUTE($R116,";",REPT(" ",99)),694,99)))-1),Materiales!$A$2:$E$502,5,FALSE)*VALUE(MID(TRIM(MID(SUBSTITUTE($R116,";",REPT(" ",99)),694,99)),FIND(":",TRIM(MID(SUBSTITUTE($R116,";",REPT(" ",99)),694,99)))+1,99)),0) + IFERROR(VLOOKUP(LEFT(TRIM(MID(SUBSTITUTE($R116,";",REPT(" ",99)),793,99)),FIND(":",TRIM(MID(SUBSTITUTE($R116,";",REPT(" ",99)),793,99)))-1),Materiales!$A$2:$E$502,5,FALSE)*VALUE(MID(TRIM(MID(SUBSTITUTE($R116,";",REPT(" ",99)),793,99)),FIND(":",TRIM(MID(SUBSTITUTE($R116,";",REPT(" ",99)),793,99)))+1,99)),0) + IFERROR(VLOOKUP(LEFT(TRIM(MID(SUBSTITUTE($R116,";",REPT(" ",99)),892,99)),FIND(":",TRIM(MID(SUBSTITUTE($R116,";",REPT(" ",99)),892,99)))-1),Materiales!$A$2:$E$502,5,FALSE)*VALUE(MID(TRIM(MID(SUBSTITUTE($R116,";",REPT(" ",99)),892,99)),FIND(":",TRIM(MID(SUBSTITUTE($R116,";",REPT(" ",99)),892,99)))+1,99)),0)))</f>
        <v/>
      </c>
      <c r="T116" s="3"/>
      <c r="U116" s="5" t="str">
        <f t="array" ref="U116">IF($A116="","",IF($T116="",0,IFERROR(VLOOKUP(LEFT(TRIM(MID(SUBSTITUTE($T116,";",REPT(" ",99)),1,99)),FIND(":",TRIM(MID(SUBSTITUTE($T116,";",REPT(" ",99)),1,99)))-1),Materiales!$A$2:$E$502,5,FALSE)*VALUE(MID(TRIM(MID(SUBSTITUTE($T116,";",REPT(" ",99)),1,99)),FIND(":",TRIM(MID(SUBSTITUTE($T116,";",REPT(" ",99)),1,99)))+1,99)),0) + IFERROR(VLOOKUP(LEFT(TRIM(MID(SUBSTITUTE($T116,";",REPT(" ",99)),100,99)),FIND(":",TRIM(MID(SUBSTITUTE($T116,";",REPT(" ",99)),100,99)))-1),Materiales!$A$2:$E$502,5,FALSE)*VALUE(MID(TRIM(MID(SUBSTITUTE($T116,";",REPT(" ",99)),100,99)),FIND(":",TRIM(MID(SUBSTITUTE($T116,";",REPT(" ",99)),100,99)))+1,99)),0) + IFERROR(VLOOKUP(LEFT(TRIM(MID(SUBSTITUTE($T116,";",REPT(" ",99)),199,99)),FIND(":",TRIM(MID(SUBSTITUTE($T116,";",REPT(" ",99)),199,99)))-1),Materiales!$A$2:$E$502,5,FALSE)*VALUE(MID(TRIM(MID(SUBSTITUTE($T116,";",REPT(" ",99)),199,99)),FIND(":",TRIM(MID(SUBSTITUTE($T116,";",REPT(" ",99)),199,99)))+1,99)),0) + IFERROR(VLOOKUP(LEFT(TRIM(MID(SUBSTITUTE($T116,";",REPT(" ",99)),298,99)),FIND(":",TRIM(MID(SUBSTITUTE($T116,";",REPT(" ",99)),298,99)))-1),Materiales!$A$2:$E$502,5,FALSE)*VALUE(MID(TRIM(MID(SUBSTITUTE($T116,";",REPT(" ",99)),298,99)),FIND(":",TRIM(MID(SUBSTITUTE($T116,";",REPT(" ",99)),298,99)))+1,99)),0) + IFERROR(VLOOKUP(LEFT(TRIM(MID(SUBSTITUTE($T116,";",REPT(" ",99)),397,99)),FIND(":",TRIM(MID(SUBSTITUTE($T116,";",REPT(" ",99)),397,99)))-1),Materiales!$A$2:$E$502,5,FALSE)*VALUE(MID(TRIM(MID(SUBSTITUTE($T116,";",REPT(" ",99)),397,99)),FIND(":",TRIM(MID(SUBSTITUTE($T116,";",REPT(" ",99)),397,99)))+1,99)),0) + IFERROR(VLOOKUP(LEFT(TRIM(MID(SUBSTITUTE($T116,";",REPT(" ",99)),496,99)),FIND(":",TRIM(MID(SUBSTITUTE($T116,";",REPT(" ",99)),496,99)))-1),Materiales!$A$2:$E$502,5,FALSE)*VALUE(MID(TRIM(MID(SUBSTITUTE($T116,";",REPT(" ",99)),496,99)),FIND(":",TRIM(MID(SUBSTITUTE($T116,";",REPT(" ",99)),496,99)))+1,99)),0) + IFERROR(VLOOKUP(LEFT(TRIM(MID(SUBSTITUTE($T116,";",REPT(" ",99)),595,99)),FIND(":",TRIM(MID(SUBSTITUTE($T116,";",REPT(" ",99)),595,99)))-1),Materiales!$A$2:$E$502,5,FALSE)*VALUE(MID(TRIM(MID(SUBSTITUTE($T116,";",REPT(" ",99)),595,99)),FIND(":",TRIM(MID(SUBSTITUTE($T116,";",REPT(" ",99)),595,99)))+1,99)),0) + IFERROR(VLOOKUP(LEFT(TRIM(MID(SUBSTITUTE($T116,";",REPT(" ",99)),694,99)),FIND(":",TRIM(MID(SUBSTITUTE($T116,";",REPT(" ",99)),694,99)))-1),Materiales!$A$2:$E$502,5,FALSE)*VALUE(MID(TRIM(MID(SUBSTITUTE($T116,";",REPT(" ",99)),694,99)),FIND(":",TRIM(MID(SUBSTITUTE($T116,";",REPT(" ",99)),694,99)))+1,99)),0) + IFERROR(VLOOKUP(LEFT(TRIM(MID(SUBSTITUTE($T116,";",REPT(" ",99)),793,99)),FIND(":",TRIM(MID(SUBSTITUTE($T116,";",REPT(" ",99)),793,99)))-1),Materiales!$A$2:$E$502,5,FALSE)*VALUE(MID(TRIM(MID(SUBSTITUTE($T116,";",REPT(" ",99)),793,99)),FIND(":",TRIM(MID(SUBSTITUTE($T116,";",REPT(" ",99)),793,99)))+1,99)),0) + IFERROR(VLOOKUP(LEFT(TRIM(MID(SUBSTITUTE($T116,";",REPT(" ",99)),892,99)),FIND(":",TRIM(MID(SUBSTITUTE($T116,";",REPT(" ",99)),892,99)))-1),Materiales!$A$2:$E$502,5,FALSE)*VALUE(MID(TRIM(MID(SUBSTITUTE($T116,";",REPT(" ",99)),892,99)),FIND(":",TRIM(MID(SUBSTITUTE($T116,";",REPT(" ",99)),892,99)))+1,99)),0)))</f>
        <v/>
      </c>
      <c r="V116" s="3"/>
      <c r="W116" s="5" t="str">
        <f t="array" ref="W116">IF($A116="","",IF($V116="",0,IFERROR(VLOOKUP(LEFT(TRIM(MID(SUBSTITUTE($V116,";",REPT(" ",99)),1,99)),FIND(":",TRIM(MID(SUBSTITUTE($V116,";",REPT(" ",99)),1,99)))-1),Materiales!$A$2:$E$502,5,FALSE)*VALUE(MID(TRIM(MID(SUBSTITUTE($V116,";",REPT(" ",99)),1,99)),FIND(":",TRIM(MID(SUBSTITUTE($V116,";",REPT(" ",99)),1,99)))+1,99)),0) + IFERROR(VLOOKUP(LEFT(TRIM(MID(SUBSTITUTE($V116,";",REPT(" ",99)),100,99)),FIND(":",TRIM(MID(SUBSTITUTE($V116,";",REPT(" ",99)),100,99)))-1),Materiales!$A$2:$E$502,5,FALSE)*VALUE(MID(TRIM(MID(SUBSTITUTE($V116,";",REPT(" ",99)),100,99)),FIND(":",TRIM(MID(SUBSTITUTE($V116,";",REPT(" ",99)),100,99)))+1,99)),0) + IFERROR(VLOOKUP(LEFT(TRIM(MID(SUBSTITUTE($V116,";",REPT(" ",99)),199,99)),FIND(":",TRIM(MID(SUBSTITUTE($V116,";",REPT(" ",99)),199,99)))-1),Materiales!$A$2:$E$502,5,FALSE)*VALUE(MID(TRIM(MID(SUBSTITUTE($V116,";",REPT(" ",99)),199,99)),FIND(":",TRIM(MID(SUBSTITUTE($V116,";",REPT(" ",99)),199,99)))+1,99)),0) + IFERROR(VLOOKUP(LEFT(TRIM(MID(SUBSTITUTE($V116,";",REPT(" ",99)),298,99)),FIND(":",TRIM(MID(SUBSTITUTE($V116,";",REPT(" ",99)),298,99)))-1),Materiales!$A$2:$E$502,5,FALSE)*VALUE(MID(TRIM(MID(SUBSTITUTE($V116,";",REPT(" ",99)),298,99)),FIND(":",TRIM(MID(SUBSTITUTE($V116,";",REPT(" ",99)),298,99)))+1,99)),0) + IFERROR(VLOOKUP(LEFT(TRIM(MID(SUBSTITUTE($V116,";",REPT(" ",99)),397,99)),FIND(":",TRIM(MID(SUBSTITUTE($V116,";",REPT(" ",99)),397,99)))-1),Materiales!$A$2:$E$502,5,FALSE)*VALUE(MID(TRIM(MID(SUBSTITUTE($V116,";",REPT(" ",99)),397,99)),FIND(":",TRIM(MID(SUBSTITUTE($V116,";",REPT(" ",99)),397,99)))+1,99)),0) + IFERROR(VLOOKUP(LEFT(TRIM(MID(SUBSTITUTE($V116,";",REPT(" ",99)),496,99)),FIND(":",TRIM(MID(SUBSTITUTE($V116,";",REPT(" ",99)),496,99)))-1),Materiales!$A$2:$E$502,5,FALSE)*VALUE(MID(TRIM(MID(SUBSTITUTE($V116,";",REPT(" ",99)),496,99)),FIND(":",TRIM(MID(SUBSTITUTE($V116,";",REPT(" ",99)),496,99)))+1,99)),0) + IFERROR(VLOOKUP(LEFT(TRIM(MID(SUBSTITUTE($V116,";",REPT(" ",99)),595,99)),FIND(":",TRIM(MID(SUBSTITUTE($V116,";",REPT(" ",99)),595,99)))-1),Materiales!$A$2:$E$502,5,FALSE)*VALUE(MID(TRIM(MID(SUBSTITUTE($V116,";",REPT(" ",99)),595,99)),FIND(":",TRIM(MID(SUBSTITUTE($V116,";",REPT(" ",99)),595,99)))+1,99)),0) + IFERROR(VLOOKUP(LEFT(TRIM(MID(SUBSTITUTE($V116,";",REPT(" ",99)),694,99)),FIND(":",TRIM(MID(SUBSTITUTE($V116,";",REPT(" ",99)),694,99)))-1),Materiales!$A$2:$E$502,5,FALSE)*VALUE(MID(TRIM(MID(SUBSTITUTE($V116,";",REPT(" ",99)),694,99)),FIND(":",TRIM(MID(SUBSTITUTE($V116,";",REPT(" ",99)),694,99)))+1,99)),0) + IFERROR(VLOOKUP(LEFT(TRIM(MID(SUBSTITUTE($V116,";",REPT(" ",99)),793,99)),FIND(":",TRIM(MID(SUBSTITUTE($V116,";",REPT(" ",99)),793,99)))-1),Materiales!$A$2:$E$502,5,FALSE)*VALUE(MID(TRIM(MID(SUBSTITUTE($V116,";",REPT(" ",99)),793,99)),FIND(":",TRIM(MID(SUBSTITUTE($V116,";",REPT(" ",99)),793,99)))+1,99)),0) + IFERROR(VLOOKUP(LEFT(TRIM(MID(SUBSTITUTE($V116,";",REPT(" ",99)),892,99)),FIND(":",TRIM(MID(SUBSTITUTE($V116,";",REPT(" ",99)),892,99)))-1),Materiales!$A$2:$E$502,5,FALSE)*VALUE(MID(TRIM(MID(SUBSTITUTE($V116,";",REPT(" ",99)),892,99)),FIND(":",TRIM(MID(SUBSTITUTE($V116,";",REPT(" ",99)),892,99)))+1,99)),0)))</f>
        <v/>
      </c>
      <c r="X116" s="39" t="str">
        <f t="shared" si="13"/>
        <v/>
      </c>
      <c r="Y116" s="64"/>
      <c r="Z116" s="41"/>
      <c r="AA116" s="65"/>
      <c r="AB116" s="14"/>
      <c r="AC116" s="66"/>
      <c r="AD116" s="65"/>
      <c r="AE116" s="44">
        <f t="shared" si="17"/>
        <v>0</v>
      </c>
      <c r="AF116" s="45" t="str">
        <f t="shared" si="20"/>
        <v>#DIV/0!</v>
      </c>
    </row>
    <row r="117" ht="15.75" customHeight="1">
      <c r="A117" s="3"/>
      <c r="B117" s="3"/>
      <c r="C117" s="38"/>
      <c r="D117" s="38"/>
      <c r="E117" s="38"/>
      <c r="F117" s="14"/>
      <c r="G117" s="5" t="str">
        <f t="array" ref="G117">IF($A117="","",IFERROR($F117*(N($C117)*XLOOKUP($B117,Ceras!$A$2:$A$500,Ceras!$G$2:$G$500,0)+IF($D117="",0,N($E117)*XLOOKUP($D117,Ceras!$A$2:$A$500,Ceras!$G$2:$G$500,0))),"Revisar cera"))</f>
        <v/>
      </c>
      <c r="H117" s="5"/>
      <c r="I117" s="3"/>
      <c r="J117" s="14"/>
      <c r="K117" s="5" t="str">
        <f t="array" ref="K117">IF($A117="","",IFERROR($J117*XLOOKUP($I117,Pabilos!$A$2:$A$500,Pabilos!$H$2:$H$500,0),"Revisar pabilo"))</f>
        <v/>
      </c>
      <c r="L117" s="3"/>
      <c r="M117" s="14"/>
      <c r="N117" s="5" t="str">
        <f t="array" ref="N117">IF($A117="","",IFERROR($M117*XLOOKUP($L117,Esencias!$A$2:$A$501,Esencias!$G$2:$G$501,0),"Revisar esencia"))</f>
        <v/>
      </c>
      <c r="O117" s="3"/>
      <c r="P117" s="14"/>
      <c r="Q117" s="5" t="str">
        <f t="array" ref="Q117">IF($A117="","",IFERROR(IF($P117="",1,$P117)*XLOOKUP($O117,Colores!$A$2:$A$500,Colores!$H$2:$H$500,0),"Revisar color"))</f>
        <v/>
      </c>
      <c r="R117" s="3"/>
      <c r="S117" s="5" t="str">
        <f t="array" ref="S117">IF($A117="","",IF($R117="",0,IFERROR(VLOOKUP(LEFT(TRIM(MID(SUBSTITUTE($R117,";",REPT(" ",99)),1,99)),FIND(":",TRIM(MID(SUBSTITUTE($R117,";",REPT(" ",99)),1,99)))-1),Materiales!$A$2:$E$502,5,FALSE)*VALUE(MID(TRIM(MID(SUBSTITUTE($R117,";",REPT(" ",99)),1,99)),FIND(":",TRIM(MID(SUBSTITUTE($R117,";",REPT(" ",99)),1,99)))+1,99)),0) + IFERROR(VLOOKUP(LEFT(TRIM(MID(SUBSTITUTE($R117,";",REPT(" ",99)),100,99)),FIND(":",TRIM(MID(SUBSTITUTE($R117,";",REPT(" ",99)),100,99)))-1),Materiales!$A$2:$E$502,5,FALSE)*VALUE(MID(TRIM(MID(SUBSTITUTE($R117,";",REPT(" ",99)),100,99)),FIND(":",TRIM(MID(SUBSTITUTE($R117,";",REPT(" ",99)),100,99)))+1,99)),0) + IFERROR(VLOOKUP(LEFT(TRIM(MID(SUBSTITUTE($R117,";",REPT(" ",99)),199,99)),FIND(":",TRIM(MID(SUBSTITUTE($R117,";",REPT(" ",99)),199,99)))-1),Materiales!$A$2:$E$502,5,FALSE)*VALUE(MID(TRIM(MID(SUBSTITUTE($R117,";",REPT(" ",99)),199,99)),FIND(":",TRIM(MID(SUBSTITUTE($R117,";",REPT(" ",99)),199,99)))+1,99)),0) + IFERROR(VLOOKUP(LEFT(TRIM(MID(SUBSTITUTE($R117,";",REPT(" ",99)),298,99)),FIND(":",TRIM(MID(SUBSTITUTE($R117,";",REPT(" ",99)),298,99)))-1),Materiales!$A$2:$E$502,5,FALSE)*VALUE(MID(TRIM(MID(SUBSTITUTE($R117,";",REPT(" ",99)),298,99)),FIND(":",TRIM(MID(SUBSTITUTE($R117,";",REPT(" ",99)),298,99)))+1,99)),0) + IFERROR(VLOOKUP(LEFT(TRIM(MID(SUBSTITUTE($R117,";",REPT(" ",99)),397,99)),FIND(":",TRIM(MID(SUBSTITUTE($R117,";",REPT(" ",99)),397,99)))-1),Materiales!$A$2:$E$502,5,FALSE)*VALUE(MID(TRIM(MID(SUBSTITUTE($R117,";",REPT(" ",99)),397,99)),FIND(":",TRIM(MID(SUBSTITUTE($R117,";",REPT(" ",99)),397,99)))+1,99)),0) + IFERROR(VLOOKUP(LEFT(TRIM(MID(SUBSTITUTE($R117,";",REPT(" ",99)),496,99)),FIND(":",TRIM(MID(SUBSTITUTE($R117,";",REPT(" ",99)),496,99)))-1),Materiales!$A$2:$E$502,5,FALSE)*VALUE(MID(TRIM(MID(SUBSTITUTE($R117,";",REPT(" ",99)),496,99)),FIND(":",TRIM(MID(SUBSTITUTE($R117,";",REPT(" ",99)),496,99)))+1,99)),0) + IFERROR(VLOOKUP(LEFT(TRIM(MID(SUBSTITUTE($R117,";",REPT(" ",99)),595,99)),FIND(":",TRIM(MID(SUBSTITUTE($R117,";",REPT(" ",99)),595,99)))-1),Materiales!$A$2:$E$502,5,FALSE)*VALUE(MID(TRIM(MID(SUBSTITUTE($R117,";",REPT(" ",99)),595,99)),FIND(":",TRIM(MID(SUBSTITUTE($R117,";",REPT(" ",99)),595,99)))+1,99)),0) + IFERROR(VLOOKUP(LEFT(TRIM(MID(SUBSTITUTE($R117,";",REPT(" ",99)),694,99)),FIND(":",TRIM(MID(SUBSTITUTE($R117,";",REPT(" ",99)),694,99)))-1),Materiales!$A$2:$E$502,5,FALSE)*VALUE(MID(TRIM(MID(SUBSTITUTE($R117,";",REPT(" ",99)),694,99)),FIND(":",TRIM(MID(SUBSTITUTE($R117,";",REPT(" ",99)),694,99)))+1,99)),0) + IFERROR(VLOOKUP(LEFT(TRIM(MID(SUBSTITUTE($R117,";",REPT(" ",99)),793,99)),FIND(":",TRIM(MID(SUBSTITUTE($R117,";",REPT(" ",99)),793,99)))-1),Materiales!$A$2:$E$502,5,FALSE)*VALUE(MID(TRIM(MID(SUBSTITUTE($R117,";",REPT(" ",99)),793,99)),FIND(":",TRIM(MID(SUBSTITUTE($R117,";",REPT(" ",99)),793,99)))+1,99)),0) + IFERROR(VLOOKUP(LEFT(TRIM(MID(SUBSTITUTE($R117,";",REPT(" ",99)),892,99)),FIND(":",TRIM(MID(SUBSTITUTE($R117,";",REPT(" ",99)),892,99)))-1),Materiales!$A$2:$E$502,5,FALSE)*VALUE(MID(TRIM(MID(SUBSTITUTE($R117,";",REPT(" ",99)),892,99)),FIND(":",TRIM(MID(SUBSTITUTE($R117,";",REPT(" ",99)),892,99)))+1,99)),0)))</f>
        <v/>
      </c>
      <c r="T117" s="3"/>
      <c r="U117" s="5" t="str">
        <f t="array" ref="U117">IF($A117="","",IF($T117="",0,IFERROR(VLOOKUP(LEFT(TRIM(MID(SUBSTITUTE($T117,";",REPT(" ",99)),1,99)),FIND(":",TRIM(MID(SUBSTITUTE($T117,";",REPT(" ",99)),1,99)))-1),Materiales!$A$2:$E$502,5,FALSE)*VALUE(MID(TRIM(MID(SUBSTITUTE($T117,";",REPT(" ",99)),1,99)),FIND(":",TRIM(MID(SUBSTITUTE($T117,";",REPT(" ",99)),1,99)))+1,99)),0) + IFERROR(VLOOKUP(LEFT(TRIM(MID(SUBSTITUTE($T117,";",REPT(" ",99)),100,99)),FIND(":",TRIM(MID(SUBSTITUTE($T117,";",REPT(" ",99)),100,99)))-1),Materiales!$A$2:$E$502,5,FALSE)*VALUE(MID(TRIM(MID(SUBSTITUTE($T117,";",REPT(" ",99)),100,99)),FIND(":",TRIM(MID(SUBSTITUTE($T117,";",REPT(" ",99)),100,99)))+1,99)),0) + IFERROR(VLOOKUP(LEFT(TRIM(MID(SUBSTITUTE($T117,";",REPT(" ",99)),199,99)),FIND(":",TRIM(MID(SUBSTITUTE($T117,";",REPT(" ",99)),199,99)))-1),Materiales!$A$2:$E$502,5,FALSE)*VALUE(MID(TRIM(MID(SUBSTITUTE($T117,";",REPT(" ",99)),199,99)),FIND(":",TRIM(MID(SUBSTITUTE($T117,";",REPT(" ",99)),199,99)))+1,99)),0) + IFERROR(VLOOKUP(LEFT(TRIM(MID(SUBSTITUTE($T117,";",REPT(" ",99)),298,99)),FIND(":",TRIM(MID(SUBSTITUTE($T117,";",REPT(" ",99)),298,99)))-1),Materiales!$A$2:$E$502,5,FALSE)*VALUE(MID(TRIM(MID(SUBSTITUTE($T117,";",REPT(" ",99)),298,99)),FIND(":",TRIM(MID(SUBSTITUTE($T117,";",REPT(" ",99)),298,99)))+1,99)),0) + IFERROR(VLOOKUP(LEFT(TRIM(MID(SUBSTITUTE($T117,";",REPT(" ",99)),397,99)),FIND(":",TRIM(MID(SUBSTITUTE($T117,";",REPT(" ",99)),397,99)))-1),Materiales!$A$2:$E$502,5,FALSE)*VALUE(MID(TRIM(MID(SUBSTITUTE($T117,";",REPT(" ",99)),397,99)),FIND(":",TRIM(MID(SUBSTITUTE($T117,";",REPT(" ",99)),397,99)))+1,99)),0) + IFERROR(VLOOKUP(LEFT(TRIM(MID(SUBSTITUTE($T117,";",REPT(" ",99)),496,99)),FIND(":",TRIM(MID(SUBSTITUTE($T117,";",REPT(" ",99)),496,99)))-1),Materiales!$A$2:$E$502,5,FALSE)*VALUE(MID(TRIM(MID(SUBSTITUTE($T117,";",REPT(" ",99)),496,99)),FIND(":",TRIM(MID(SUBSTITUTE($T117,";",REPT(" ",99)),496,99)))+1,99)),0) + IFERROR(VLOOKUP(LEFT(TRIM(MID(SUBSTITUTE($T117,";",REPT(" ",99)),595,99)),FIND(":",TRIM(MID(SUBSTITUTE($T117,";",REPT(" ",99)),595,99)))-1),Materiales!$A$2:$E$502,5,FALSE)*VALUE(MID(TRIM(MID(SUBSTITUTE($T117,";",REPT(" ",99)),595,99)),FIND(":",TRIM(MID(SUBSTITUTE($T117,";",REPT(" ",99)),595,99)))+1,99)),0) + IFERROR(VLOOKUP(LEFT(TRIM(MID(SUBSTITUTE($T117,";",REPT(" ",99)),694,99)),FIND(":",TRIM(MID(SUBSTITUTE($T117,";",REPT(" ",99)),694,99)))-1),Materiales!$A$2:$E$502,5,FALSE)*VALUE(MID(TRIM(MID(SUBSTITUTE($T117,";",REPT(" ",99)),694,99)),FIND(":",TRIM(MID(SUBSTITUTE($T117,";",REPT(" ",99)),694,99)))+1,99)),0) + IFERROR(VLOOKUP(LEFT(TRIM(MID(SUBSTITUTE($T117,";",REPT(" ",99)),793,99)),FIND(":",TRIM(MID(SUBSTITUTE($T117,";",REPT(" ",99)),793,99)))-1),Materiales!$A$2:$E$502,5,FALSE)*VALUE(MID(TRIM(MID(SUBSTITUTE($T117,";",REPT(" ",99)),793,99)),FIND(":",TRIM(MID(SUBSTITUTE($T117,";",REPT(" ",99)),793,99)))+1,99)),0) + IFERROR(VLOOKUP(LEFT(TRIM(MID(SUBSTITUTE($T117,";",REPT(" ",99)),892,99)),FIND(":",TRIM(MID(SUBSTITUTE($T117,";",REPT(" ",99)),892,99)))-1),Materiales!$A$2:$E$502,5,FALSE)*VALUE(MID(TRIM(MID(SUBSTITUTE($T117,";",REPT(" ",99)),892,99)),FIND(":",TRIM(MID(SUBSTITUTE($T117,";",REPT(" ",99)),892,99)))+1,99)),0)))</f>
        <v/>
      </c>
      <c r="V117" s="3"/>
      <c r="W117" s="5" t="str">
        <f t="array" ref="W117">IF($A117="","",IF($V117="",0,IFERROR(VLOOKUP(LEFT(TRIM(MID(SUBSTITUTE($V117,";",REPT(" ",99)),1,99)),FIND(":",TRIM(MID(SUBSTITUTE($V117,";",REPT(" ",99)),1,99)))-1),Materiales!$A$2:$E$502,5,FALSE)*VALUE(MID(TRIM(MID(SUBSTITUTE($V117,";",REPT(" ",99)),1,99)),FIND(":",TRIM(MID(SUBSTITUTE($V117,";",REPT(" ",99)),1,99)))+1,99)),0) + IFERROR(VLOOKUP(LEFT(TRIM(MID(SUBSTITUTE($V117,";",REPT(" ",99)),100,99)),FIND(":",TRIM(MID(SUBSTITUTE($V117,";",REPT(" ",99)),100,99)))-1),Materiales!$A$2:$E$502,5,FALSE)*VALUE(MID(TRIM(MID(SUBSTITUTE($V117,";",REPT(" ",99)),100,99)),FIND(":",TRIM(MID(SUBSTITUTE($V117,";",REPT(" ",99)),100,99)))+1,99)),0) + IFERROR(VLOOKUP(LEFT(TRIM(MID(SUBSTITUTE($V117,";",REPT(" ",99)),199,99)),FIND(":",TRIM(MID(SUBSTITUTE($V117,";",REPT(" ",99)),199,99)))-1),Materiales!$A$2:$E$502,5,FALSE)*VALUE(MID(TRIM(MID(SUBSTITUTE($V117,";",REPT(" ",99)),199,99)),FIND(":",TRIM(MID(SUBSTITUTE($V117,";",REPT(" ",99)),199,99)))+1,99)),0) + IFERROR(VLOOKUP(LEFT(TRIM(MID(SUBSTITUTE($V117,";",REPT(" ",99)),298,99)),FIND(":",TRIM(MID(SUBSTITUTE($V117,";",REPT(" ",99)),298,99)))-1),Materiales!$A$2:$E$502,5,FALSE)*VALUE(MID(TRIM(MID(SUBSTITUTE($V117,";",REPT(" ",99)),298,99)),FIND(":",TRIM(MID(SUBSTITUTE($V117,";",REPT(" ",99)),298,99)))+1,99)),0) + IFERROR(VLOOKUP(LEFT(TRIM(MID(SUBSTITUTE($V117,";",REPT(" ",99)),397,99)),FIND(":",TRIM(MID(SUBSTITUTE($V117,";",REPT(" ",99)),397,99)))-1),Materiales!$A$2:$E$502,5,FALSE)*VALUE(MID(TRIM(MID(SUBSTITUTE($V117,";",REPT(" ",99)),397,99)),FIND(":",TRIM(MID(SUBSTITUTE($V117,";",REPT(" ",99)),397,99)))+1,99)),0) + IFERROR(VLOOKUP(LEFT(TRIM(MID(SUBSTITUTE($V117,";",REPT(" ",99)),496,99)),FIND(":",TRIM(MID(SUBSTITUTE($V117,";",REPT(" ",99)),496,99)))-1),Materiales!$A$2:$E$502,5,FALSE)*VALUE(MID(TRIM(MID(SUBSTITUTE($V117,";",REPT(" ",99)),496,99)),FIND(":",TRIM(MID(SUBSTITUTE($V117,";",REPT(" ",99)),496,99)))+1,99)),0) + IFERROR(VLOOKUP(LEFT(TRIM(MID(SUBSTITUTE($V117,";",REPT(" ",99)),595,99)),FIND(":",TRIM(MID(SUBSTITUTE($V117,";",REPT(" ",99)),595,99)))-1),Materiales!$A$2:$E$502,5,FALSE)*VALUE(MID(TRIM(MID(SUBSTITUTE($V117,";",REPT(" ",99)),595,99)),FIND(":",TRIM(MID(SUBSTITUTE($V117,";",REPT(" ",99)),595,99)))+1,99)),0) + IFERROR(VLOOKUP(LEFT(TRIM(MID(SUBSTITUTE($V117,";",REPT(" ",99)),694,99)),FIND(":",TRIM(MID(SUBSTITUTE($V117,";",REPT(" ",99)),694,99)))-1),Materiales!$A$2:$E$502,5,FALSE)*VALUE(MID(TRIM(MID(SUBSTITUTE($V117,";",REPT(" ",99)),694,99)),FIND(":",TRIM(MID(SUBSTITUTE($V117,";",REPT(" ",99)),694,99)))+1,99)),0) + IFERROR(VLOOKUP(LEFT(TRIM(MID(SUBSTITUTE($V117,";",REPT(" ",99)),793,99)),FIND(":",TRIM(MID(SUBSTITUTE($V117,";",REPT(" ",99)),793,99)))-1),Materiales!$A$2:$E$502,5,FALSE)*VALUE(MID(TRIM(MID(SUBSTITUTE($V117,";",REPT(" ",99)),793,99)),FIND(":",TRIM(MID(SUBSTITUTE($V117,";",REPT(" ",99)),793,99)))+1,99)),0) + IFERROR(VLOOKUP(LEFT(TRIM(MID(SUBSTITUTE($V117,";",REPT(" ",99)),892,99)),FIND(":",TRIM(MID(SUBSTITUTE($V117,";",REPT(" ",99)),892,99)))-1),Materiales!$A$2:$E$502,5,FALSE)*VALUE(MID(TRIM(MID(SUBSTITUTE($V117,";",REPT(" ",99)),892,99)),FIND(":",TRIM(MID(SUBSTITUTE($V117,";",REPT(" ",99)),892,99)))+1,99)),0)))</f>
        <v/>
      </c>
      <c r="X117" s="39" t="str">
        <f t="shared" si="13"/>
        <v/>
      </c>
      <c r="Y117" s="64"/>
      <c r="Z117" s="41"/>
      <c r="AA117" s="65"/>
      <c r="AB117" s="14"/>
      <c r="AC117" s="66"/>
      <c r="AD117" s="65"/>
      <c r="AE117" s="44">
        <f t="shared" si="17"/>
        <v>0</v>
      </c>
      <c r="AF117" s="45" t="str">
        <f t="shared" si="20"/>
        <v>#DIV/0!</v>
      </c>
    </row>
    <row r="118" ht="15.75" customHeight="1">
      <c r="A118" s="3"/>
      <c r="B118" s="3"/>
      <c r="C118" s="38"/>
      <c r="D118" s="38"/>
      <c r="E118" s="38"/>
      <c r="F118" s="14"/>
      <c r="G118" s="5" t="str">
        <f t="array" ref="G118">IF($A118="","",IFERROR($F118*(N($C118)*XLOOKUP($B118,Ceras!$A$2:$A$500,Ceras!$G$2:$G$500,0)+IF($D118="",0,N($E118)*XLOOKUP($D118,Ceras!$A$2:$A$500,Ceras!$G$2:$G$500,0))),"Revisar cera"))</f>
        <v/>
      </c>
      <c r="H118" s="5"/>
      <c r="I118" s="3"/>
      <c r="J118" s="14"/>
      <c r="K118" s="5" t="str">
        <f t="array" ref="K118">IF($A118="","",IFERROR($J118*XLOOKUP($I118,Pabilos!$A$2:$A$500,Pabilos!$H$2:$H$500,0),"Revisar pabilo"))</f>
        <v/>
      </c>
      <c r="L118" s="3"/>
      <c r="M118" s="14"/>
      <c r="N118" s="5" t="str">
        <f t="array" ref="N118">IF($A118="","",IFERROR($M118*XLOOKUP($L118,Esencias!$A$2:$A$501,Esencias!$G$2:$G$501,0),"Revisar esencia"))</f>
        <v/>
      </c>
      <c r="O118" s="3"/>
      <c r="P118" s="14"/>
      <c r="Q118" s="5" t="str">
        <f t="array" ref="Q118">IF($A118="","",IFERROR(IF($P118="",1,$P118)*XLOOKUP($O118,Colores!$A$2:$A$500,Colores!$H$2:$H$500,0),"Revisar color"))</f>
        <v/>
      </c>
      <c r="R118" s="3"/>
      <c r="S118" s="5" t="str">
        <f t="array" ref="S118">IF($A118="","",IF($R118="",0,IFERROR(VLOOKUP(LEFT(TRIM(MID(SUBSTITUTE($R118,";",REPT(" ",99)),1,99)),FIND(":",TRIM(MID(SUBSTITUTE($R118,";",REPT(" ",99)),1,99)))-1),Materiales!$A$2:$E$502,5,FALSE)*VALUE(MID(TRIM(MID(SUBSTITUTE($R118,";",REPT(" ",99)),1,99)),FIND(":",TRIM(MID(SUBSTITUTE($R118,";",REPT(" ",99)),1,99)))+1,99)),0) + IFERROR(VLOOKUP(LEFT(TRIM(MID(SUBSTITUTE($R118,";",REPT(" ",99)),100,99)),FIND(":",TRIM(MID(SUBSTITUTE($R118,";",REPT(" ",99)),100,99)))-1),Materiales!$A$2:$E$502,5,FALSE)*VALUE(MID(TRIM(MID(SUBSTITUTE($R118,";",REPT(" ",99)),100,99)),FIND(":",TRIM(MID(SUBSTITUTE($R118,";",REPT(" ",99)),100,99)))+1,99)),0) + IFERROR(VLOOKUP(LEFT(TRIM(MID(SUBSTITUTE($R118,";",REPT(" ",99)),199,99)),FIND(":",TRIM(MID(SUBSTITUTE($R118,";",REPT(" ",99)),199,99)))-1),Materiales!$A$2:$E$502,5,FALSE)*VALUE(MID(TRIM(MID(SUBSTITUTE($R118,";",REPT(" ",99)),199,99)),FIND(":",TRIM(MID(SUBSTITUTE($R118,";",REPT(" ",99)),199,99)))+1,99)),0) + IFERROR(VLOOKUP(LEFT(TRIM(MID(SUBSTITUTE($R118,";",REPT(" ",99)),298,99)),FIND(":",TRIM(MID(SUBSTITUTE($R118,";",REPT(" ",99)),298,99)))-1),Materiales!$A$2:$E$502,5,FALSE)*VALUE(MID(TRIM(MID(SUBSTITUTE($R118,";",REPT(" ",99)),298,99)),FIND(":",TRIM(MID(SUBSTITUTE($R118,";",REPT(" ",99)),298,99)))+1,99)),0) + IFERROR(VLOOKUP(LEFT(TRIM(MID(SUBSTITUTE($R118,";",REPT(" ",99)),397,99)),FIND(":",TRIM(MID(SUBSTITUTE($R118,";",REPT(" ",99)),397,99)))-1),Materiales!$A$2:$E$502,5,FALSE)*VALUE(MID(TRIM(MID(SUBSTITUTE($R118,";",REPT(" ",99)),397,99)),FIND(":",TRIM(MID(SUBSTITUTE($R118,";",REPT(" ",99)),397,99)))+1,99)),0) + IFERROR(VLOOKUP(LEFT(TRIM(MID(SUBSTITUTE($R118,";",REPT(" ",99)),496,99)),FIND(":",TRIM(MID(SUBSTITUTE($R118,";",REPT(" ",99)),496,99)))-1),Materiales!$A$2:$E$502,5,FALSE)*VALUE(MID(TRIM(MID(SUBSTITUTE($R118,";",REPT(" ",99)),496,99)),FIND(":",TRIM(MID(SUBSTITUTE($R118,";",REPT(" ",99)),496,99)))+1,99)),0) + IFERROR(VLOOKUP(LEFT(TRIM(MID(SUBSTITUTE($R118,";",REPT(" ",99)),595,99)),FIND(":",TRIM(MID(SUBSTITUTE($R118,";",REPT(" ",99)),595,99)))-1),Materiales!$A$2:$E$502,5,FALSE)*VALUE(MID(TRIM(MID(SUBSTITUTE($R118,";",REPT(" ",99)),595,99)),FIND(":",TRIM(MID(SUBSTITUTE($R118,";",REPT(" ",99)),595,99)))+1,99)),0) + IFERROR(VLOOKUP(LEFT(TRIM(MID(SUBSTITUTE($R118,";",REPT(" ",99)),694,99)),FIND(":",TRIM(MID(SUBSTITUTE($R118,";",REPT(" ",99)),694,99)))-1),Materiales!$A$2:$E$502,5,FALSE)*VALUE(MID(TRIM(MID(SUBSTITUTE($R118,";",REPT(" ",99)),694,99)),FIND(":",TRIM(MID(SUBSTITUTE($R118,";",REPT(" ",99)),694,99)))+1,99)),0) + IFERROR(VLOOKUP(LEFT(TRIM(MID(SUBSTITUTE($R118,";",REPT(" ",99)),793,99)),FIND(":",TRIM(MID(SUBSTITUTE($R118,";",REPT(" ",99)),793,99)))-1),Materiales!$A$2:$E$502,5,FALSE)*VALUE(MID(TRIM(MID(SUBSTITUTE($R118,";",REPT(" ",99)),793,99)),FIND(":",TRIM(MID(SUBSTITUTE($R118,";",REPT(" ",99)),793,99)))+1,99)),0) + IFERROR(VLOOKUP(LEFT(TRIM(MID(SUBSTITUTE($R118,";",REPT(" ",99)),892,99)),FIND(":",TRIM(MID(SUBSTITUTE($R118,";",REPT(" ",99)),892,99)))-1),Materiales!$A$2:$E$502,5,FALSE)*VALUE(MID(TRIM(MID(SUBSTITUTE($R118,";",REPT(" ",99)),892,99)),FIND(":",TRIM(MID(SUBSTITUTE($R118,";",REPT(" ",99)),892,99)))+1,99)),0)))</f>
        <v/>
      </c>
      <c r="T118" s="3"/>
      <c r="U118" s="5" t="str">
        <f t="array" ref="U118">IF($A118="","",IF($T118="",0,IFERROR(VLOOKUP(LEFT(TRIM(MID(SUBSTITUTE($T118,";",REPT(" ",99)),1,99)),FIND(":",TRIM(MID(SUBSTITUTE($T118,";",REPT(" ",99)),1,99)))-1),Materiales!$A$2:$E$502,5,FALSE)*VALUE(MID(TRIM(MID(SUBSTITUTE($T118,";",REPT(" ",99)),1,99)),FIND(":",TRIM(MID(SUBSTITUTE($T118,";",REPT(" ",99)),1,99)))+1,99)),0) + IFERROR(VLOOKUP(LEFT(TRIM(MID(SUBSTITUTE($T118,";",REPT(" ",99)),100,99)),FIND(":",TRIM(MID(SUBSTITUTE($T118,";",REPT(" ",99)),100,99)))-1),Materiales!$A$2:$E$502,5,FALSE)*VALUE(MID(TRIM(MID(SUBSTITUTE($T118,";",REPT(" ",99)),100,99)),FIND(":",TRIM(MID(SUBSTITUTE($T118,";",REPT(" ",99)),100,99)))+1,99)),0) + IFERROR(VLOOKUP(LEFT(TRIM(MID(SUBSTITUTE($T118,";",REPT(" ",99)),199,99)),FIND(":",TRIM(MID(SUBSTITUTE($T118,";",REPT(" ",99)),199,99)))-1),Materiales!$A$2:$E$502,5,FALSE)*VALUE(MID(TRIM(MID(SUBSTITUTE($T118,";",REPT(" ",99)),199,99)),FIND(":",TRIM(MID(SUBSTITUTE($T118,";",REPT(" ",99)),199,99)))+1,99)),0) + IFERROR(VLOOKUP(LEFT(TRIM(MID(SUBSTITUTE($T118,";",REPT(" ",99)),298,99)),FIND(":",TRIM(MID(SUBSTITUTE($T118,";",REPT(" ",99)),298,99)))-1),Materiales!$A$2:$E$502,5,FALSE)*VALUE(MID(TRIM(MID(SUBSTITUTE($T118,";",REPT(" ",99)),298,99)),FIND(":",TRIM(MID(SUBSTITUTE($T118,";",REPT(" ",99)),298,99)))+1,99)),0) + IFERROR(VLOOKUP(LEFT(TRIM(MID(SUBSTITUTE($T118,";",REPT(" ",99)),397,99)),FIND(":",TRIM(MID(SUBSTITUTE($T118,";",REPT(" ",99)),397,99)))-1),Materiales!$A$2:$E$502,5,FALSE)*VALUE(MID(TRIM(MID(SUBSTITUTE($T118,";",REPT(" ",99)),397,99)),FIND(":",TRIM(MID(SUBSTITUTE($T118,";",REPT(" ",99)),397,99)))+1,99)),0) + IFERROR(VLOOKUP(LEFT(TRIM(MID(SUBSTITUTE($T118,";",REPT(" ",99)),496,99)),FIND(":",TRIM(MID(SUBSTITUTE($T118,";",REPT(" ",99)),496,99)))-1),Materiales!$A$2:$E$502,5,FALSE)*VALUE(MID(TRIM(MID(SUBSTITUTE($T118,";",REPT(" ",99)),496,99)),FIND(":",TRIM(MID(SUBSTITUTE($T118,";",REPT(" ",99)),496,99)))+1,99)),0) + IFERROR(VLOOKUP(LEFT(TRIM(MID(SUBSTITUTE($T118,";",REPT(" ",99)),595,99)),FIND(":",TRIM(MID(SUBSTITUTE($T118,";",REPT(" ",99)),595,99)))-1),Materiales!$A$2:$E$502,5,FALSE)*VALUE(MID(TRIM(MID(SUBSTITUTE($T118,";",REPT(" ",99)),595,99)),FIND(":",TRIM(MID(SUBSTITUTE($T118,";",REPT(" ",99)),595,99)))+1,99)),0) + IFERROR(VLOOKUP(LEFT(TRIM(MID(SUBSTITUTE($T118,";",REPT(" ",99)),694,99)),FIND(":",TRIM(MID(SUBSTITUTE($T118,";",REPT(" ",99)),694,99)))-1),Materiales!$A$2:$E$502,5,FALSE)*VALUE(MID(TRIM(MID(SUBSTITUTE($T118,";",REPT(" ",99)),694,99)),FIND(":",TRIM(MID(SUBSTITUTE($T118,";",REPT(" ",99)),694,99)))+1,99)),0) + IFERROR(VLOOKUP(LEFT(TRIM(MID(SUBSTITUTE($T118,";",REPT(" ",99)),793,99)),FIND(":",TRIM(MID(SUBSTITUTE($T118,";",REPT(" ",99)),793,99)))-1),Materiales!$A$2:$E$502,5,FALSE)*VALUE(MID(TRIM(MID(SUBSTITUTE($T118,";",REPT(" ",99)),793,99)),FIND(":",TRIM(MID(SUBSTITUTE($T118,";",REPT(" ",99)),793,99)))+1,99)),0) + IFERROR(VLOOKUP(LEFT(TRIM(MID(SUBSTITUTE($T118,";",REPT(" ",99)),892,99)),FIND(":",TRIM(MID(SUBSTITUTE($T118,";",REPT(" ",99)),892,99)))-1),Materiales!$A$2:$E$502,5,FALSE)*VALUE(MID(TRIM(MID(SUBSTITUTE($T118,";",REPT(" ",99)),892,99)),FIND(":",TRIM(MID(SUBSTITUTE($T118,";",REPT(" ",99)),892,99)))+1,99)),0)))</f>
        <v/>
      </c>
      <c r="V118" s="3"/>
      <c r="W118" s="5" t="str">
        <f t="array" ref="W118">IF($A118="","",IF($V118="",0,IFERROR(VLOOKUP(LEFT(TRIM(MID(SUBSTITUTE($V118,";",REPT(" ",99)),1,99)),FIND(":",TRIM(MID(SUBSTITUTE($V118,";",REPT(" ",99)),1,99)))-1),Materiales!$A$2:$E$502,5,FALSE)*VALUE(MID(TRIM(MID(SUBSTITUTE($V118,";",REPT(" ",99)),1,99)),FIND(":",TRIM(MID(SUBSTITUTE($V118,";",REPT(" ",99)),1,99)))+1,99)),0) + IFERROR(VLOOKUP(LEFT(TRIM(MID(SUBSTITUTE($V118,";",REPT(" ",99)),100,99)),FIND(":",TRIM(MID(SUBSTITUTE($V118,";",REPT(" ",99)),100,99)))-1),Materiales!$A$2:$E$502,5,FALSE)*VALUE(MID(TRIM(MID(SUBSTITUTE($V118,";",REPT(" ",99)),100,99)),FIND(":",TRIM(MID(SUBSTITUTE($V118,";",REPT(" ",99)),100,99)))+1,99)),0) + IFERROR(VLOOKUP(LEFT(TRIM(MID(SUBSTITUTE($V118,";",REPT(" ",99)),199,99)),FIND(":",TRIM(MID(SUBSTITUTE($V118,";",REPT(" ",99)),199,99)))-1),Materiales!$A$2:$E$502,5,FALSE)*VALUE(MID(TRIM(MID(SUBSTITUTE($V118,";",REPT(" ",99)),199,99)),FIND(":",TRIM(MID(SUBSTITUTE($V118,";",REPT(" ",99)),199,99)))+1,99)),0) + IFERROR(VLOOKUP(LEFT(TRIM(MID(SUBSTITUTE($V118,";",REPT(" ",99)),298,99)),FIND(":",TRIM(MID(SUBSTITUTE($V118,";",REPT(" ",99)),298,99)))-1),Materiales!$A$2:$E$502,5,FALSE)*VALUE(MID(TRIM(MID(SUBSTITUTE($V118,";",REPT(" ",99)),298,99)),FIND(":",TRIM(MID(SUBSTITUTE($V118,";",REPT(" ",99)),298,99)))+1,99)),0) + IFERROR(VLOOKUP(LEFT(TRIM(MID(SUBSTITUTE($V118,";",REPT(" ",99)),397,99)),FIND(":",TRIM(MID(SUBSTITUTE($V118,";",REPT(" ",99)),397,99)))-1),Materiales!$A$2:$E$502,5,FALSE)*VALUE(MID(TRIM(MID(SUBSTITUTE($V118,";",REPT(" ",99)),397,99)),FIND(":",TRIM(MID(SUBSTITUTE($V118,";",REPT(" ",99)),397,99)))+1,99)),0) + IFERROR(VLOOKUP(LEFT(TRIM(MID(SUBSTITUTE($V118,";",REPT(" ",99)),496,99)),FIND(":",TRIM(MID(SUBSTITUTE($V118,";",REPT(" ",99)),496,99)))-1),Materiales!$A$2:$E$502,5,FALSE)*VALUE(MID(TRIM(MID(SUBSTITUTE($V118,";",REPT(" ",99)),496,99)),FIND(":",TRIM(MID(SUBSTITUTE($V118,";",REPT(" ",99)),496,99)))+1,99)),0) + IFERROR(VLOOKUP(LEFT(TRIM(MID(SUBSTITUTE($V118,";",REPT(" ",99)),595,99)),FIND(":",TRIM(MID(SUBSTITUTE($V118,";",REPT(" ",99)),595,99)))-1),Materiales!$A$2:$E$502,5,FALSE)*VALUE(MID(TRIM(MID(SUBSTITUTE($V118,";",REPT(" ",99)),595,99)),FIND(":",TRIM(MID(SUBSTITUTE($V118,";",REPT(" ",99)),595,99)))+1,99)),0) + IFERROR(VLOOKUP(LEFT(TRIM(MID(SUBSTITUTE($V118,";",REPT(" ",99)),694,99)),FIND(":",TRIM(MID(SUBSTITUTE($V118,";",REPT(" ",99)),694,99)))-1),Materiales!$A$2:$E$502,5,FALSE)*VALUE(MID(TRIM(MID(SUBSTITUTE($V118,";",REPT(" ",99)),694,99)),FIND(":",TRIM(MID(SUBSTITUTE($V118,";",REPT(" ",99)),694,99)))+1,99)),0) + IFERROR(VLOOKUP(LEFT(TRIM(MID(SUBSTITUTE($V118,";",REPT(" ",99)),793,99)),FIND(":",TRIM(MID(SUBSTITUTE($V118,";",REPT(" ",99)),793,99)))-1),Materiales!$A$2:$E$502,5,FALSE)*VALUE(MID(TRIM(MID(SUBSTITUTE($V118,";",REPT(" ",99)),793,99)),FIND(":",TRIM(MID(SUBSTITUTE($V118,";",REPT(" ",99)),793,99)))+1,99)),0) + IFERROR(VLOOKUP(LEFT(TRIM(MID(SUBSTITUTE($V118,";",REPT(" ",99)),892,99)),FIND(":",TRIM(MID(SUBSTITUTE($V118,";",REPT(" ",99)),892,99)))-1),Materiales!$A$2:$E$502,5,FALSE)*VALUE(MID(TRIM(MID(SUBSTITUTE($V118,";",REPT(" ",99)),892,99)),FIND(":",TRIM(MID(SUBSTITUTE($V118,";",REPT(" ",99)),892,99)))+1,99)),0)))</f>
        <v/>
      </c>
      <c r="X118" s="39" t="str">
        <f t="shared" si="13"/>
        <v/>
      </c>
      <c r="Y118" s="64"/>
      <c r="Z118" s="41"/>
      <c r="AA118" s="65"/>
      <c r="AB118" s="14"/>
      <c r="AC118" s="66"/>
      <c r="AD118" s="65"/>
      <c r="AE118" s="44">
        <f t="shared" si="17"/>
        <v>0</v>
      </c>
      <c r="AF118" s="45" t="str">
        <f t="shared" si="20"/>
        <v>#DIV/0!</v>
      </c>
    </row>
    <row r="119" ht="15.75" customHeight="1">
      <c r="A119" s="3"/>
      <c r="B119" s="3"/>
      <c r="C119" s="38"/>
      <c r="D119" s="38"/>
      <c r="E119" s="38"/>
      <c r="F119" s="14"/>
      <c r="G119" s="5" t="str">
        <f t="array" ref="G119">IF($A119="","",IFERROR($F119*(N($C119)*XLOOKUP($B119,Ceras!$A$2:$A$500,Ceras!$G$2:$G$500,0)+IF($D119="",0,N($E119)*XLOOKUP($D119,Ceras!$A$2:$A$500,Ceras!$G$2:$G$500,0))),"Revisar cera"))</f>
        <v/>
      </c>
      <c r="H119" s="5"/>
      <c r="I119" s="3"/>
      <c r="J119" s="14"/>
      <c r="K119" s="5" t="str">
        <f t="array" ref="K119">IF($A119="","",IFERROR($J119*XLOOKUP($I119,Pabilos!$A$2:$A$500,Pabilos!$H$2:$H$500,0),"Revisar pabilo"))</f>
        <v/>
      </c>
      <c r="L119" s="3"/>
      <c r="M119" s="14"/>
      <c r="N119" s="5" t="str">
        <f t="array" ref="N119">IF($A119="","",IFERROR($M119*XLOOKUP($L119,Esencias!$A$2:$A$501,Esencias!$G$2:$G$501,0),"Revisar esencia"))</f>
        <v/>
      </c>
      <c r="O119" s="3"/>
      <c r="P119" s="14"/>
      <c r="Q119" s="5" t="str">
        <f t="array" ref="Q119">IF($A119="","",IFERROR(IF($P119="",1,$P119)*XLOOKUP($O119,Colores!$A$2:$A$500,Colores!$H$2:$H$500,0),"Revisar color"))</f>
        <v/>
      </c>
      <c r="R119" s="3"/>
      <c r="S119" s="5" t="str">
        <f t="array" ref="S119">IF($A119="","",IF($R119="",0,IFERROR(VLOOKUP(LEFT(TRIM(MID(SUBSTITUTE($R119,";",REPT(" ",99)),1,99)),FIND(":",TRIM(MID(SUBSTITUTE($R119,";",REPT(" ",99)),1,99)))-1),Materiales!$A$2:$E$502,5,FALSE)*VALUE(MID(TRIM(MID(SUBSTITUTE($R119,";",REPT(" ",99)),1,99)),FIND(":",TRIM(MID(SUBSTITUTE($R119,";",REPT(" ",99)),1,99)))+1,99)),0) + IFERROR(VLOOKUP(LEFT(TRIM(MID(SUBSTITUTE($R119,";",REPT(" ",99)),100,99)),FIND(":",TRIM(MID(SUBSTITUTE($R119,";",REPT(" ",99)),100,99)))-1),Materiales!$A$2:$E$502,5,FALSE)*VALUE(MID(TRIM(MID(SUBSTITUTE($R119,";",REPT(" ",99)),100,99)),FIND(":",TRIM(MID(SUBSTITUTE($R119,";",REPT(" ",99)),100,99)))+1,99)),0) + IFERROR(VLOOKUP(LEFT(TRIM(MID(SUBSTITUTE($R119,";",REPT(" ",99)),199,99)),FIND(":",TRIM(MID(SUBSTITUTE($R119,";",REPT(" ",99)),199,99)))-1),Materiales!$A$2:$E$502,5,FALSE)*VALUE(MID(TRIM(MID(SUBSTITUTE($R119,";",REPT(" ",99)),199,99)),FIND(":",TRIM(MID(SUBSTITUTE($R119,";",REPT(" ",99)),199,99)))+1,99)),0) + IFERROR(VLOOKUP(LEFT(TRIM(MID(SUBSTITUTE($R119,";",REPT(" ",99)),298,99)),FIND(":",TRIM(MID(SUBSTITUTE($R119,";",REPT(" ",99)),298,99)))-1),Materiales!$A$2:$E$502,5,FALSE)*VALUE(MID(TRIM(MID(SUBSTITUTE($R119,";",REPT(" ",99)),298,99)),FIND(":",TRIM(MID(SUBSTITUTE($R119,";",REPT(" ",99)),298,99)))+1,99)),0) + IFERROR(VLOOKUP(LEFT(TRIM(MID(SUBSTITUTE($R119,";",REPT(" ",99)),397,99)),FIND(":",TRIM(MID(SUBSTITUTE($R119,";",REPT(" ",99)),397,99)))-1),Materiales!$A$2:$E$502,5,FALSE)*VALUE(MID(TRIM(MID(SUBSTITUTE($R119,";",REPT(" ",99)),397,99)),FIND(":",TRIM(MID(SUBSTITUTE($R119,";",REPT(" ",99)),397,99)))+1,99)),0) + IFERROR(VLOOKUP(LEFT(TRIM(MID(SUBSTITUTE($R119,";",REPT(" ",99)),496,99)),FIND(":",TRIM(MID(SUBSTITUTE($R119,";",REPT(" ",99)),496,99)))-1),Materiales!$A$2:$E$502,5,FALSE)*VALUE(MID(TRIM(MID(SUBSTITUTE($R119,";",REPT(" ",99)),496,99)),FIND(":",TRIM(MID(SUBSTITUTE($R119,";",REPT(" ",99)),496,99)))+1,99)),0) + IFERROR(VLOOKUP(LEFT(TRIM(MID(SUBSTITUTE($R119,";",REPT(" ",99)),595,99)),FIND(":",TRIM(MID(SUBSTITUTE($R119,";",REPT(" ",99)),595,99)))-1),Materiales!$A$2:$E$502,5,FALSE)*VALUE(MID(TRIM(MID(SUBSTITUTE($R119,";",REPT(" ",99)),595,99)),FIND(":",TRIM(MID(SUBSTITUTE($R119,";",REPT(" ",99)),595,99)))+1,99)),0) + IFERROR(VLOOKUP(LEFT(TRIM(MID(SUBSTITUTE($R119,";",REPT(" ",99)),694,99)),FIND(":",TRIM(MID(SUBSTITUTE($R119,";",REPT(" ",99)),694,99)))-1),Materiales!$A$2:$E$502,5,FALSE)*VALUE(MID(TRIM(MID(SUBSTITUTE($R119,";",REPT(" ",99)),694,99)),FIND(":",TRIM(MID(SUBSTITUTE($R119,";",REPT(" ",99)),694,99)))+1,99)),0) + IFERROR(VLOOKUP(LEFT(TRIM(MID(SUBSTITUTE($R119,";",REPT(" ",99)),793,99)),FIND(":",TRIM(MID(SUBSTITUTE($R119,";",REPT(" ",99)),793,99)))-1),Materiales!$A$2:$E$502,5,FALSE)*VALUE(MID(TRIM(MID(SUBSTITUTE($R119,";",REPT(" ",99)),793,99)),FIND(":",TRIM(MID(SUBSTITUTE($R119,";",REPT(" ",99)),793,99)))+1,99)),0) + IFERROR(VLOOKUP(LEFT(TRIM(MID(SUBSTITUTE($R119,";",REPT(" ",99)),892,99)),FIND(":",TRIM(MID(SUBSTITUTE($R119,";",REPT(" ",99)),892,99)))-1),Materiales!$A$2:$E$502,5,FALSE)*VALUE(MID(TRIM(MID(SUBSTITUTE($R119,";",REPT(" ",99)),892,99)),FIND(":",TRIM(MID(SUBSTITUTE($R119,";",REPT(" ",99)),892,99)))+1,99)),0)))</f>
        <v/>
      </c>
      <c r="T119" s="3"/>
      <c r="U119" s="5" t="str">
        <f t="array" ref="U119">IF($A119="","",IF($T119="",0,IFERROR(VLOOKUP(LEFT(TRIM(MID(SUBSTITUTE($T119,";",REPT(" ",99)),1,99)),FIND(":",TRIM(MID(SUBSTITUTE($T119,";",REPT(" ",99)),1,99)))-1),Materiales!$A$2:$E$502,5,FALSE)*VALUE(MID(TRIM(MID(SUBSTITUTE($T119,";",REPT(" ",99)),1,99)),FIND(":",TRIM(MID(SUBSTITUTE($T119,";",REPT(" ",99)),1,99)))+1,99)),0) + IFERROR(VLOOKUP(LEFT(TRIM(MID(SUBSTITUTE($T119,";",REPT(" ",99)),100,99)),FIND(":",TRIM(MID(SUBSTITUTE($T119,";",REPT(" ",99)),100,99)))-1),Materiales!$A$2:$E$502,5,FALSE)*VALUE(MID(TRIM(MID(SUBSTITUTE($T119,";",REPT(" ",99)),100,99)),FIND(":",TRIM(MID(SUBSTITUTE($T119,";",REPT(" ",99)),100,99)))+1,99)),0) + IFERROR(VLOOKUP(LEFT(TRIM(MID(SUBSTITUTE($T119,";",REPT(" ",99)),199,99)),FIND(":",TRIM(MID(SUBSTITUTE($T119,";",REPT(" ",99)),199,99)))-1),Materiales!$A$2:$E$502,5,FALSE)*VALUE(MID(TRIM(MID(SUBSTITUTE($T119,";",REPT(" ",99)),199,99)),FIND(":",TRIM(MID(SUBSTITUTE($T119,";",REPT(" ",99)),199,99)))+1,99)),0) + IFERROR(VLOOKUP(LEFT(TRIM(MID(SUBSTITUTE($T119,";",REPT(" ",99)),298,99)),FIND(":",TRIM(MID(SUBSTITUTE($T119,";",REPT(" ",99)),298,99)))-1),Materiales!$A$2:$E$502,5,FALSE)*VALUE(MID(TRIM(MID(SUBSTITUTE($T119,";",REPT(" ",99)),298,99)),FIND(":",TRIM(MID(SUBSTITUTE($T119,";",REPT(" ",99)),298,99)))+1,99)),0) + IFERROR(VLOOKUP(LEFT(TRIM(MID(SUBSTITUTE($T119,";",REPT(" ",99)),397,99)),FIND(":",TRIM(MID(SUBSTITUTE($T119,";",REPT(" ",99)),397,99)))-1),Materiales!$A$2:$E$502,5,FALSE)*VALUE(MID(TRIM(MID(SUBSTITUTE($T119,";",REPT(" ",99)),397,99)),FIND(":",TRIM(MID(SUBSTITUTE($T119,";",REPT(" ",99)),397,99)))+1,99)),0) + IFERROR(VLOOKUP(LEFT(TRIM(MID(SUBSTITUTE($T119,";",REPT(" ",99)),496,99)),FIND(":",TRIM(MID(SUBSTITUTE($T119,";",REPT(" ",99)),496,99)))-1),Materiales!$A$2:$E$502,5,FALSE)*VALUE(MID(TRIM(MID(SUBSTITUTE($T119,";",REPT(" ",99)),496,99)),FIND(":",TRIM(MID(SUBSTITUTE($T119,";",REPT(" ",99)),496,99)))+1,99)),0) + IFERROR(VLOOKUP(LEFT(TRIM(MID(SUBSTITUTE($T119,";",REPT(" ",99)),595,99)),FIND(":",TRIM(MID(SUBSTITUTE($T119,";",REPT(" ",99)),595,99)))-1),Materiales!$A$2:$E$502,5,FALSE)*VALUE(MID(TRIM(MID(SUBSTITUTE($T119,";",REPT(" ",99)),595,99)),FIND(":",TRIM(MID(SUBSTITUTE($T119,";",REPT(" ",99)),595,99)))+1,99)),0) + IFERROR(VLOOKUP(LEFT(TRIM(MID(SUBSTITUTE($T119,";",REPT(" ",99)),694,99)),FIND(":",TRIM(MID(SUBSTITUTE($T119,";",REPT(" ",99)),694,99)))-1),Materiales!$A$2:$E$502,5,FALSE)*VALUE(MID(TRIM(MID(SUBSTITUTE($T119,";",REPT(" ",99)),694,99)),FIND(":",TRIM(MID(SUBSTITUTE($T119,";",REPT(" ",99)),694,99)))+1,99)),0) + IFERROR(VLOOKUP(LEFT(TRIM(MID(SUBSTITUTE($T119,";",REPT(" ",99)),793,99)),FIND(":",TRIM(MID(SUBSTITUTE($T119,";",REPT(" ",99)),793,99)))-1),Materiales!$A$2:$E$502,5,FALSE)*VALUE(MID(TRIM(MID(SUBSTITUTE($T119,";",REPT(" ",99)),793,99)),FIND(":",TRIM(MID(SUBSTITUTE($T119,";",REPT(" ",99)),793,99)))+1,99)),0) + IFERROR(VLOOKUP(LEFT(TRIM(MID(SUBSTITUTE($T119,";",REPT(" ",99)),892,99)),FIND(":",TRIM(MID(SUBSTITUTE($T119,";",REPT(" ",99)),892,99)))-1),Materiales!$A$2:$E$502,5,FALSE)*VALUE(MID(TRIM(MID(SUBSTITUTE($T119,";",REPT(" ",99)),892,99)),FIND(":",TRIM(MID(SUBSTITUTE($T119,";",REPT(" ",99)),892,99)))+1,99)),0)))</f>
        <v/>
      </c>
      <c r="V119" s="3"/>
      <c r="W119" s="5" t="str">
        <f t="array" ref="W119">IF($A119="","",IF($V119="",0,IFERROR(VLOOKUP(LEFT(TRIM(MID(SUBSTITUTE($V119,";",REPT(" ",99)),1,99)),FIND(":",TRIM(MID(SUBSTITUTE($V119,";",REPT(" ",99)),1,99)))-1),Materiales!$A$2:$E$502,5,FALSE)*VALUE(MID(TRIM(MID(SUBSTITUTE($V119,";",REPT(" ",99)),1,99)),FIND(":",TRIM(MID(SUBSTITUTE($V119,";",REPT(" ",99)),1,99)))+1,99)),0) + IFERROR(VLOOKUP(LEFT(TRIM(MID(SUBSTITUTE($V119,";",REPT(" ",99)),100,99)),FIND(":",TRIM(MID(SUBSTITUTE($V119,";",REPT(" ",99)),100,99)))-1),Materiales!$A$2:$E$502,5,FALSE)*VALUE(MID(TRIM(MID(SUBSTITUTE($V119,";",REPT(" ",99)),100,99)),FIND(":",TRIM(MID(SUBSTITUTE($V119,";",REPT(" ",99)),100,99)))+1,99)),0) + IFERROR(VLOOKUP(LEFT(TRIM(MID(SUBSTITUTE($V119,";",REPT(" ",99)),199,99)),FIND(":",TRIM(MID(SUBSTITUTE($V119,";",REPT(" ",99)),199,99)))-1),Materiales!$A$2:$E$502,5,FALSE)*VALUE(MID(TRIM(MID(SUBSTITUTE($V119,";",REPT(" ",99)),199,99)),FIND(":",TRIM(MID(SUBSTITUTE($V119,";",REPT(" ",99)),199,99)))+1,99)),0) + IFERROR(VLOOKUP(LEFT(TRIM(MID(SUBSTITUTE($V119,";",REPT(" ",99)),298,99)),FIND(":",TRIM(MID(SUBSTITUTE($V119,";",REPT(" ",99)),298,99)))-1),Materiales!$A$2:$E$502,5,FALSE)*VALUE(MID(TRIM(MID(SUBSTITUTE($V119,";",REPT(" ",99)),298,99)),FIND(":",TRIM(MID(SUBSTITUTE($V119,";",REPT(" ",99)),298,99)))+1,99)),0) + IFERROR(VLOOKUP(LEFT(TRIM(MID(SUBSTITUTE($V119,";",REPT(" ",99)),397,99)),FIND(":",TRIM(MID(SUBSTITUTE($V119,";",REPT(" ",99)),397,99)))-1),Materiales!$A$2:$E$502,5,FALSE)*VALUE(MID(TRIM(MID(SUBSTITUTE($V119,";",REPT(" ",99)),397,99)),FIND(":",TRIM(MID(SUBSTITUTE($V119,";",REPT(" ",99)),397,99)))+1,99)),0) + IFERROR(VLOOKUP(LEFT(TRIM(MID(SUBSTITUTE($V119,";",REPT(" ",99)),496,99)),FIND(":",TRIM(MID(SUBSTITUTE($V119,";",REPT(" ",99)),496,99)))-1),Materiales!$A$2:$E$502,5,FALSE)*VALUE(MID(TRIM(MID(SUBSTITUTE($V119,";",REPT(" ",99)),496,99)),FIND(":",TRIM(MID(SUBSTITUTE($V119,";",REPT(" ",99)),496,99)))+1,99)),0) + IFERROR(VLOOKUP(LEFT(TRIM(MID(SUBSTITUTE($V119,";",REPT(" ",99)),595,99)),FIND(":",TRIM(MID(SUBSTITUTE($V119,";",REPT(" ",99)),595,99)))-1),Materiales!$A$2:$E$502,5,FALSE)*VALUE(MID(TRIM(MID(SUBSTITUTE($V119,";",REPT(" ",99)),595,99)),FIND(":",TRIM(MID(SUBSTITUTE($V119,";",REPT(" ",99)),595,99)))+1,99)),0) + IFERROR(VLOOKUP(LEFT(TRIM(MID(SUBSTITUTE($V119,";",REPT(" ",99)),694,99)),FIND(":",TRIM(MID(SUBSTITUTE($V119,";",REPT(" ",99)),694,99)))-1),Materiales!$A$2:$E$502,5,FALSE)*VALUE(MID(TRIM(MID(SUBSTITUTE($V119,";",REPT(" ",99)),694,99)),FIND(":",TRIM(MID(SUBSTITUTE($V119,";",REPT(" ",99)),694,99)))+1,99)),0) + IFERROR(VLOOKUP(LEFT(TRIM(MID(SUBSTITUTE($V119,";",REPT(" ",99)),793,99)),FIND(":",TRIM(MID(SUBSTITUTE($V119,";",REPT(" ",99)),793,99)))-1),Materiales!$A$2:$E$502,5,FALSE)*VALUE(MID(TRIM(MID(SUBSTITUTE($V119,";",REPT(" ",99)),793,99)),FIND(":",TRIM(MID(SUBSTITUTE($V119,";",REPT(" ",99)),793,99)))+1,99)),0) + IFERROR(VLOOKUP(LEFT(TRIM(MID(SUBSTITUTE($V119,";",REPT(" ",99)),892,99)),FIND(":",TRIM(MID(SUBSTITUTE($V119,";",REPT(" ",99)),892,99)))-1),Materiales!$A$2:$E$502,5,FALSE)*VALUE(MID(TRIM(MID(SUBSTITUTE($V119,";",REPT(" ",99)),892,99)),FIND(":",TRIM(MID(SUBSTITUTE($V119,";",REPT(" ",99)),892,99)))+1,99)),0)))</f>
        <v/>
      </c>
      <c r="X119" s="39" t="str">
        <f t="shared" si="13"/>
        <v/>
      </c>
      <c r="Y119" s="64"/>
      <c r="Z119" s="41"/>
      <c r="AA119" s="65"/>
      <c r="AB119" s="14"/>
      <c r="AC119" s="66"/>
      <c r="AD119" s="65"/>
      <c r="AE119" s="44">
        <f t="shared" si="17"/>
        <v>0</v>
      </c>
      <c r="AF119" s="45" t="str">
        <f t="shared" si="20"/>
        <v>#DIV/0!</v>
      </c>
    </row>
    <row r="120" ht="15.75" customHeight="1">
      <c r="A120" s="3"/>
      <c r="B120" s="3"/>
      <c r="C120" s="38"/>
      <c r="D120" s="38"/>
      <c r="E120" s="38"/>
      <c r="F120" s="14"/>
      <c r="G120" s="5" t="str">
        <f t="array" ref="G120">IF($A120="","",IFERROR($F120*(N($C120)*XLOOKUP($B120,Ceras!$A$2:$A$500,Ceras!$G$2:$G$500,0)+IF($D120="",0,N($E120)*XLOOKUP($D120,Ceras!$A$2:$A$500,Ceras!$G$2:$G$500,0))),"Revisar cera"))</f>
        <v/>
      </c>
      <c r="H120" s="5"/>
      <c r="I120" s="3"/>
      <c r="J120" s="14"/>
      <c r="K120" s="5" t="str">
        <f t="array" ref="K120">IF($A120="","",IFERROR($J120*XLOOKUP($I120,Pabilos!$A$2:$A$500,Pabilos!$H$2:$H$500,0),"Revisar pabilo"))</f>
        <v/>
      </c>
      <c r="L120" s="3"/>
      <c r="M120" s="14"/>
      <c r="N120" s="5" t="str">
        <f t="array" ref="N120">IF($A120="","",IFERROR($M120*XLOOKUP($L120,Esencias!$A$2:$A$501,Esencias!$G$2:$G$501,0),"Revisar esencia"))</f>
        <v/>
      </c>
      <c r="O120" s="3"/>
      <c r="P120" s="14"/>
      <c r="Q120" s="5" t="str">
        <f t="array" ref="Q120">IF($A120="","",IFERROR(IF($P120="",1,$P120)*XLOOKUP($O120,Colores!$A$2:$A$500,Colores!$H$2:$H$500,0),"Revisar color"))</f>
        <v/>
      </c>
      <c r="R120" s="3"/>
      <c r="S120" s="5" t="str">
        <f t="array" ref="S120">IF($A120="","",IF($R120="",0,IFERROR(VLOOKUP(LEFT(TRIM(MID(SUBSTITUTE($R120,";",REPT(" ",99)),1,99)),FIND(":",TRIM(MID(SUBSTITUTE($R120,";",REPT(" ",99)),1,99)))-1),Materiales!$A$2:$E$502,5,FALSE)*VALUE(MID(TRIM(MID(SUBSTITUTE($R120,";",REPT(" ",99)),1,99)),FIND(":",TRIM(MID(SUBSTITUTE($R120,";",REPT(" ",99)),1,99)))+1,99)),0) + IFERROR(VLOOKUP(LEFT(TRIM(MID(SUBSTITUTE($R120,";",REPT(" ",99)),100,99)),FIND(":",TRIM(MID(SUBSTITUTE($R120,";",REPT(" ",99)),100,99)))-1),Materiales!$A$2:$E$502,5,FALSE)*VALUE(MID(TRIM(MID(SUBSTITUTE($R120,";",REPT(" ",99)),100,99)),FIND(":",TRIM(MID(SUBSTITUTE($R120,";",REPT(" ",99)),100,99)))+1,99)),0) + IFERROR(VLOOKUP(LEFT(TRIM(MID(SUBSTITUTE($R120,";",REPT(" ",99)),199,99)),FIND(":",TRIM(MID(SUBSTITUTE($R120,";",REPT(" ",99)),199,99)))-1),Materiales!$A$2:$E$502,5,FALSE)*VALUE(MID(TRIM(MID(SUBSTITUTE($R120,";",REPT(" ",99)),199,99)),FIND(":",TRIM(MID(SUBSTITUTE($R120,";",REPT(" ",99)),199,99)))+1,99)),0) + IFERROR(VLOOKUP(LEFT(TRIM(MID(SUBSTITUTE($R120,";",REPT(" ",99)),298,99)),FIND(":",TRIM(MID(SUBSTITUTE($R120,";",REPT(" ",99)),298,99)))-1),Materiales!$A$2:$E$502,5,FALSE)*VALUE(MID(TRIM(MID(SUBSTITUTE($R120,";",REPT(" ",99)),298,99)),FIND(":",TRIM(MID(SUBSTITUTE($R120,";",REPT(" ",99)),298,99)))+1,99)),0) + IFERROR(VLOOKUP(LEFT(TRIM(MID(SUBSTITUTE($R120,";",REPT(" ",99)),397,99)),FIND(":",TRIM(MID(SUBSTITUTE($R120,";",REPT(" ",99)),397,99)))-1),Materiales!$A$2:$E$502,5,FALSE)*VALUE(MID(TRIM(MID(SUBSTITUTE($R120,";",REPT(" ",99)),397,99)),FIND(":",TRIM(MID(SUBSTITUTE($R120,";",REPT(" ",99)),397,99)))+1,99)),0) + IFERROR(VLOOKUP(LEFT(TRIM(MID(SUBSTITUTE($R120,";",REPT(" ",99)),496,99)),FIND(":",TRIM(MID(SUBSTITUTE($R120,";",REPT(" ",99)),496,99)))-1),Materiales!$A$2:$E$502,5,FALSE)*VALUE(MID(TRIM(MID(SUBSTITUTE($R120,";",REPT(" ",99)),496,99)),FIND(":",TRIM(MID(SUBSTITUTE($R120,";",REPT(" ",99)),496,99)))+1,99)),0) + IFERROR(VLOOKUP(LEFT(TRIM(MID(SUBSTITUTE($R120,";",REPT(" ",99)),595,99)),FIND(":",TRIM(MID(SUBSTITUTE($R120,";",REPT(" ",99)),595,99)))-1),Materiales!$A$2:$E$502,5,FALSE)*VALUE(MID(TRIM(MID(SUBSTITUTE($R120,";",REPT(" ",99)),595,99)),FIND(":",TRIM(MID(SUBSTITUTE($R120,";",REPT(" ",99)),595,99)))+1,99)),0) + IFERROR(VLOOKUP(LEFT(TRIM(MID(SUBSTITUTE($R120,";",REPT(" ",99)),694,99)),FIND(":",TRIM(MID(SUBSTITUTE($R120,";",REPT(" ",99)),694,99)))-1),Materiales!$A$2:$E$502,5,FALSE)*VALUE(MID(TRIM(MID(SUBSTITUTE($R120,";",REPT(" ",99)),694,99)),FIND(":",TRIM(MID(SUBSTITUTE($R120,";",REPT(" ",99)),694,99)))+1,99)),0) + IFERROR(VLOOKUP(LEFT(TRIM(MID(SUBSTITUTE($R120,";",REPT(" ",99)),793,99)),FIND(":",TRIM(MID(SUBSTITUTE($R120,";",REPT(" ",99)),793,99)))-1),Materiales!$A$2:$E$502,5,FALSE)*VALUE(MID(TRIM(MID(SUBSTITUTE($R120,";",REPT(" ",99)),793,99)),FIND(":",TRIM(MID(SUBSTITUTE($R120,";",REPT(" ",99)),793,99)))+1,99)),0) + IFERROR(VLOOKUP(LEFT(TRIM(MID(SUBSTITUTE($R120,";",REPT(" ",99)),892,99)),FIND(":",TRIM(MID(SUBSTITUTE($R120,";",REPT(" ",99)),892,99)))-1),Materiales!$A$2:$E$502,5,FALSE)*VALUE(MID(TRIM(MID(SUBSTITUTE($R120,";",REPT(" ",99)),892,99)),FIND(":",TRIM(MID(SUBSTITUTE($R120,";",REPT(" ",99)),892,99)))+1,99)),0)))</f>
        <v/>
      </c>
      <c r="T120" s="3"/>
      <c r="U120" s="5" t="str">
        <f t="array" ref="U120">IF($A120="","",IF($T120="",0,IFERROR(VLOOKUP(LEFT(TRIM(MID(SUBSTITUTE($T120,";",REPT(" ",99)),1,99)),FIND(":",TRIM(MID(SUBSTITUTE($T120,";",REPT(" ",99)),1,99)))-1),Materiales!$A$2:$E$502,5,FALSE)*VALUE(MID(TRIM(MID(SUBSTITUTE($T120,";",REPT(" ",99)),1,99)),FIND(":",TRIM(MID(SUBSTITUTE($T120,";",REPT(" ",99)),1,99)))+1,99)),0) + IFERROR(VLOOKUP(LEFT(TRIM(MID(SUBSTITUTE($T120,";",REPT(" ",99)),100,99)),FIND(":",TRIM(MID(SUBSTITUTE($T120,";",REPT(" ",99)),100,99)))-1),Materiales!$A$2:$E$502,5,FALSE)*VALUE(MID(TRIM(MID(SUBSTITUTE($T120,";",REPT(" ",99)),100,99)),FIND(":",TRIM(MID(SUBSTITUTE($T120,";",REPT(" ",99)),100,99)))+1,99)),0) + IFERROR(VLOOKUP(LEFT(TRIM(MID(SUBSTITUTE($T120,";",REPT(" ",99)),199,99)),FIND(":",TRIM(MID(SUBSTITUTE($T120,";",REPT(" ",99)),199,99)))-1),Materiales!$A$2:$E$502,5,FALSE)*VALUE(MID(TRIM(MID(SUBSTITUTE($T120,";",REPT(" ",99)),199,99)),FIND(":",TRIM(MID(SUBSTITUTE($T120,";",REPT(" ",99)),199,99)))+1,99)),0) + IFERROR(VLOOKUP(LEFT(TRIM(MID(SUBSTITUTE($T120,";",REPT(" ",99)),298,99)),FIND(":",TRIM(MID(SUBSTITUTE($T120,";",REPT(" ",99)),298,99)))-1),Materiales!$A$2:$E$502,5,FALSE)*VALUE(MID(TRIM(MID(SUBSTITUTE($T120,";",REPT(" ",99)),298,99)),FIND(":",TRIM(MID(SUBSTITUTE($T120,";",REPT(" ",99)),298,99)))+1,99)),0) + IFERROR(VLOOKUP(LEFT(TRIM(MID(SUBSTITUTE($T120,";",REPT(" ",99)),397,99)),FIND(":",TRIM(MID(SUBSTITUTE($T120,";",REPT(" ",99)),397,99)))-1),Materiales!$A$2:$E$502,5,FALSE)*VALUE(MID(TRIM(MID(SUBSTITUTE($T120,";",REPT(" ",99)),397,99)),FIND(":",TRIM(MID(SUBSTITUTE($T120,";",REPT(" ",99)),397,99)))+1,99)),0) + IFERROR(VLOOKUP(LEFT(TRIM(MID(SUBSTITUTE($T120,";",REPT(" ",99)),496,99)),FIND(":",TRIM(MID(SUBSTITUTE($T120,";",REPT(" ",99)),496,99)))-1),Materiales!$A$2:$E$502,5,FALSE)*VALUE(MID(TRIM(MID(SUBSTITUTE($T120,";",REPT(" ",99)),496,99)),FIND(":",TRIM(MID(SUBSTITUTE($T120,";",REPT(" ",99)),496,99)))+1,99)),0) + IFERROR(VLOOKUP(LEFT(TRIM(MID(SUBSTITUTE($T120,";",REPT(" ",99)),595,99)),FIND(":",TRIM(MID(SUBSTITUTE($T120,";",REPT(" ",99)),595,99)))-1),Materiales!$A$2:$E$502,5,FALSE)*VALUE(MID(TRIM(MID(SUBSTITUTE($T120,";",REPT(" ",99)),595,99)),FIND(":",TRIM(MID(SUBSTITUTE($T120,";",REPT(" ",99)),595,99)))+1,99)),0) + IFERROR(VLOOKUP(LEFT(TRIM(MID(SUBSTITUTE($T120,";",REPT(" ",99)),694,99)),FIND(":",TRIM(MID(SUBSTITUTE($T120,";",REPT(" ",99)),694,99)))-1),Materiales!$A$2:$E$502,5,FALSE)*VALUE(MID(TRIM(MID(SUBSTITUTE($T120,";",REPT(" ",99)),694,99)),FIND(":",TRIM(MID(SUBSTITUTE($T120,";",REPT(" ",99)),694,99)))+1,99)),0) + IFERROR(VLOOKUP(LEFT(TRIM(MID(SUBSTITUTE($T120,";",REPT(" ",99)),793,99)),FIND(":",TRIM(MID(SUBSTITUTE($T120,";",REPT(" ",99)),793,99)))-1),Materiales!$A$2:$E$502,5,FALSE)*VALUE(MID(TRIM(MID(SUBSTITUTE($T120,";",REPT(" ",99)),793,99)),FIND(":",TRIM(MID(SUBSTITUTE($T120,";",REPT(" ",99)),793,99)))+1,99)),0) + IFERROR(VLOOKUP(LEFT(TRIM(MID(SUBSTITUTE($T120,";",REPT(" ",99)),892,99)),FIND(":",TRIM(MID(SUBSTITUTE($T120,";",REPT(" ",99)),892,99)))-1),Materiales!$A$2:$E$502,5,FALSE)*VALUE(MID(TRIM(MID(SUBSTITUTE($T120,";",REPT(" ",99)),892,99)),FIND(":",TRIM(MID(SUBSTITUTE($T120,";",REPT(" ",99)),892,99)))+1,99)),0)))</f>
        <v/>
      </c>
      <c r="V120" s="3"/>
      <c r="W120" s="5" t="str">
        <f t="array" ref="W120">IF($A120="","",IF($V120="",0,IFERROR(VLOOKUP(LEFT(TRIM(MID(SUBSTITUTE($V120,";",REPT(" ",99)),1,99)),FIND(":",TRIM(MID(SUBSTITUTE($V120,";",REPT(" ",99)),1,99)))-1),Materiales!$A$2:$E$502,5,FALSE)*VALUE(MID(TRIM(MID(SUBSTITUTE($V120,";",REPT(" ",99)),1,99)),FIND(":",TRIM(MID(SUBSTITUTE($V120,";",REPT(" ",99)),1,99)))+1,99)),0) + IFERROR(VLOOKUP(LEFT(TRIM(MID(SUBSTITUTE($V120,";",REPT(" ",99)),100,99)),FIND(":",TRIM(MID(SUBSTITUTE($V120,";",REPT(" ",99)),100,99)))-1),Materiales!$A$2:$E$502,5,FALSE)*VALUE(MID(TRIM(MID(SUBSTITUTE($V120,";",REPT(" ",99)),100,99)),FIND(":",TRIM(MID(SUBSTITUTE($V120,";",REPT(" ",99)),100,99)))+1,99)),0) + IFERROR(VLOOKUP(LEFT(TRIM(MID(SUBSTITUTE($V120,";",REPT(" ",99)),199,99)),FIND(":",TRIM(MID(SUBSTITUTE($V120,";",REPT(" ",99)),199,99)))-1),Materiales!$A$2:$E$502,5,FALSE)*VALUE(MID(TRIM(MID(SUBSTITUTE($V120,";",REPT(" ",99)),199,99)),FIND(":",TRIM(MID(SUBSTITUTE($V120,";",REPT(" ",99)),199,99)))+1,99)),0) + IFERROR(VLOOKUP(LEFT(TRIM(MID(SUBSTITUTE($V120,";",REPT(" ",99)),298,99)),FIND(":",TRIM(MID(SUBSTITUTE($V120,";",REPT(" ",99)),298,99)))-1),Materiales!$A$2:$E$502,5,FALSE)*VALUE(MID(TRIM(MID(SUBSTITUTE($V120,";",REPT(" ",99)),298,99)),FIND(":",TRIM(MID(SUBSTITUTE($V120,";",REPT(" ",99)),298,99)))+1,99)),0) + IFERROR(VLOOKUP(LEFT(TRIM(MID(SUBSTITUTE($V120,";",REPT(" ",99)),397,99)),FIND(":",TRIM(MID(SUBSTITUTE($V120,";",REPT(" ",99)),397,99)))-1),Materiales!$A$2:$E$502,5,FALSE)*VALUE(MID(TRIM(MID(SUBSTITUTE($V120,";",REPT(" ",99)),397,99)),FIND(":",TRIM(MID(SUBSTITUTE($V120,";",REPT(" ",99)),397,99)))+1,99)),0) + IFERROR(VLOOKUP(LEFT(TRIM(MID(SUBSTITUTE($V120,";",REPT(" ",99)),496,99)),FIND(":",TRIM(MID(SUBSTITUTE($V120,";",REPT(" ",99)),496,99)))-1),Materiales!$A$2:$E$502,5,FALSE)*VALUE(MID(TRIM(MID(SUBSTITUTE($V120,";",REPT(" ",99)),496,99)),FIND(":",TRIM(MID(SUBSTITUTE($V120,";",REPT(" ",99)),496,99)))+1,99)),0) + IFERROR(VLOOKUP(LEFT(TRIM(MID(SUBSTITUTE($V120,";",REPT(" ",99)),595,99)),FIND(":",TRIM(MID(SUBSTITUTE($V120,";",REPT(" ",99)),595,99)))-1),Materiales!$A$2:$E$502,5,FALSE)*VALUE(MID(TRIM(MID(SUBSTITUTE($V120,";",REPT(" ",99)),595,99)),FIND(":",TRIM(MID(SUBSTITUTE($V120,";",REPT(" ",99)),595,99)))+1,99)),0) + IFERROR(VLOOKUP(LEFT(TRIM(MID(SUBSTITUTE($V120,";",REPT(" ",99)),694,99)),FIND(":",TRIM(MID(SUBSTITUTE($V120,";",REPT(" ",99)),694,99)))-1),Materiales!$A$2:$E$502,5,FALSE)*VALUE(MID(TRIM(MID(SUBSTITUTE($V120,";",REPT(" ",99)),694,99)),FIND(":",TRIM(MID(SUBSTITUTE($V120,";",REPT(" ",99)),694,99)))+1,99)),0) + IFERROR(VLOOKUP(LEFT(TRIM(MID(SUBSTITUTE($V120,";",REPT(" ",99)),793,99)),FIND(":",TRIM(MID(SUBSTITUTE($V120,";",REPT(" ",99)),793,99)))-1),Materiales!$A$2:$E$502,5,FALSE)*VALUE(MID(TRIM(MID(SUBSTITUTE($V120,";",REPT(" ",99)),793,99)),FIND(":",TRIM(MID(SUBSTITUTE($V120,";",REPT(" ",99)),793,99)))+1,99)),0) + IFERROR(VLOOKUP(LEFT(TRIM(MID(SUBSTITUTE($V120,";",REPT(" ",99)),892,99)),FIND(":",TRIM(MID(SUBSTITUTE($V120,";",REPT(" ",99)),892,99)))-1),Materiales!$A$2:$E$502,5,FALSE)*VALUE(MID(TRIM(MID(SUBSTITUTE($V120,";",REPT(" ",99)),892,99)),FIND(":",TRIM(MID(SUBSTITUTE($V120,";",REPT(" ",99)),892,99)))+1,99)),0)))</f>
        <v/>
      </c>
      <c r="X120" s="39" t="str">
        <f t="shared" si="13"/>
        <v/>
      </c>
      <c r="Y120" s="64"/>
      <c r="Z120" s="41"/>
      <c r="AA120" s="65"/>
      <c r="AB120" s="14"/>
      <c r="AC120" s="66"/>
      <c r="AD120" s="65"/>
      <c r="AE120" s="44">
        <f t="shared" si="17"/>
        <v>0</v>
      </c>
      <c r="AF120" s="45" t="str">
        <f t="shared" si="20"/>
        <v>#DIV/0!</v>
      </c>
    </row>
    <row r="121" ht="15.75" customHeight="1">
      <c r="A121" s="3"/>
      <c r="B121" s="3"/>
      <c r="C121" s="38"/>
      <c r="D121" s="38"/>
      <c r="E121" s="38"/>
      <c r="F121" s="14"/>
      <c r="G121" s="5" t="str">
        <f t="array" ref="G121">IF($A121="","",IFERROR($F121*(N($C121)*XLOOKUP($B121,Ceras!$A$2:$A$500,Ceras!$G$2:$G$500,0)+IF($D121="",0,N($E121)*XLOOKUP($D121,Ceras!$A$2:$A$500,Ceras!$G$2:$G$500,0))),"Revisar cera"))</f>
        <v/>
      </c>
      <c r="H121" s="5"/>
      <c r="I121" s="3"/>
      <c r="J121" s="14"/>
      <c r="K121" s="5" t="str">
        <f t="array" ref="K121">IF($A121="","",IFERROR($J121*XLOOKUP($I121,Pabilos!$A$2:$A$500,Pabilos!$H$2:$H$500,0),"Revisar pabilo"))</f>
        <v/>
      </c>
      <c r="L121" s="3"/>
      <c r="M121" s="14"/>
      <c r="N121" s="5" t="str">
        <f t="array" ref="N121">IF($A121="","",IFERROR($M121*XLOOKUP($L121,Esencias!$A$2:$A$501,Esencias!$G$2:$G$501,0),"Revisar esencia"))</f>
        <v/>
      </c>
      <c r="O121" s="3"/>
      <c r="P121" s="14"/>
      <c r="Q121" s="5" t="str">
        <f t="array" ref="Q121">IF($A121="","",IFERROR(IF($P121="",1,$P121)*XLOOKUP($O121,Colores!$A$2:$A$500,Colores!$H$2:$H$500,0),"Revisar color"))</f>
        <v/>
      </c>
      <c r="R121" s="3"/>
      <c r="S121" s="5" t="str">
        <f t="array" ref="S121">IF($A121="","",IF($R121="",0,IFERROR(VLOOKUP(LEFT(TRIM(MID(SUBSTITUTE($R121,";",REPT(" ",99)),1,99)),FIND(":",TRIM(MID(SUBSTITUTE($R121,";",REPT(" ",99)),1,99)))-1),Materiales!$A$2:$E$502,5,FALSE)*VALUE(MID(TRIM(MID(SUBSTITUTE($R121,";",REPT(" ",99)),1,99)),FIND(":",TRIM(MID(SUBSTITUTE($R121,";",REPT(" ",99)),1,99)))+1,99)),0) + IFERROR(VLOOKUP(LEFT(TRIM(MID(SUBSTITUTE($R121,";",REPT(" ",99)),100,99)),FIND(":",TRIM(MID(SUBSTITUTE($R121,";",REPT(" ",99)),100,99)))-1),Materiales!$A$2:$E$502,5,FALSE)*VALUE(MID(TRIM(MID(SUBSTITUTE($R121,";",REPT(" ",99)),100,99)),FIND(":",TRIM(MID(SUBSTITUTE($R121,";",REPT(" ",99)),100,99)))+1,99)),0) + IFERROR(VLOOKUP(LEFT(TRIM(MID(SUBSTITUTE($R121,";",REPT(" ",99)),199,99)),FIND(":",TRIM(MID(SUBSTITUTE($R121,";",REPT(" ",99)),199,99)))-1),Materiales!$A$2:$E$502,5,FALSE)*VALUE(MID(TRIM(MID(SUBSTITUTE($R121,";",REPT(" ",99)),199,99)),FIND(":",TRIM(MID(SUBSTITUTE($R121,";",REPT(" ",99)),199,99)))+1,99)),0) + IFERROR(VLOOKUP(LEFT(TRIM(MID(SUBSTITUTE($R121,";",REPT(" ",99)),298,99)),FIND(":",TRIM(MID(SUBSTITUTE($R121,";",REPT(" ",99)),298,99)))-1),Materiales!$A$2:$E$502,5,FALSE)*VALUE(MID(TRIM(MID(SUBSTITUTE($R121,";",REPT(" ",99)),298,99)),FIND(":",TRIM(MID(SUBSTITUTE($R121,";",REPT(" ",99)),298,99)))+1,99)),0) + IFERROR(VLOOKUP(LEFT(TRIM(MID(SUBSTITUTE($R121,";",REPT(" ",99)),397,99)),FIND(":",TRIM(MID(SUBSTITUTE($R121,";",REPT(" ",99)),397,99)))-1),Materiales!$A$2:$E$502,5,FALSE)*VALUE(MID(TRIM(MID(SUBSTITUTE($R121,";",REPT(" ",99)),397,99)),FIND(":",TRIM(MID(SUBSTITUTE($R121,";",REPT(" ",99)),397,99)))+1,99)),0) + IFERROR(VLOOKUP(LEFT(TRIM(MID(SUBSTITUTE($R121,";",REPT(" ",99)),496,99)),FIND(":",TRIM(MID(SUBSTITUTE($R121,";",REPT(" ",99)),496,99)))-1),Materiales!$A$2:$E$502,5,FALSE)*VALUE(MID(TRIM(MID(SUBSTITUTE($R121,";",REPT(" ",99)),496,99)),FIND(":",TRIM(MID(SUBSTITUTE($R121,";",REPT(" ",99)),496,99)))+1,99)),0) + IFERROR(VLOOKUP(LEFT(TRIM(MID(SUBSTITUTE($R121,";",REPT(" ",99)),595,99)),FIND(":",TRIM(MID(SUBSTITUTE($R121,";",REPT(" ",99)),595,99)))-1),Materiales!$A$2:$E$502,5,FALSE)*VALUE(MID(TRIM(MID(SUBSTITUTE($R121,";",REPT(" ",99)),595,99)),FIND(":",TRIM(MID(SUBSTITUTE($R121,";",REPT(" ",99)),595,99)))+1,99)),0) + IFERROR(VLOOKUP(LEFT(TRIM(MID(SUBSTITUTE($R121,";",REPT(" ",99)),694,99)),FIND(":",TRIM(MID(SUBSTITUTE($R121,";",REPT(" ",99)),694,99)))-1),Materiales!$A$2:$E$502,5,FALSE)*VALUE(MID(TRIM(MID(SUBSTITUTE($R121,";",REPT(" ",99)),694,99)),FIND(":",TRIM(MID(SUBSTITUTE($R121,";",REPT(" ",99)),694,99)))+1,99)),0) + IFERROR(VLOOKUP(LEFT(TRIM(MID(SUBSTITUTE($R121,";",REPT(" ",99)),793,99)),FIND(":",TRIM(MID(SUBSTITUTE($R121,";",REPT(" ",99)),793,99)))-1),Materiales!$A$2:$E$502,5,FALSE)*VALUE(MID(TRIM(MID(SUBSTITUTE($R121,";",REPT(" ",99)),793,99)),FIND(":",TRIM(MID(SUBSTITUTE($R121,";",REPT(" ",99)),793,99)))+1,99)),0) + IFERROR(VLOOKUP(LEFT(TRIM(MID(SUBSTITUTE($R121,";",REPT(" ",99)),892,99)),FIND(":",TRIM(MID(SUBSTITUTE($R121,";",REPT(" ",99)),892,99)))-1),Materiales!$A$2:$E$502,5,FALSE)*VALUE(MID(TRIM(MID(SUBSTITUTE($R121,";",REPT(" ",99)),892,99)),FIND(":",TRIM(MID(SUBSTITUTE($R121,";",REPT(" ",99)),892,99)))+1,99)),0)))</f>
        <v/>
      </c>
      <c r="T121" s="3"/>
      <c r="U121" s="5" t="str">
        <f t="array" ref="U121">IF($A121="","",IF($T121="",0,IFERROR(VLOOKUP(LEFT(TRIM(MID(SUBSTITUTE($T121,";",REPT(" ",99)),1,99)),FIND(":",TRIM(MID(SUBSTITUTE($T121,";",REPT(" ",99)),1,99)))-1),Materiales!$A$2:$E$502,5,FALSE)*VALUE(MID(TRIM(MID(SUBSTITUTE($T121,";",REPT(" ",99)),1,99)),FIND(":",TRIM(MID(SUBSTITUTE($T121,";",REPT(" ",99)),1,99)))+1,99)),0) + IFERROR(VLOOKUP(LEFT(TRIM(MID(SUBSTITUTE($T121,";",REPT(" ",99)),100,99)),FIND(":",TRIM(MID(SUBSTITUTE($T121,";",REPT(" ",99)),100,99)))-1),Materiales!$A$2:$E$502,5,FALSE)*VALUE(MID(TRIM(MID(SUBSTITUTE($T121,";",REPT(" ",99)),100,99)),FIND(":",TRIM(MID(SUBSTITUTE($T121,";",REPT(" ",99)),100,99)))+1,99)),0) + IFERROR(VLOOKUP(LEFT(TRIM(MID(SUBSTITUTE($T121,";",REPT(" ",99)),199,99)),FIND(":",TRIM(MID(SUBSTITUTE($T121,";",REPT(" ",99)),199,99)))-1),Materiales!$A$2:$E$502,5,FALSE)*VALUE(MID(TRIM(MID(SUBSTITUTE($T121,";",REPT(" ",99)),199,99)),FIND(":",TRIM(MID(SUBSTITUTE($T121,";",REPT(" ",99)),199,99)))+1,99)),0) + IFERROR(VLOOKUP(LEFT(TRIM(MID(SUBSTITUTE($T121,";",REPT(" ",99)),298,99)),FIND(":",TRIM(MID(SUBSTITUTE($T121,";",REPT(" ",99)),298,99)))-1),Materiales!$A$2:$E$502,5,FALSE)*VALUE(MID(TRIM(MID(SUBSTITUTE($T121,";",REPT(" ",99)),298,99)),FIND(":",TRIM(MID(SUBSTITUTE($T121,";",REPT(" ",99)),298,99)))+1,99)),0) + IFERROR(VLOOKUP(LEFT(TRIM(MID(SUBSTITUTE($T121,";",REPT(" ",99)),397,99)),FIND(":",TRIM(MID(SUBSTITUTE($T121,";",REPT(" ",99)),397,99)))-1),Materiales!$A$2:$E$502,5,FALSE)*VALUE(MID(TRIM(MID(SUBSTITUTE($T121,";",REPT(" ",99)),397,99)),FIND(":",TRIM(MID(SUBSTITUTE($T121,";",REPT(" ",99)),397,99)))+1,99)),0) + IFERROR(VLOOKUP(LEFT(TRIM(MID(SUBSTITUTE($T121,";",REPT(" ",99)),496,99)),FIND(":",TRIM(MID(SUBSTITUTE($T121,";",REPT(" ",99)),496,99)))-1),Materiales!$A$2:$E$502,5,FALSE)*VALUE(MID(TRIM(MID(SUBSTITUTE($T121,";",REPT(" ",99)),496,99)),FIND(":",TRIM(MID(SUBSTITUTE($T121,";",REPT(" ",99)),496,99)))+1,99)),0) + IFERROR(VLOOKUP(LEFT(TRIM(MID(SUBSTITUTE($T121,";",REPT(" ",99)),595,99)),FIND(":",TRIM(MID(SUBSTITUTE($T121,";",REPT(" ",99)),595,99)))-1),Materiales!$A$2:$E$502,5,FALSE)*VALUE(MID(TRIM(MID(SUBSTITUTE($T121,";",REPT(" ",99)),595,99)),FIND(":",TRIM(MID(SUBSTITUTE($T121,";",REPT(" ",99)),595,99)))+1,99)),0) + IFERROR(VLOOKUP(LEFT(TRIM(MID(SUBSTITUTE($T121,";",REPT(" ",99)),694,99)),FIND(":",TRIM(MID(SUBSTITUTE($T121,";",REPT(" ",99)),694,99)))-1),Materiales!$A$2:$E$502,5,FALSE)*VALUE(MID(TRIM(MID(SUBSTITUTE($T121,";",REPT(" ",99)),694,99)),FIND(":",TRIM(MID(SUBSTITUTE($T121,";",REPT(" ",99)),694,99)))+1,99)),0) + IFERROR(VLOOKUP(LEFT(TRIM(MID(SUBSTITUTE($T121,";",REPT(" ",99)),793,99)),FIND(":",TRIM(MID(SUBSTITUTE($T121,";",REPT(" ",99)),793,99)))-1),Materiales!$A$2:$E$502,5,FALSE)*VALUE(MID(TRIM(MID(SUBSTITUTE($T121,";",REPT(" ",99)),793,99)),FIND(":",TRIM(MID(SUBSTITUTE($T121,";",REPT(" ",99)),793,99)))+1,99)),0) + IFERROR(VLOOKUP(LEFT(TRIM(MID(SUBSTITUTE($T121,";",REPT(" ",99)),892,99)),FIND(":",TRIM(MID(SUBSTITUTE($T121,";",REPT(" ",99)),892,99)))-1),Materiales!$A$2:$E$502,5,FALSE)*VALUE(MID(TRIM(MID(SUBSTITUTE($T121,";",REPT(" ",99)),892,99)),FIND(":",TRIM(MID(SUBSTITUTE($T121,";",REPT(" ",99)),892,99)))+1,99)),0)))</f>
        <v/>
      </c>
      <c r="V121" s="3"/>
      <c r="W121" s="5" t="str">
        <f t="array" ref="W121">IF($A121="","",IF($V121="",0,IFERROR(VLOOKUP(LEFT(TRIM(MID(SUBSTITUTE($V121,";",REPT(" ",99)),1,99)),FIND(":",TRIM(MID(SUBSTITUTE($V121,";",REPT(" ",99)),1,99)))-1),Materiales!$A$2:$E$502,5,FALSE)*VALUE(MID(TRIM(MID(SUBSTITUTE($V121,";",REPT(" ",99)),1,99)),FIND(":",TRIM(MID(SUBSTITUTE($V121,";",REPT(" ",99)),1,99)))+1,99)),0) + IFERROR(VLOOKUP(LEFT(TRIM(MID(SUBSTITUTE($V121,";",REPT(" ",99)),100,99)),FIND(":",TRIM(MID(SUBSTITUTE($V121,";",REPT(" ",99)),100,99)))-1),Materiales!$A$2:$E$502,5,FALSE)*VALUE(MID(TRIM(MID(SUBSTITUTE($V121,";",REPT(" ",99)),100,99)),FIND(":",TRIM(MID(SUBSTITUTE($V121,";",REPT(" ",99)),100,99)))+1,99)),0) + IFERROR(VLOOKUP(LEFT(TRIM(MID(SUBSTITUTE($V121,";",REPT(" ",99)),199,99)),FIND(":",TRIM(MID(SUBSTITUTE($V121,";",REPT(" ",99)),199,99)))-1),Materiales!$A$2:$E$502,5,FALSE)*VALUE(MID(TRIM(MID(SUBSTITUTE($V121,";",REPT(" ",99)),199,99)),FIND(":",TRIM(MID(SUBSTITUTE($V121,";",REPT(" ",99)),199,99)))+1,99)),0) + IFERROR(VLOOKUP(LEFT(TRIM(MID(SUBSTITUTE($V121,";",REPT(" ",99)),298,99)),FIND(":",TRIM(MID(SUBSTITUTE($V121,";",REPT(" ",99)),298,99)))-1),Materiales!$A$2:$E$502,5,FALSE)*VALUE(MID(TRIM(MID(SUBSTITUTE($V121,";",REPT(" ",99)),298,99)),FIND(":",TRIM(MID(SUBSTITUTE($V121,";",REPT(" ",99)),298,99)))+1,99)),0) + IFERROR(VLOOKUP(LEFT(TRIM(MID(SUBSTITUTE($V121,";",REPT(" ",99)),397,99)),FIND(":",TRIM(MID(SUBSTITUTE($V121,";",REPT(" ",99)),397,99)))-1),Materiales!$A$2:$E$502,5,FALSE)*VALUE(MID(TRIM(MID(SUBSTITUTE($V121,";",REPT(" ",99)),397,99)),FIND(":",TRIM(MID(SUBSTITUTE($V121,";",REPT(" ",99)),397,99)))+1,99)),0) + IFERROR(VLOOKUP(LEFT(TRIM(MID(SUBSTITUTE($V121,";",REPT(" ",99)),496,99)),FIND(":",TRIM(MID(SUBSTITUTE($V121,";",REPT(" ",99)),496,99)))-1),Materiales!$A$2:$E$502,5,FALSE)*VALUE(MID(TRIM(MID(SUBSTITUTE($V121,";",REPT(" ",99)),496,99)),FIND(":",TRIM(MID(SUBSTITUTE($V121,";",REPT(" ",99)),496,99)))+1,99)),0) + IFERROR(VLOOKUP(LEFT(TRIM(MID(SUBSTITUTE($V121,";",REPT(" ",99)),595,99)),FIND(":",TRIM(MID(SUBSTITUTE($V121,";",REPT(" ",99)),595,99)))-1),Materiales!$A$2:$E$502,5,FALSE)*VALUE(MID(TRIM(MID(SUBSTITUTE($V121,";",REPT(" ",99)),595,99)),FIND(":",TRIM(MID(SUBSTITUTE($V121,";",REPT(" ",99)),595,99)))+1,99)),0) + IFERROR(VLOOKUP(LEFT(TRIM(MID(SUBSTITUTE($V121,";",REPT(" ",99)),694,99)),FIND(":",TRIM(MID(SUBSTITUTE($V121,";",REPT(" ",99)),694,99)))-1),Materiales!$A$2:$E$502,5,FALSE)*VALUE(MID(TRIM(MID(SUBSTITUTE($V121,";",REPT(" ",99)),694,99)),FIND(":",TRIM(MID(SUBSTITUTE($V121,";",REPT(" ",99)),694,99)))+1,99)),0) + IFERROR(VLOOKUP(LEFT(TRIM(MID(SUBSTITUTE($V121,";",REPT(" ",99)),793,99)),FIND(":",TRIM(MID(SUBSTITUTE($V121,";",REPT(" ",99)),793,99)))-1),Materiales!$A$2:$E$502,5,FALSE)*VALUE(MID(TRIM(MID(SUBSTITUTE($V121,";",REPT(" ",99)),793,99)),FIND(":",TRIM(MID(SUBSTITUTE($V121,";",REPT(" ",99)),793,99)))+1,99)),0) + IFERROR(VLOOKUP(LEFT(TRIM(MID(SUBSTITUTE($V121,";",REPT(" ",99)),892,99)),FIND(":",TRIM(MID(SUBSTITUTE($V121,";",REPT(" ",99)),892,99)))-1),Materiales!$A$2:$E$502,5,FALSE)*VALUE(MID(TRIM(MID(SUBSTITUTE($V121,";",REPT(" ",99)),892,99)),FIND(":",TRIM(MID(SUBSTITUTE($V121,";",REPT(" ",99)),892,99)))+1,99)),0)))</f>
        <v/>
      </c>
      <c r="X121" s="39" t="str">
        <f t="shared" si="13"/>
        <v/>
      </c>
      <c r="Y121" s="64"/>
      <c r="Z121" s="41"/>
      <c r="AA121" s="65"/>
      <c r="AB121" s="14"/>
      <c r="AC121" s="66"/>
      <c r="AD121" s="65"/>
      <c r="AE121" s="44">
        <f t="shared" si="17"/>
        <v>0</v>
      </c>
      <c r="AF121" s="45" t="str">
        <f t="shared" si="20"/>
        <v>#DIV/0!</v>
      </c>
    </row>
    <row r="122" ht="15.75" customHeight="1">
      <c r="A122" s="3"/>
      <c r="B122" s="3"/>
      <c r="C122" s="38"/>
      <c r="D122" s="38"/>
      <c r="E122" s="38"/>
      <c r="F122" s="14"/>
      <c r="G122" s="5" t="str">
        <f t="array" ref="G122">IF($A122="","",IFERROR($F122*(N($C122)*XLOOKUP($B122,Ceras!$A$2:$A$500,Ceras!$G$2:$G$500,0)+IF($D122="",0,N($E122)*XLOOKUP($D122,Ceras!$A$2:$A$500,Ceras!$G$2:$G$500,0))),"Revisar cera"))</f>
        <v/>
      </c>
      <c r="H122" s="5"/>
      <c r="I122" s="3"/>
      <c r="J122" s="14"/>
      <c r="K122" s="5" t="str">
        <f t="array" ref="K122">IF($A122="","",IFERROR($J122*XLOOKUP($I122,Pabilos!$A$2:$A$500,Pabilos!$H$2:$H$500,0),"Revisar pabilo"))</f>
        <v/>
      </c>
      <c r="L122" s="3"/>
      <c r="M122" s="14"/>
      <c r="N122" s="5" t="str">
        <f t="array" ref="N122">IF($A122="","",IFERROR($M122*XLOOKUP($L122,Esencias!$A$2:$A$501,Esencias!$G$2:$G$501,0),"Revisar esencia"))</f>
        <v/>
      </c>
      <c r="O122" s="3"/>
      <c r="P122" s="14"/>
      <c r="Q122" s="5" t="str">
        <f t="array" ref="Q122">IF($A122="","",IFERROR(IF($P122="",1,$P122)*XLOOKUP($O122,Colores!$A$2:$A$500,Colores!$H$2:$H$500,0),"Revisar color"))</f>
        <v/>
      </c>
      <c r="R122" s="3"/>
      <c r="S122" s="5" t="str">
        <f t="array" ref="S122">IF($A122="","",IF($R122="",0,IFERROR(VLOOKUP(LEFT(TRIM(MID(SUBSTITUTE($R122,";",REPT(" ",99)),1,99)),FIND(":",TRIM(MID(SUBSTITUTE($R122,";",REPT(" ",99)),1,99)))-1),Materiales!$A$2:$E$502,5,FALSE)*VALUE(MID(TRIM(MID(SUBSTITUTE($R122,";",REPT(" ",99)),1,99)),FIND(":",TRIM(MID(SUBSTITUTE($R122,";",REPT(" ",99)),1,99)))+1,99)),0) + IFERROR(VLOOKUP(LEFT(TRIM(MID(SUBSTITUTE($R122,";",REPT(" ",99)),100,99)),FIND(":",TRIM(MID(SUBSTITUTE($R122,";",REPT(" ",99)),100,99)))-1),Materiales!$A$2:$E$502,5,FALSE)*VALUE(MID(TRIM(MID(SUBSTITUTE($R122,";",REPT(" ",99)),100,99)),FIND(":",TRIM(MID(SUBSTITUTE($R122,";",REPT(" ",99)),100,99)))+1,99)),0) + IFERROR(VLOOKUP(LEFT(TRIM(MID(SUBSTITUTE($R122,";",REPT(" ",99)),199,99)),FIND(":",TRIM(MID(SUBSTITUTE($R122,";",REPT(" ",99)),199,99)))-1),Materiales!$A$2:$E$502,5,FALSE)*VALUE(MID(TRIM(MID(SUBSTITUTE($R122,";",REPT(" ",99)),199,99)),FIND(":",TRIM(MID(SUBSTITUTE($R122,";",REPT(" ",99)),199,99)))+1,99)),0) + IFERROR(VLOOKUP(LEFT(TRIM(MID(SUBSTITUTE($R122,";",REPT(" ",99)),298,99)),FIND(":",TRIM(MID(SUBSTITUTE($R122,";",REPT(" ",99)),298,99)))-1),Materiales!$A$2:$E$502,5,FALSE)*VALUE(MID(TRIM(MID(SUBSTITUTE($R122,";",REPT(" ",99)),298,99)),FIND(":",TRIM(MID(SUBSTITUTE($R122,";",REPT(" ",99)),298,99)))+1,99)),0) + IFERROR(VLOOKUP(LEFT(TRIM(MID(SUBSTITUTE($R122,";",REPT(" ",99)),397,99)),FIND(":",TRIM(MID(SUBSTITUTE($R122,";",REPT(" ",99)),397,99)))-1),Materiales!$A$2:$E$502,5,FALSE)*VALUE(MID(TRIM(MID(SUBSTITUTE($R122,";",REPT(" ",99)),397,99)),FIND(":",TRIM(MID(SUBSTITUTE($R122,";",REPT(" ",99)),397,99)))+1,99)),0) + IFERROR(VLOOKUP(LEFT(TRIM(MID(SUBSTITUTE($R122,";",REPT(" ",99)),496,99)),FIND(":",TRIM(MID(SUBSTITUTE($R122,";",REPT(" ",99)),496,99)))-1),Materiales!$A$2:$E$502,5,FALSE)*VALUE(MID(TRIM(MID(SUBSTITUTE($R122,";",REPT(" ",99)),496,99)),FIND(":",TRIM(MID(SUBSTITUTE($R122,";",REPT(" ",99)),496,99)))+1,99)),0) + IFERROR(VLOOKUP(LEFT(TRIM(MID(SUBSTITUTE($R122,";",REPT(" ",99)),595,99)),FIND(":",TRIM(MID(SUBSTITUTE($R122,";",REPT(" ",99)),595,99)))-1),Materiales!$A$2:$E$502,5,FALSE)*VALUE(MID(TRIM(MID(SUBSTITUTE($R122,";",REPT(" ",99)),595,99)),FIND(":",TRIM(MID(SUBSTITUTE($R122,";",REPT(" ",99)),595,99)))+1,99)),0) + IFERROR(VLOOKUP(LEFT(TRIM(MID(SUBSTITUTE($R122,";",REPT(" ",99)),694,99)),FIND(":",TRIM(MID(SUBSTITUTE($R122,";",REPT(" ",99)),694,99)))-1),Materiales!$A$2:$E$502,5,FALSE)*VALUE(MID(TRIM(MID(SUBSTITUTE($R122,";",REPT(" ",99)),694,99)),FIND(":",TRIM(MID(SUBSTITUTE($R122,";",REPT(" ",99)),694,99)))+1,99)),0) + IFERROR(VLOOKUP(LEFT(TRIM(MID(SUBSTITUTE($R122,";",REPT(" ",99)),793,99)),FIND(":",TRIM(MID(SUBSTITUTE($R122,";",REPT(" ",99)),793,99)))-1),Materiales!$A$2:$E$502,5,FALSE)*VALUE(MID(TRIM(MID(SUBSTITUTE($R122,";",REPT(" ",99)),793,99)),FIND(":",TRIM(MID(SUBSTITUTE($R122,";",REPT(" ",99)),793,99)))+1,99)),0) + IFERROR(VLOOKUP(LEFT(TRIM(MID(SUBSTITUTE($R122,";",REPT(" ",99)),892,99)),FIND(":",TRIM(MID(SUBSTITUTE($R122,";",REPT(" ",99)),892,99)))-1),Materiales!$A$2:$E$502,5,FALSE)*VALUE(MID(TRIM(MID(SUBSTITUTE($R122,";",REPT(" ",99)),892,99)),FIND(":",TRIM(MID(SUBSTITUTE($R122,";",REPT(" ",99)),892,99)))+1,99)),0)))</f>
        <v/>
      </c>
      <c r="T122" s="3"/>
      <c r="U122" s="5" t="str">
        <f t="array" ref="U122">IF($A122="","",IF($T122="",0,IFERROR(VLOOKUP(LEFT(TRIM(MID(SUBSTITUTE($T122,";",REPT(" ",99)),1,99)),FIND(":",TRIM(MID(SUBSTITUTE($T122,";",REPT(" ",99)),1,99)))-1),Materiales!$A$2:$E$502,5,FALSE)*VALUE(MID(TRIM(MID(SUBSTITUTE($T122,";",REPT(" ",99)),1,99)),FIND(":",TRIM(MID(SUBSTITUTE($T122,";",REPT(" ",99)),1,99)))+1,99)),0) + IFERROR(VLOOKUP(LEFT(TRIM(MID(SUBSTITUTE($T122,";",REPT(" ",99)),100,99)),FIND(":",TRIM(MID(SUBSTITUTE($T122,";",REPT(" ",99)),100,99)))-1),Materiales!$A$2:$E$502,5,FALSE)*VALUE(MID(TRIM(MID(SUBSTITUTE($T122,";",REPT(" ",99)),100,99)),FIND(":",TRIM(MID(SUBSTITUTE($T122,";",REPT(" ",99)),100,99)))+1,99)),0) + IFERROR(VLOOKUP(LEFT(TRIM(MID(SUBSTITUTE($T122,";",REPT(" ",99)),199,99)),FIND(":",TRIM(MID(SUBSTITUTE($T122,";",REPT(" ",99)),199,99)))-1),Materiales!$A$2:$E$502,5,FALSE)*VALUE(MID(TRIM(MID(SUBSTITUTE($T122,";",REPT(" ",99)),199,99)),FIND(":",TRIM(MID(SUBSTITUTE($T122,";",REPT(" ",99)),199,99)))+1,99)),0) + IFERROR(VLOOKUP(LEFT(TRIM(MID(SUBSTITUTE($T122,";",REPT(" ",99)),298,99)),FIND(":",TRIM(MID(SUBSTITUTE($T122,";",REPT(" ",99)),298,99)))-1),Materiales!$A$2:$E$502,5,FALSE)*VALUE(MID(TRIM(MID(SUBSTITUTE($T122,";",REPT(" ",99)),298,99)),FIND(":",TRIM(MID(SUBSTITUTE($T122,";",REPT(" ",99)),298,99)))+1,99)),0) + IFERROR(VLOOKUP(LEFT(TRIM(MID(SUBSTITUTE($T122,";",REPT(" ",99)),397,99)),FIND(":",TRIM(MID(SUBSTITUTE($T122,";",REPT(" ",99)),397,99)))-1),Materiales!$A$2:$E$502,5,FALSE)*VALUE(MID(TRIM(MID(SUBSTITUTE($T122,";",REPT(" ",99)),397,99)),FIND(":",TRIM(MID(SUBSTITUTE($T122,";",REPT(" ",99)),397,99)))+1,99)),0) + IFERROR(VLOOKUP(LEFT(TRIM(MID(SUBSTITUTE($T122,";",REPT(" ",99)),496,99)),FIND(":",TRIM(MID(SUBSTITUTE($T122,";",REPT(" ",99)),496,99)))-1),Materiales!$A$2:$E$502,5,FALSE)*VALUE(MID(TRIM(MID(SUBSTITUTE($T122,";",REPT(" ",99)),496,99)),FIND(":",TRIM(MID(SUBSTITUTE($T122,";",REPT(" ",99)),496,99)))+1,99)),0) + IFERROR(VLOOKUP(LEFT(TRIM(MID(SUBSTITUTE($T122,";",REPT(" ",99)),595,99)),FIND(":",TRIM(MID(SUBSTITUTE($T122,";",REPT(" ",99)),595,99)))-1),Materiales!$A$2:$E$502,5,FALSE)*VALUE(MID(TRIM(MID(SUBSTITUTE($T122,";",REPT(" ",99)),595,99)),FIND(":",TRIM(MID(SUBSTITUTE($T122,";",REPT(" ",99)),595,99)))+1,99)),0) + IFERROR(VLOOKUP(LEFT(TRIM(MID(SUBSTITUTE($T122,";",REPT(" ",99)),694,99)),FIND(":",TRIM(MID(SUBSTITUTE($T122,";",REPT(" ",99)),694,99)))-1),Materiales!$A$2:$E$502,5,FALSE)*VALUE(MID(TRIM(MID(SUBSTITUTE($T122,";",REPT(" ",99)),694,99)),FIND(":",TRIM(MID(SUBSTITUTE($T122,";",REPT(" ",99)),694,99)))+1,99)),0) + IFERROR(VLOOKUP(LEFT(TRIM(MID(SUBSTITUTE($T122,";",REPT(" ",99)),793,99)),FIND(":",TRIM(MID(SUBSTITUTE($T122,";",REPT(" ",99)),793,99)))-1),Materiales!$A$2:$E$502,5,FALSE)*VALUE(MID(TRIM(MID(SUBSTITUTE($T122,";",REPT(" ",99)),793,99)),FIND(":",TRIM(MID(SUBSTITUTE($T122,";",REPT(" ",99)),793,99)))+1,99)),0) + IFERROR(VLOOKUP(LEFT(TRIM(MID(SUBSTITUTE($T122,";",REPT(" ",99)),892,99)),FIND(":",TRIM(MID(SUBSTITUTE($T122,";",REPT(" ",99)),892,99)))-1),Materiales!$A$2:$E$502,5,FALSE)*VALUE(MID(TRIM(MID(SUBSTITUTE($T122,";",REPT(" ",99)),892,99)),FIND(":",TRIM(MID(SUBSTITUTE($T122,";",REPT(" ",99)),892,99)))+1,99)),0)))</f>
        <v/>
      </c>
      <c r="V122" s="3"/>
      <c r="W122" s="5" t="str">
        <f t="array" ref="W122">IF($A122="","",IF($V122="",0,IFERROR(VLOOKUP(LEFT(TRIM(MID(SUBSTITUTE($V122,";",REPT(" ",99)),1,99)),FIND(":",TRIM(MID(SUBSTITUTE($V122,";",REPT(" ",99)),1,99)))-1),Materiales!$A$2:$E$502,5,FALSE)*VALUE(MID(TRIM(MID(SUBSTITUTE($V122,";",REPT(" ",99)),1,99)),FIND(":",TRIM(MID(SUBSTITUTE($V122,";",REPT(" ",99)),1,99)))+1,99)),0) + IFERROR(VLOOKUP(LEFT(TRIM(MID(SUBSTITUTE($V122,";",REPT(" ",99)),100,99)),FIND(":",TRIM(MID(SUBSTITUTE($V122,";",REPT(" ",99)),100,99)))-1),Materiales!$A$2:$E$502,5,FALSE)*VALUE(MID(TRIM(MID(SUBSTITUTE($V122,";",REPT(" ",99)),100,99)),FIND(":",TRIM(MID(SUBSTITUTE($V122,";",REPT(" ",99)),100,99)))+1,99)),0) + IFERROR(VLOOKUP(LEFT(TRIM(MID(SUBSTITUTE($V122,";",REPT(" ",99)),199,99)),FIND(":",TRIM(MID(SUBSTITUTE($V122,";",REPT(" ",99)),199,99)))-1),Materiales!$A$2:$E$502,5,FALSE)*VALUE(MID(TRIM(MID(SUBSTITUTE($V122,";",REPT(" ",99)),199,99)),FIND(":",TRIM(MID(SUBSTITUTE($V122,";",REPT(" ",99)),199,99)))+1,99)),0) + IFERROR(VLOOKUP(LEFT(TRIM(MID(SUBSTITUTE($V122,";",REPT(" ",99)),298,99)),FIND(":",TRIM(MID(SUBSTITUTE($V122,";",REPT(" ",99)),298,99)))-1),Materiales!$A$2:$E$502,5,FALSE)*VALUE(MID(TRIM(MID(SUBSTITUTE($V122,";",REPT(" ",99)),298,99)),FIND(":",TRIM(MID(SUBSTITUTE($V122,";",REPT(" ",99)),298,99)))+1,99)),0) + IFERROR(VLOOKUP(LEFT(TRIM(MID(SUBSTITUTE($V122,";",REPT(" ",99)),397,99)),FIND(":",TRIM(MID(SUBSTITUTE($V122,";",REPT(" ",99)),397,99)))-1),Materiales!$A$2:$E$502,5,FALSE)*VALUE(MID(TRIM(MID(SUBSTITUTE($V122,";",REPT(" ",99)),397,99)),FIND(":",TRIM(MID(SUBSTITUTE($V122,";",REPT(" ",99)),397,99)))+1,99)),0) + IFERROR(VLOOKUP(LEFT(TRIM(MID(SUBSTITUTE($V122,";",REPT(" ",99)),496,99)),FIND(":",TRIM(MID(SUBSTITUTE($V122,";",REPT(" ",99)),496,99)))-1),Materiales!$A$2:$E$502,5,FALSE)*VALUE(MID(TRIM(MID(SUBSTITUTE($V122,";",REPT(" ",99)),496,99)),FIND(":",TRIM(MID(SUBSTITUTE($V122,";",REPT(" ",99)),496,99)))+1,99)),0) + IFERROR(VLOOKUP(LEFT(TRIM(MID(SUBSTITUTE($V122,";",REPT(" ",99)),595,99)),FIND(":",TRIM(MID(SUBSTITUTE($V122,";",REPT(" ",99)),595,99)))-1),Materiales!$A$2:$E$502,5,FALSE)*VALUE(MID(TRIM(MID(SUBSTITUTE($V122,";",REPT(" ",99)),595,99)),FIND(":",TRIM(MID(SUBSTITUTE($V122,";",REPT(" ",99)),595,99)))+1,99)),0) + IFERROR(VLOOKUP(LEFT(TRIM(MID(SUBSTITUTE($V122,";",REPT(" ",99)),694,99)),FIND(":",TRIM(MID(SUBSTITUTE($V122,";",REPT(" ",99)),694,99)))-1),Materiales!$A$2:$E$502,5,FALSE)*VALUE(MID(TRIM(MID(SUBSTITUTE($V122,";",REPT(" ",99)),694,99)),FIND(":",TRIM(MID(SUBSTITUTE($V122,";",REPT(" ",99)),694,99)))+1,99)),0) + IFERROR(VLOOKUP(LEFT(TRIM(MID(SUBSTITUTE($V122,";",REPT(" ",99)),793,99)),FIND(":",TRIM(MID(SUBSTITUTE($V122,";",REPT(" ",99)),793,99)))-1),Materiales!$A$2:$E$502,5,FALSE)*VALUE(MID(TRIM(MID(SUBSTITUTE($V122,";",REPT(" ",99)),793,99)),FIND(":",TRIM(MID(SUBSTITUTE($V122,";",REPT(" ",99)),793,99)))+1,99)),0) + IFERROR(VLOOKUP(LEFT(TRIM(MID(SUBSTITUTE($V122,";",REPT(" ",99)),892,99)),FIND(":",TRIM(MID(SUBSTITUTE($V122,";",REPT(" ",99)),892,99)))-1),Materiales!$A$2:$E$502,5,FALSE)*VALUE(MID(TRIM(MID(SUBSTITUTE($V122,";",REPT(" ",99)),892,99)),FIND(":",TRIM(MID(SUBSTITUTE($V122,";",REPT(" ",99)),892,99)))+1,99)),0)))</f>
        <v/>
      </c>
      <c r="X122" s="39" t="str">
        <f t="shared" si="13"/>
        <v/>
      </c>
      <c r="Y122" s="64"/>
      <c r="Z122" s="41"/>
      <c r="AA122" s="65"/>
      <c r="AB122" s="14"/>
      <c r="AC122" s="66"/>
      <c r="AD122" s="65"/>
      <c r="AE122" s="44">
        <f t="shared" si="17"/>
        <v>0</v>
      </c>
      <c r="AF122" s="45" t="str">
        <f t="shared" si="20"/>
        <v>#DIV/0!</v>
      </c>
    </row>
    <row r="123" ht="15.75" customHeight="1">
      <c r="A123" s="3"/>
      <c r="B123" s="3"/>
      <c r="C123" s="38"/>
      <c r="D123" s="38"/>
      <c r="E123" s="38"/>
      <c r="F123" s="14"/>
      <c r="G123" s="5" t="str">
        <f t="array" ref="G123">IF($A123="","",IFERROR($F123*(N($C123)*XLOOKUP($B123,Ceras!$A$2:$A$500,Ceras!$G$2:$G$500,0)+IF($D123="",0,N($E123)*XLOOKUP($D123,Ceras!$A$2:$A$500,Ceras!$G$2:$G$500,0))),"Revisar cera"))</f>
        <v/>
      </c>
      <c r="H123" s="5"/>
      <c r="I123" s="3"/>
      <c r="J123" s="14"/>
      <c r="K123" s="5" t="str">
        <f t="array" ref="K123">IF($A123="","",IFERROR($J123*XLOOKUP($I123,Pabilos!$A$2:$A$500,Pabilos!$H$2:$H$500,0),"Revisar pabilo"))</f>
        <v/>
      </c>
      <c r="L123" s="3"/>
      <c r="M123" s="14"/>
      <c r="N123" s="5" t="str">
        <f t="array" ref="N123">IF($A123="","",IFERROR($M123*XLOOKUP($L123,Esencias!$A$2:$A$501,Esencias!$G$2:$G$501,0),"Revisar esencia"))</f>
        <v/>
      </c>
      <c r="O123" s="3"/>
      <c r="P123" s="14"/>
      <c r="Q123" s="5" t="str">
        <f t="array" ref="Q123">IF($A123="","",IFERROR(IF($P123="",1,$P123)*XLOOKUP($O123,Colores!$A$2:$A$500,Colores!$H$2:$H$500,0),"Revisar color"))</f>
        <v/>
      </c>
      <c r="R123" s="3"/>
      <c r="S123" s="5" t="str">
        <f t="array" ref="S123">IF($A123="","",IF($R123="",0,IFERROR(VLOOKUP(LEFT(TRIM(MID(SUBSTITUTE($R123,";",REPT(" ",99)),1,99)),FIND(":",TRIM(MID(SUBSTITUTE($R123,";",REPT(" ",99)),1,99)))-1),Materiales!$A$2:$E$502,5,FALSE)*VALUE(MID(TRIM(MID(SUBSTITUTE($R123,";",REPT(" ",99)),1,99)),FIND(":",TRIM(MID(SUBSTITUTE($R123,";",REPT(" ",99)),1,99)))+1,99)),0) + IFERROR(VLOOKUP(LEFT(TRIM(MID(SUBSTITUTE($R123,";",REPT(" ",99)),100,99)),FIND(":",TRIM(MID(SUBSTITUTE($R123,";",REPT(" ",99)),100,99)))-1),Materiales!$A$2:$E$502,5,FALSE)*VALUE(MID(TRIM(MID(SUBSTITUTE($R123,";",REPT(" ",99)),100,99)),FIND(":",TRIM(MID(SUBSTITUTE($R123,";",REPT(" ",99)),100,99)))+1,99)),0) + IFERROR(VLOOKUP(LEFT(TRIM(MID(SUBSTITUTE($R123,";",REPT(" ",99)),199,99)),FIND(":",TRIM(MID(SUBSTITUTE($R123,";",REPT(" ",99)),199,99)))-1),Materiales!$A$2:$E$502,5,FALSE)*VALUE(MID(TRIM(MID(SUBSTITUTE($R123,";",REPT(" ",99)),199,99)),FIND(":",TRIM(MID(SUBSTITUTE($R123,";",REPT(" ",99)),199,99)))+1,99)),0) + IFERROR(VLOOKUP(LEFT(TRIM(MID(SUBSTITUTE($R123,";",REPT(" ",99)),298,99)),FIND(":",TRIM(MID(SUBSTITUTE($R123,";",REPT(" ",99)),298,99)))-1),Materiales!$A$2:$E$502,5,FALSE)*VALUE(MID(TRIM(MID(SUBSTITUTE($R123,";",REPT(" ",99)),298,99)),FIND(":",TRIM(MID(SUBSTITUTE($R123,";",REPT(" ",99)),298,99)))+1,99)),0) + IFERROR(VLOOKUP(LEFT(TRIM(MID(SUBSTITUTE($R123,";",REPT(" ",99)),397,99)),FIND(":",TRIM(MID(SUBSTITUTE($R123,";",REPT(" ",99)),397,99)))-1),Materiales!$A$2:$E$502,5,FALSE)*VALUE(MID(TRIM(MID(SUBSTITUTE($R123,";",REPT(" ",99)),397,99)),FIND(":",TRIM(MID(SUBSTITUTE($R123,";",REPT(" ",99)),397,99)))+1,99)),0) + IFERROR(VLOOKUP(LEFT(TRIM(MID(SUBSTITUTE($R123,";",REPT(" ",99)),496,99)),FIND(":",TRIM(MID(SUBSTITUTE($R123,";",REPT(" ",99)),496,99)))-1),Materiales!$A$2:$E$502,5,FALSE)*VALUE(MID(TRIM(MID(SUBSTITUTE($R123,";",REPT(" ",99)),496,99)),FIND(":",TRIM(MID(SUBSTITUTE($R123,";",REPT(" ",99)),496,99)))+1,99)),0) + IFERROR(VLOOKUP(LEFT(TRIM(MID(SUBSTITUTE($R123,";",REPT(" ",99)),595,99)),FIND(":",TRIM(MID(SUBSTITUTE($R123,";",REPT(" ",99)),595,99)))-1),Materiales!$A$2:$E$502,5,FALSE)*VALUE(MID(TRIM(MID(SUBSTITUTE($R123,";",REPT(" ",99)),595,99)),FIND(":",TRIM(MID(SUBSTITUTE($R123,";",REPT(" ",99)),595,99)))+1,99)),0) + IFERROR(VLOOKUP(LEFT(TRIM(MID(SUBSTITUTE($R123,";",REPT(" ",99)),694,99)),FIND(":",TRIM(MID(SUBSTITUTE($R123,";",REPT(" ",99)),694,99)))-1),Materiales!$A$2:$E$502,5,FALSE)*VALUE(MID(TRIM(MID(SUBSTITUTE($R123,";",REPT(" ",99)),694,99)),FIND(":",TRIM(MID(SUBSTITUTE($R123,";",REPT(" ",99)),694,99)))+1,99)),0) + IFERROR(VLOOKUP(LEFT(TRIM(MID(SUBSTITUTE($R123,";",REPT(" ",99)),793,99)),FIND(":",TRIM(MID(SUBSTITUTE($R123,";",REPT(" ",99)),793,99)))-1),Materiales!$A$2:$E$502,5,FALSE)*VALUE(MID(TRIM(MID(SUBSTITUTE($R123,";",REPT(" ",99)),793,99)),FIND(":",TRIM(MID(SUBSTITUTE($R123,";",REPT(" ",99)),793,99)))+1,99)),0) + IFERROR(VLOOKUP(LEFT(TRIM(MID(SUBSTITUTE($R123,";",REPT(" ",99)),892,99)),FIND(":",TRIM(MID(SUBSTITUTE($R123,";",REPT(" ",99)),892,99)))-1),Materiales!$A$2:$E$502,5,FALSE)*VALUE(MID(TRIM(MID(SUBSTITUTE($R123,";",REPT(" ",99)),892,99)),FIND(":",TRIM(MID(SUBSTITUTE($R123,";",REPT(" ",99)),892,99)))+1,99)),0)))</f>
        <v/>
      </c>
      <c r="T123" s="3"/>
      <c r="U123" s="5" t="str">
        <f t="array" ref="U123">IF($A123="","",IF($T123="",0,IFERROR(VLOOKUP(LEFT(TRIM(MID(SUBSTITUTE($T123,";",REPT(" ",99)),1,99)),FIND(":",TRIM(MID(SUBSTITUTE($T123,";",REPT(" ",99)),1,99)))-1),Materiales!$A$2:$E$502,5,FALSE)*VALUE(MID(TRIM(MID(SUBSTITUTE($T123,";",REPT(" ",99)),1,99)),FIND(":",TRIM(MID(SUBSTITUTE($T123,";",REPT(" ",99)),1,99)))+1,99)),0) + IFERROR(VLOOKUP(LEFT(TRIM(MID(SUBSTITUTE($T123,";",REPT(" ",99)),100,99)),FIND(":",TRIM(MID(SUBSTITUTE($T123,";",REPT(" ",99)),100,99)))-1),Materiales!$A$2:$E$502,5,FALSE)*VALUE(MID(TRIM(MID(SUBSTITUTE($T123,";",REPT(" ",99)),100,99)),FIND(":",TRIM(MID(SUBSTITUTE($T123,";",REPT(" ",99)),100,99)))+1,99)),0) + IFERROR(VLOOKUP(LEFT(TRIM(MID(SUBSTITUTE($T123,";",REPT(" ",99)),199,99)),FIND(":",TRIM(MID(SUBSTITUTE($T123,";",REPT(" ",99)),199,99)))-1),Materiales!$A$2:$E$502,5,FALSE)*VALUE(MID(TRIM(MID(SUBSTITUTE($T123,";",REPT(" ",99)),199,99)),FIND(":",TRIM(MID(SUBSTITUTE($T123,";",REPT(" ",99)),199,99)))+1,99)),0) + IFERROR(VLOOKUP(LEFT(TRIM(MID(SUBSTITUTE($T123,";",REPT(" ",99)),298,99)),FIND(":",TRIM(MID(SUBSTITUTE($T123,";",REPT(" ",99)),298,99)))-1),Materiales!$A$2:$E$502,5,FALSE)*VALUE(MID(TRIM(MID(SUBSTITUTE($T123,";",REPT(" ",99)),298,99)),FIND(":",TRIM(MID(SUBSTITUTE($T123,";",REPT(" ",99)),298,99)))+1,99)),0) + IFERROR(VLOOKUP(LEFT(TRIM(MID(SUBSTITUTE($T123,";",REPT(" ",99)),397,99)),FIND(":",TRIM(MID(SUBSTITUTE($T123,";",REPT(" ",99)),397,99)))-1),Materiales!$A$2:$E$502,5,FALSE)*VALUE(MID(TRIM(MID(SUBSTITUTE($T123,";",REPT(" ",99)),397,99)),FIND(":",TRIM(MID(SUBSTITUTE($T123,";",REPT(" ",99)),397,99)))+1,99)),0) + IFERROR(VLOOKUP(LEFT(TRIM(MID(SUBSTITUTE($T123,";",REPT(" ",99)),496,99)),FIND(":",TRIM(MID(SUBSTITUTE($T123,";",REPT(" ",99)),496,99)))-1),Materiales!$A$2:$E$502,5,FALSE)*VALUE(MID(TRIM(MID(SUBSTITUTE($T123,";",REPT(" ",99)),496,99)),FIND(":",TRIM(MID(SUBSTITUTE($T123,";",REPT(" ",99)),496,99)))+1,99)),0) + IFERROR(VLOOKUP(LEFT(TRIM(MID(SUBSTITUTE($T123,";",REPT(" ",99)),595,99)),FIND(":",TRIM(MID(SUBSTITUTE($T123,";",REPT(" ",99)),595,99)))-1),Materiales!$A$2:$E$502,5,FALSE)*VALUE(MID(TRIM(MID(SUBSTITUTE($T123,";",REPT(" ",99)),595,99)),FIND(":",TRIM(MID(SUBSTITUTE($T123,";",REPT(" ",99)),595,99)))+1,99)),0) + IFERROR(VLOOKUP(LEFT(TRIM(MID(SUBSTITUTE($T123,";",REPT(" ",99)),694,99)),FIND(":",TRIM(MID(SUBSTITUTE($T123,";",REPT(" ",99)),694,99)))-1),Materiales!$A$2:$E$502,5,FALSE)*VALUE(MID(TRIM(MID(SUBSTITUTE($T123,";",REPT(" ",99)),694,99)),FIND(":",TRIM(MID(SUBSTITUTE($T123,";",REPT(" ",99)),694,99)))+1,99)),0) + IFERROR(VLOOKUP(LEFT(TRIM(MID(SUBSTITUTE($T123,";",REPT(" ",99)),793,99)),FIND(":",TRIM(MID(SUBSTITUTE($T123,";",REPT(" ",99)),793,99)))-1),Materiales!$A$2:$E$502,5,FALSE)*VALUE(MID(TRIM(MID(SUBSTITUTE($T123,";",REPT(" ",99)),793,99)),FIND(":",TRIM(MID(SUBSTITUTE($T123,";",REPT(" ",99)),793,99)))+1,99)),0) + IFERROR(VLOOKUP(LEFT(TRIM(MID(SUBSTITUTE($T123,";",REPT(" ",99)),892,99)),FIND(":",TRIM(MID(SUBSTITUTE($T123,";",REPT(" ",99)),892,99)))-1),Materiales!$A$2:$E$502,5,FALSE)*VALUE(MID(TRIM(MID(SUBSTITUTE($T123,";",REPT(" ",99)),892,99)),FIND(":",TRIM(MID(SUBSTITUTE($T123,";",REPT(" ",99)),892,99)))+1,99)),0)))</f>
        <v/>
      </c>
      <c r="V123" s="3"/>
      <c r="W123" s="5" t="str">
        <f t="array" ref="W123">IF($A123="","",IF($V123="",0,IFERROR(VLOOKUP(LEFT(TRIM(MID(SUBSTITUTE($V123,";",REPT(" ",99)),1,99)),FIND(":",TRIM(MID(SUBSTITUTE($V123,";",REPT(" ",99)),1,99)))-1),Materiales!$A$2:$E$502,5,FALSE)*VALUE(MID(TRIM(MID(SUBSTITUTE($V123,";",REPT(" ",99)),1,99)),FIND(":",TRIM(MID(SUBSTITUTE($V123,";",REPT(" ",99)),1,99)))+1,99)),0) + IFERROR(VLOOKUP(LEFT(TRIM(MID(SUBSTITUTE($V123,";",REPT(" ",99)),100,99)),FIND(":",TRIM(MID(SUBSTITUTE($V123,";",REPT(" ",99)),100,99)))-1),Materiales!$A$2:$E$502,5,FALSE)*VALUE(MID(TRIM(MID(SUBSTITUTE($V123,";",REPT(" ",99)),100,99)),FIND(":",TRIM(MID(SUBSTITUTE($V123,";",REPT(" ",99)),100,99)))+1,99)),0) + IFERROR(VLOOKUP(LEFT(TRIM(MID(SUBSTITUTE($V123,";",REPT(" ",99)),199,99)),FIND(":",TRIM(MID(SUBSTITUTE($V123,";",REPT(" ",99)),199,99)))-1),Materiales!$A$2:$E$502,5,FALSE)*VALUE(MID(TRIM(MID(SUBSTITUTE($V123,";",REPT(" ",99)),199,99)),FIND(":",TRIM(MID(SUBSTITUTE($V123,";",REPT(" ",99)),199,99)))+1,99)),0) + IFERROR(VLOOKUP(LEFT(TRIM(MID(SUBSTITUTE($V123,";",REPT(" ",99)),298,99)),FIND(":",TRIM(MID(SUBSTITUTE($V123,";",REPT(" ",99)),298,99)))-1),Materiales!$A$2:$E$502,5,FALSE)*VALUE(MID(TRIM(MID(SUBSTITUTE($V123,";",REPT(" ",99)),298,99)),FIND(":",TRIM(MID(SUBSTITUTE($V123,";",REPT(" ",99)),298,99)))+1,99)),0) + IFERROR(VLOOKUP(LEFT(TRIM(MID(SUBSTITUTE($V123,";",REPT(" ",99)),397,99)),FIND(":",TRIM(MID(SUBSTITUTE($V123,";",REPT(" ",99)),397,99)))-1),Materiales!$A$2:$E$502,5,FALSE)*VALUE(MID(TRIM(MID(SUBSTITUTE($V123,";",REPT(" ",99)),397,99)),FIND(":",TRIM(MID(SUBSTITUTE($V123,";",REPT(" ",99)),397,99)))+1,99)),0) + IFERROR(VLOOKUP(LEFT(TRIM(MID(SUBSTITUTE($V123,";",REPT(" ",99)),496,99)),FIND(":",TRIM(MID(SUBSTITUTE($V123,";",REPT(" ",99)),496,99)))-1),Materiales!$A$2:$E$502,5,FALSE)*VALUE(MID(TRIM(MID(SUBSTITUTE($V123,";",REPT(" ",99)),496,99)),FIND(":",TRIM(MID(SUBSTITUTE($V123,";",REPT(" ",99)),496,99)))+1,99)),0) + IFERROR(VLOOKUP(LEFT(TRIM(MID(SUBSTITUTE($V123,";",REPT(" ",99)),595,99)),FIND(":",TRIM(MID(SUBSTITUTE($V123,";",REPT(" ",99)),595,99)))-1),Materiales!$A$2:$E$502,5,FALSE)*VALUE(MID(TRIM(MID(SUBSTITUTE($V123,";",REPT(" ",99)),595,99)),FIND(":",TRIM(MID(SUBSTITUTE($V123,";",REPT(" ",99)),595,99)))+1,99)),0) + IFERROR(VLOOKUP(LEFT(TRIM(MID(SUBSTITUTE($V123,";",REPT(" ",99)),694,99)),FIND(":",TRIM(MID(SUBSTITUTE($V123,";",REPT(" ",99)),694,99)))-1),Materiales!$A$2:$E$502,5,FALSE)*VALUE(MID(TRIM(MID(SUBSTITUTE($V123,";",REPT(" ",99)),694,99)),FIND(":",TRIM(MID(SUBSTITUTE($V123,";",REPT(" ",99)),694,99)))+1,99)),0) + IFERROR(VLOOKUP(LEFT(TRIM(MID(SUBSTITUTE($V123,";",REPT(" ",99)),793,99)),FIND(":",TRIM(MID(SUBSTITUTE($V123,";",REPT(" ",99)),793,99)))-1),Materiales!$A$2:$E$502,5,FALSE)*VALUE(MID(TRIM(MID(SUBSTITUTE($V123,";",REPT(" ",99)),793,99)),FIND(":",TRIM(MID(SUBSTITUTE($V123,";",REPT(" ",99)),793,99)))+1,99)),0) + IFERROR(VLOOKUP(LEFT(TRIM(MID(SUBSTITUTE($V123,";",REPT(" ",99)),892,99)),FIND(":",TRIM(MID(SUBSTITUTE($V123,";",REPT(" ",99)),892,99)))-1),Materiales!$A$2:$E$502,5,FALSE)*VALUE(MID(TRIM(MID(SUBSTITUTE($V123,";",REPT(" ",99)),892,99)),FIND(":",TRIM(MID(SUBSTITUTE($V123,";",REPT(" ",99)),892,99)))+1,99)),0)))</f>
        <v/>
      </c>
      <c r="X123" s="39" t="str">
        <f t="shared" si="13"/>
        <v/>
      </c>
      <c r="Y123" s="64"/>
      <c r="Z123" s="41"/>
      <c r="AA123" s="65"/>
      <c r="AB123" s="14"/>
      <c r="AC123" s="66"/>
      <c r="AD123" s="65"/>
      <c r="AE123" s="44">
        <f t="shared" si="17"/>
        <v>0</v>
      </c>
      <c r="AF123" s="45" t="str">
        <f t="shared" si="20"/>
        <v>#DIV/0!</v>
      </c>
    </row>
    <row r="124" ht="15.75" customHeight="1">
      <c r="A124" s="3"/>
      <c r="B124" s="3"/>
      <c r="C124" s="38"/>
      <c r="D124" s="38"/>
      <c r="E124" s="38"/>
      <c r="F124" s="14"/>
      <c r="G124" s="5" t="str">
        <f t="array" ref="G124">IF($A124="","",IFERROR($F124*(N($C124)*XLOOKUP($B124,Ceras!$A$2:$A$500,Ceras!$G$2:$G$500,0)+IF($D124="",0,N($E124)*XLOOKUP($D124,Ceras!$A$2:$A$500,Ceras!$G$2:$G$500,0))),"Revisar cera"))</f>
        <v/>
      </c>
      <c r="H124" s="5"/>
      <c r="I124" s="3"/>
      <c r="J124" s="14"/>
      <c r="K124" s="5" t="str">
        <f t="array" ref="K124">IF($A124="","",IFERROR($J124*XLOOKUP($I124,Pabilos!$A$2:$A$500,Pabilos!$H$2:$H$500,0),"Revisar pabilo"))</f>
        <v/>
      </c>
      <c r="L124" s="3"/>
      <c r="M124" s="14"/>
      <c r="N124" s="5" t="str">
        <f t="array" ref="N124">IF($A124="","",IFERROR($M124*XLOOKUP($L124,Esencias!$A$2:$A$501,Esencias!$G$2:$G$501,0),"Revisar esencia"))</f>
        <v/>
      </c>
      <c r="O124" s="3"/>
      <c r="P124" s="14"/>
      <c r="Q124" s="5" t="str">
        <f t="array" ref="Q124">IF($A124="","",IFERROR(IF($P124="",1,$P124)*XLOOKUP($O124,Colores!$A$2:$A$500,Colores!$H$2:$H$500,0),"Revisar color"))</f>
        <v/>
      </c>
      <c r="R124" s="3"/>
      <c r="S124" s="5" t="str">
        <f t="array" ref="S124">IF($A124="","",IF($R124="",0,IFERROR(VLOOKUP(LEFT(TRIM(MID(SUBSTITUTE($R124,";",REPT(" ",99)),1,99)),FIND(":",TRIM(MID(SUBSTITUTE($R124,";",REPT(" ",99)),1,99)))-1),Materiales!$A$2:$E$502,5,FALSE)*VALUE(MID(TRIM(MID(SUBSTITUTE($R124,";",REPT(" ",99)),1,99)),FIND(":",TRIM(MID(SUBSTITUTE($R124,";",REPT(" ",99)),1,99)))+1,99)),0) + IFERROR(VLOOKUP(LEFT(TRIM(MID(SUBSTITUTE($R124,";",REPT(" ",99)),100,99)),FIND(":",TRIM(MID(SUBSTITUTE($R124,";",REPT(" ",99)),100,99)))-1),Materiales!$A$2:$E$502,5,FALSE)*VALUE(MID(TRIM(MID(SUBSTITUTE($R124,";",REPT(" ",99)),100,99)),FIND(":",TRIM(MID(SUBSTITUTE($R124,";",REPT(" ",99)),100,99)))+1,99)),0) + IFERROR(VLOOKUP(LEFT(TRIM(MID(SUBSTITUTE($R124,";",REPT(" ",99)),199,99)),FIND(":",TRIM(MID(SUBSTITUTE($R124,";",REPT(" ",99)),199,99)))-1),Materiales!$A$2:$E$502,5,FALSE)*VALUE(MID(TRIM(MID(SUBSTITUTE($R124,";",REPT(" ",99)),199,99)),FIND(":",TRIM(MID(SUBSTITUTE($R124,";",REPT(" ",99)),199,99)))+1,99)),0) + IFERROR(VLOOKUP(LEFT(TRIM(MID(SUBSTITUTE($R124,";",REPT(" ",99)),298,99)),FIND(":",TRIM(MID(SUBSTITUTE($R124,";",REPT(" ",99)),298,99)))-1),Materiales!$A$2:$E$502,5,FALSE)*VALUE(MID(TRIM(MID(SUBSTITUTE($R124,";",REPT(" ",99)),298,99)),FIND(":",TRIM(MID(SUBSTITUTE($R124,";",REPT(" ",99)),298,99)))+1,99)),0) + IFERROR(VLOOKUP(LEFT(TRIM(MID(SUBSTITUTE($R124,";",REPT(" ",99)),397,99)),FIND(":",TRIM(MID(SUBSTITUTE($R124,";",REPT(" ",99)),397,99)))-1),Materiales!$A$2:$E$502,5,FALSE)*VALUE(MID(TRIM(MID(SUBSTITUTE($R124,";",REPT(" ",99)),397,99)),FIND(":",TRIM(MID(SUBSTITUTE($R124,";",REPT(" ",99)),397,99)))+1,99)),0) + IFERROR(VLOOKUP(LEFT(TRIM(MID(SUBSTITUTE($R124,";",REPT(" ",99)),496,99)),FIND(":",TRIM(MID(SUBSTITUTE($R124,";",REPT(" ",99)),496,99)))-1),Materiales!$A$2:$E$502,5,FALSE)*VALUE(MID(TRIM(MID(SUBSTITUTE($R124,";",REPT(" ",99)),496,99)),FIND(":",TRIM(MID(SUBSTITUTE($R124,";",REPT(" ",99)),496,99)))+1,99)),0) + IFERROR(VLOOKUP(LEFT(TRIM(MID(SUBSTITUTE($R124,";",REPT(" ",99)),595,99)),FIND(":",TRIM(MID(SUBSTITUTE($R124,";",REPT(" ",99)),595,99)))-1),Materiales!$A$2:$E$502,5,FALSE)*VALUE(MID(TRIM(MID(SUBSTITUTE($R124,";",REPT(" ",99)),595,99)),FIND(":",TRIM(MID(SUBSTITUTE($R124,";",REPT(" ",99)),595,99)))+1,99)),0) + IFERROR(VLOOKUP(LEFT(TRIM(MID(SUBSTITUTE($R124,";",REPT(" ",99)),694,99)),FIND(":",TRIM(MID(SUBSTITUTE($R124,";",REPT(" ",99)),694,99)))-1),Materiales!$A$2:$E$502,5,FALSE)*VALUE(MID(TRIM(MID(SUBSTITUTE($R124,";",REPT(" ",99)),694,99)),FIND(":",TRIM(MID(SUBSTITUTE($R124,";",REPT(" ",99)),694,99)))+1,99)),0) + IFERROR(VLOOKUP(LEFT(TRIM(MID(SUBSTITUTE($R124,";",REPT(" ",99)),793,99)),FIND(":",TRIM(MID(SUBSTITUTE($R124,";",REPT(" ",99)),793,99)))-1),Materiales!$A$2:$E$502,5,FALSE)*VALUE(MID(TRIM(MID(SUBSTITUTE($R124,";",REPT(" ",99)),793,99)),FIND(":",TRIM(MID(SUBSTITUTE($R124,";",REPT(" ",99)),793,99)))+1,99)),0) + IFERROR(VLOOKUP(LEFT(TRIM(MID(SUBSTITUTE($R124,";",REPT(" ",99)),892,99)),FIND(":",TRIM(MID(SUBSTITUTE($R124,";",REPT(" ",99)),892,99)))-1),Materiales!$A$2:$E$502,5,FALSE)*VALUE(MID(TRIM(MID(SUBSTITUTE($R124,";",REPT(" ",99)),892,99)),FIND(":",TRIM(MID(SUBSTITUTE($R124,";",REPT(" ",99)),892,99)))+1,99)),0)))</f>
        <v/>
      </c>
      <c r="T124" s="3"/>
      <c r="U124" s="5" t="str">
        <f t="array" ref="U124">IF($A124="","",IF($T124="",0,IFERROR(VLOOKUP(LEFT(TRIM(MID(SUBSTITUTE($T124,";",REPT(" ",99)),1,99)),FIND(":",TRIM(MID(SUBSTITUTE($T124,";",REPT(" ",99)),1,99)))-1),Materiales!$A$2:$E$502,5,FALSE)*VALUE(MID(TRIM(MID(SUBSTITUTE($T124,";",REPT(" ",99)),1,99)),FIND(":",TRIM(MID(SUBSTITUTE($T124,";",REPT(" ",99)),1,99)))+1,99)),0) + IFERROR(VLOOKUP(LEFT(TRIM(MID(SUBSTITUTE($T124,";",REPT(" ",99)),100,99)),FIND(":",TRIM(MID(SUBSTITUTE($T124,";",REPT(" ",99)),100,99)))-1),Materiales!$A$2:$E$502,5,FALSE)*VALUE(MID(TRIM(MID(SUBSTITUTE($T124,";",REPT(" ",99)),100,99)),FIND(":",TRIM(MID(SUBSTITUTE($T124,";",REPT(" ",99)),100,99)))+1,99)),0) + IFERROR(VLOOKUP(LEFT(TRIM(MID(SUBSTITUTE($T124,";",REPT(" ",99)),199,99)),FIND(":",TRIM(MID(SUBSTITUTE($T124,";",REPT(" ",99)),199,99)))-1),Materiales!$A$2:$E$502,5,FALSE)*VALUE(MID(TRIM(MID(SUBSTITUTE($T124,";",REPT(" ",99)),199,99)),FIND(":",TRIM(MID(SUBSTITUTE($T124,";",REPT(" ",99)),199,99)))+1,99)),0) + IFERROR(VLOOKUP(LEFT(TRIM(MID(SUBSTITUTE($T124,";",REPT(" ",99)),298,99)),FIND(":",TRIM(MID(SUBSTITUTE($T124,";",REPT(" ",99)),298,99)))-1),Materiales!$A$2:$E$502,5,FALSE)*VALUE(MID(TRIM(MID(SUBSTITUTE($T124,";",REPT(" ",99)),298,99)),FIND(":",TRIM(MID(SUBSTITUTE($T124,";",REPT(" ",99)),298,99)))+1,99)),0) + IFERROR(VLOOKUP(LEFT(TRIM(MID(SUBSTITUTE($T124,";",REPT(" ",99)),397,99)),FIND(":",TRIM(MID(SUBSTITUTE($T124,";",REPT(" ",99)),397,99)))-1),Materiales!$A$2:$E$502,5,FALSE)*VALUE(MID(TRIM(MID(SUBSTITUTE($T124,";",REPT(" ",99)),397,99)),FIND(":",TRIM(MID(SUBSTITUTE($T124,";",REPT(" ",99)),397,99)))+1,99)),0) + IFERROR(VLOOKUP(LEFT(TRIM(MID(SUBSTITUTE($T124,";",REPT(" ",99)),496,99)),FIND(":",TRIM(MID(SUBSTITUTE($T124,";",REPT(" ",99)),496,99)))-1),Materiales!$A$2:$E$502,5,FALSE)*VALUE(MID(TRIM(MID(SUBSTITUTE($T124,";",REPT(" ",99)),496,99)),FIND(":",TRIM(MID(SUBSTITUTE($T124,";",REPT(" ",99)),496,99)))+1,99)),0) + IFERROR(VLOOKUP(LEFT(TRIM(MID(SUBSTITUTE($T124,";",REPT(" ",99)),595,99)),FIND(":",TRIM(MID(SUBSTITUTE($T124,";",REPT(" ",99)),595,99)))-1),Materiales!$A$2:$E$502,5,FALSE)*VALUE(MID(TRIM(MID(SUBSTITUTE($T124,";",REPT(" ",99)),595,99)),FIND(":",TRIM(MID(SUBSTITUTE($T124,";",REPT(" ",99)),595,99)))+1,99)),0) + IFERROR(VLOOKUP(LEFT(TRIM(MID(SUBSTITUTE($T124,";",REPT(" ",99)),694,99)),FIND(":",TRIM(MID(SUBSTITUTE($T124,";",REPT(" ",99)),694,99)))-1),Materiales!$A$2:$E$502,5,FALSE)*VALUE(MID(TRIM(MID(SUBSTITUTE($T124,";",REPT(" ",99)),694,99)),FIND(":",TRIM(MID(SUBSTITUTE($T124,";",REPT(" ",99)),694,99)))+1,99)),0) + IFERROR(VLOOKUP(LEFT(TRIM(MID(SUBSTITUTE($T124,";",REPT(" ",99)),793,99)),FIND(":",TRIM(MID(SUBSTITUTE($T124,";",REPT(" ",99)),793,99)))-1),Materiales!$A$2:$E$502,5,FALSE)*VALUE(MID(TRIM(MID(SUBSTITUTE($T124,";",REPT(" ",99)),793,99)),FIND(":",TRIM(MID(SUBSTITUTE($T124,";",REPT(" ",99)),793,99)))+1,99)),0) + IFERROR(VLOOKUP(LEFT(TRIM(MID(SUBSTITUTE($T124,";",REPT(" ",99)),892,99)),FIND(":",TRIM(MID(SUBSTITUTE($T124,";",REPT(" ",99)),892,99)))-1),Materiales!$A$2:$E$502,5,FALSE)*VALUE(MID(TRIM(MID(SUBSTITUTE($T124,";",REPT(" ",99)),892,99)),FIND(":",TRIM(MID(SUBSTITUTE($T124,";",REPT(" ",99)),892,99)))+1,99)),0)))</f>
        <v/>
      </c>
      <c r="V124" s="3"/>
      <c r="W124" s="5" t="str">
        <f t="array" ref="W124">IF($A124="","",IF($V124="",0,IFERROR(VLOOKUP(LEFT(TRIM(MID(SUBSTITUTE($V124,";",REPT(" ",99)),1,99)),FIND(":",TRIM(MID(SUBSTITUTE($V124,";",REPT(" ",99)),1,99)))-1),Materiales!$A$2:$E$502,5,FALSE)*VALUE(MID(TRIM(MID(SUBSTITUTE($V124,";",REPT(" ",99)),1,99)),FIND(":",TRIM(MID(SUBSTITUTE($V124,";",REPT(" ",99)),1,99)))+1,99)),0) + IFERROR(VLOOKUP(LEFT(TRIM(MID(SUBSTITUTE($V124,";",REPT(" ",99)),100,99)),FIND(":",TRIM(MID(SUBSTITUTE($V124,";",REPT(" ",99)),100,99)))-1),Materiales!$A$2:$E$502,5,FALSE)*VALUE(MID(TRIM(MID(SUBSTITUTE($V124,";",REPT(" ",99)),100,99)),FIND(":",TRIM(MID(SUBSTITUTE($V124,";",REPT(" ",99)),100,99)))+1,99)),0) + IFERROR(VLOOKUP(LEFT(TRIM(MID(SUBSTITUTE($V124,";",REPT(" ",99)),199,99)),FIND(":",TRIM(MID(SUBSTITUTE($V124,";",REPT(" ",99)),199,99)))-1),Materiales!$A$2:$E$502,5,FALSE)*VALUE(MID(TRIM(MID(SUBSTITUTE($V124,";",REPT(" ",99)),199,99)),FIND(":",TRIM(MID(SUBSTITUTE($V124,";",REPT(" ",99)),199,99)))+1,99)),0) + IFERROR(VLOOKUP(LEFT(TRIM(MID(SUBSTITUTE($V124,";",REPT(" ",99)),298,99)),FIND(":",TRIM(MID(SUBSTITUTE($V124,";",REPT(" ",99)),298,99)))-1),Materiales!$A$2:$E$502,5,FALSE)*VALUE(MID(TRIM(MID(SUBSTITUTE($V124,";",REPT(" ",99)),298,99)),FIND(":",TRIM(MID(SUBSTITUTE($V124,";",REPT(" ",99)),298,99)))+1,99)),0) + IFERROR(VLOOKUP(LEFT(TRIM(MID(SUBSTITUTE($V124,";",REPT(" ",99)),397,99)),FIND(":",TRIM(MID(SUBSTITUTE($V124,";",REPT(" ",99)),397,99)))-1),Materiales!$A$2:$E$502,5,FALSE)*VALUE(MID(TRIM(MID(SUBSTITUTE($V124,";",REPT(" ",99)),397,99)),FIND(":",TRIM(MID(SUBSTITUTE($V124,";",REPT(" ",99)),397,99)))+1,99)),0) + IFERROR(VLOOKUP(LEFT(TRIM(MID(SUBSTITUTE($V124,";",REPT(" ",99)),496,99)),FIND(":",TRIM(MID(SUBSTITUTE($V124,";",REPT(" ",99)),496,99)))-1),Materiales!$A$2:$E$502,5,FALSE)*VALUE(MID(TRIM(MID(SUBSTITUTE($V124,";",REPT(" ",99)),496,99)),FIND(":",TRIM(MID(SUBSTITUTE($V124,";",REPT(" ",99)),496,99)))+1,99)),0) + IFERROR(VLOOKUP(LEFT(TRIM(MID(SUBSTITUTE($V124,";",REPT(" ",99)),595,99)),FIND(":",TRIM(MID(SUBSTITUTE($V124,";",REPT(" ",99)),595,99)))-1),Materiales!$A$2:$E$502,5,FALSE)*VALUE(MID(TRIM(MID(SUBSTITUTE($V124,";",REPT(" ",99)),595,99)),FIND(":",TRIM(MID(SUBSTITUTE($V124,";",REPT(" ",99)),595,99)))+1,99)),0) + IFERROR(VLOOKUP(LEFT(TRIM(MID(SUBSTITUTE($V124,";",REPT(" ",99)),694,99)),FIND(":",TRIM(MID(SUBSTITUTE($V124,";",REPT(" ",99)),694,99)))-1),Materiales!$A$2:$E$502,5,FALSE)*VALUE(MID(TRIM(MID(SUBSTITUTE($V124,";",REPT(" ",99)),694,99)),FIND(":",TRIM(MID(SUBSTITUTE($V124,";",REPT(" ",99)),694,99)))+1,99)),0) + IFERROR(VLOOKUP(LEFT(TRIM(MID(SUBSTITUTE($V124,";",REPT(" ",99)),793,99)),FIND(":",TRIM(MID(SUBSTITUTE($V124,";",REPT(" ",99)),793,99)))-1),Materiales!$A$2:$E$502,5,FALSE)*VALUE(MID(TRIM(MID(SUBSTITUTE($V124,";",REPT(" ",99)),793,99)),FIND(":",TRIM(MID(SUBSTITUTE($V124,";",REPT(" ",99)),793,99)))+1,99)),0) + IFERROR(VLOOKUP(LEFT(TRIM(MID(SUBSTITUTE($V124,";",REPT(" ",99)),892,99)),FIND(":",TRIM(MID(SUBSTITUTE($V124,";",REPT(" ",99)),892,99)))-1),Materiales!$A$2:$E$502,5,FALSE)*VALUE(MID(TRIM(MID(SUBSTITUTE($V124,";",REPT(" ",99)),892,99)),FIND(":",TRIM(MID(SUBSTITUTE($V124,";",REPT(" ",99)),892,99)))+1,99)),0)))</f>
        <v/>
      </c>
      <c r="X124" s="39" t="str">
        <f t="shared" si="13"/>
        <v/>
      </c>
      <c r="Y124" s="64"/>
      <c r="Z124" s="41"/>
      <c r="AA124" s="65"/>
      <c r="AB124" s="14"/>
      <c r="AC124" s="66"/>
      <c r="AD124" s="65"/>
      <c r="AE124" s="44">
        <f t="shared" si="17"/>
        <v>0</v>
      </c>
      <c r="AF124" s="45" t="str">
        <f t="shared" si="20"/>
        <v>#DIV/0!</v>
      </c>
    </row>
    <row r="125" ht="15.75" customHeight="1">
      <c r="A125" s="3"/>
      <c r="B125" s="3"/>
      <c r="C125" s="38"/>
      <c r="D125" s="38"/>
      <c r="E125" s="38"/>
      <c r="F125" s="14"/>
      <c r="G125" s="5" t="str">
        <f t="array" ref="G125">IF($A125="","",IFERROR($F125*(N($C125)*XLOOKUP($B125,Ceras!$A$2:$A$500,Ceras!$G$2:$G$500,0)+IF($D125="",0,N($E125)*XLOOKUP($D125,Ceras!$A$2:$A$500,Ceras!$G$2:$G$500,0))),"Revisar cera"))</f>
        <v/>
      </c>
      <c r="H125" s="5"/>
      <c r="I125" s="3"/>
      <c r="J125" s="14"/>
      <c r="K125" s="5" t="str">
        <f t="array" ref="K125">IF($A125="","",IFERROR($J125*XLOOKUP($I125,Pabilos!$A$2:$A$500,Pabilos!$H$2:$H$500,0),"Revisar pabilo"))</f>
        <v/>
      </c>
      <c r="L125" s="3"/>
      <c r="M125" s="14"/>
      <c r="N125" s="5" t="str">
        <f t="array" ref="N125">IF($A125="","",IFERROR($M125*XLOOKUP($L125,Esencias!$A$2:$A$501,Esencias!$G$2:$G$501,0),"Revisar esencia"))</f>
        <v/>
      </c>
      <c r="O125" s="3"/>
      <c r="P125" s="14"/>
      <c r="Q125" s="5" t="str">
        <f t="array" ref="Q125">IF($A125="","",IFERROR(IF($P125="",1,$P125)*XLOOKUP($O125,Colores!$A$2:$A$500,Colores!$H$2:$H$500,0),"Revisar color"))</f>
        <v/>
      </c>
      <c r="R125" s="3"/>
      <c r="S125" s="5" t="str">
        <f t="array" ref="S125">IF($A125="","",IF($R125="",0,IFERROR(VLOOKUP(LEFT(TRIM(MID(SUBSTITUTE($R125,";",REPT(" ",99)),1,99)),FIND(":",TRIM(MID(SUBSTITUTE($R125,";",REPT(" ",99)),1,99)))-1),Materiales!$A$2:$E$502,5,FALSE)*VALUE(MID(TRIM(MID(SUBSTITUTE($R125,";",REPT(" ",99)),1,99)),FIND(":",TRIM(MID(SUBSTITUTE($R125,";",REPT(" ",99)),1,99)))+1,99)),0) + IFERROR(VLOOKUP(LEFT(TRIM(MID(SUBSTITUTE($R125,";",REPT(" ",99)),100,99)),FIND(":",TRIM(MID(SUBSTITUTE($R125,";",REPT(" ",99)),100,99)))-1),Materiales!$A$2:$E$502,5,FALSE)*VALUE(MID(TRIM(MID(SUBSTITUTE($R125,";",REPT(" ",99)),100,99)),FIND(":",TRIM(MID(SUBSTITUTE($R125,";",REPT(" ",99)),100,99)))+1,99)),0) + IFERROR(VLOOKUP(LEFT(TRIM(MID(SUBSTITUTE($R125,";",REPT(" ",99)),199,99)),FIND(":",TRIM(MID(SUBSTITUTE($R125,";",REPT(" ",99)),199,99)))-1),Materiales!$A$2:$E$502,5,FALSE)*VALUE(MID(TRIM(MID(SUBSTITUTE($R125,";",REPT(" ",99)),199,99)),FIND(":",TRIM(MID(SUBSTITUTE($R125,";",REPT(" ",99)),199,99)))+1,99)),0) + IFERROR(VLOOKUP(LEFT(TRIM(MID(SUBSTITUTE($R125,";",REPT(" ",99)),298,99)),FIND(":",TRIM(MID(SUBSTITUTE($R125,";",REPT(" ",99)),298,99)))-1),Materiales!$A$2:$E$502,5,FALSE)*VALUE(MID(TRIM(MID(SUBSTITUTE($R125,";",REPT(" ",99)),298,99)),FIND(":",TRIM(MID(SUBSTITUTE($R125,";",REPT(" ",99)),298,99)))+1,99)),0) + IFERROR(VLOOKUP(LEFT(TRIM(MID(SUBSTITUTE($R125,";",REPT(" ",99)),397,99)),FIND(":",TRIM(MID(SUBSTITUTE($R125,";",REPT(" ",99)),397,99)))-1),Materiales!$A$2:$E$502,5,FALSE)*VALUE(MID(TRIM(MID(SUBSTITUTE($R125,";",REPT(" ",99)),397,99)),FIND(":",TRIM(MID(SUBSTITUTE($R125,";",REPT(" ",99)),397,99)))+1,99)),0) + IFERROR(VLOOKUP(LEFT(TRIM(MID(SUBSTITUTE($R125,";",REPT(" ",99)),496,99)),FIND(":",TRIM(MID(SUBSTITUTE($R125,";",REPT(" ",99)),496,99)))-1),Materiales!$A$2:$E$502,5,FALSE)*VALUE(MID(TRIM(MID(SUBSTITUTE($R125,";",REPT(" ",99)),496,99)),FIND(":",TRIM(MID(SUBSTITUTE($R125,";",REPT(" ",99)),496,99)))+1,99)),0) + IFERROR(VLOOKUP(LEFT(TRIM(MID(SUBSTITUTE($R125,";",REPT(" ",99)),595,99)),FIND(":",TRIM(MID(SUBSTITUTE($R125,";",REPT(" ",99)),595,99)))-1),Materiales!$A$2:$E$502,5,FALSE)*VALUE(MID(TRIM(MID(SUBSTITUTE($R125,";",REPT(" ",99)),595,99)),FIND(":",TRIM(MID(SUBSTITUTE($R125,";",REPT(" ",99)),595,99)))+1,99)),0) + IFERROR(VLOOKUP(LEFT(TRIM(MID(SUBSTITUTE($R125,";",REPT(" ",99)),694,99)),FIND(":",TRIM(MID(SUBSTITUTE($R125,";",REPT(" ",99)),694,99)))-1),Materiales!$A$2:$E$502,5,FALSE)*VALUE(MID(TRIM(MID(SUBSTITUTE($R125,";",REPT(" ",99)),694,99)),FIND(":",TRIM(MID(SUBSTITUTE($R125,";",REPT(" ",99)),694,99)))+1,99)),0) + IFERROR(VLOOKUP(LEFT(TRIM(MID(SUBSTITUTE($R125,";",REPT(" ",99)),793,99)),FIND(":",TRIM(MID(SUBSTITUTE($R125,";",REPT(" ",99)),793,99)))-1),Materiales!$A$2:$E$502,5,FALSE)*VALUE(MID(TRIM(MID(SUBSTITUTE($R125,";",REPT(" ",99)),793,99)),FIND(":",TRIM(MID(SUBSTITUTE($R125,";",REPT(" ",99)),793,99)))+1,99)),0) + IFERROR(VLOOKUP(LEFT(TRIM(MID(SUBSTITUTE($R125,";",REPT(" ",99)),892,99)),FIND(":",TRIM(MID(SUBSTITUTE($R125,";",REPT(" ",99)),892,99)))-1),Materiales!$A$2:$E$502,5,FALSE)*VALUE(MID(TRIM(MID(SUBSTITUTE($R125,";",REPT(" ",99)),892,99)),FIND(":",TRIM(MID(SUBSTITUTE($R125,";",REPT(" ",99)),892,99)))+1,99)),0)))</f>
        <v/>
      </c>
      <c r="T125" s="3"/>
      <c r="U125" s="5" t="str">
        <f t="array" ref="U125">IF($A125="","",IF($T125="",0,IFERROR(VLOOKUP(LEFT(TRIM(MID(SUBSTITUTE($T125,";",REPT(" ",99)),1,99)),FIND(":",TRIM(MID(SUBSTITUTE($T125,";",REPT(" ",99)),1,99)))-1),Materiales!$A$2:$E$502,5,FALSE)*VALUE(MID(TRIM(MID(SUBSTITUTE($T125,";",REPT(" ",99)),1,99)),FIND(":",TRIM(MID(SUBSTITUTE($T125,";",REPT(" ",99)),1,99)))+1,99)),0) + IFERROR(VLOOKUP(LEFT(TRIM(MID(SUBSTITUTE($T125,";",REPT(" ",99)),100,99)),FIND(":",TRIM(MID(SUBSTITUTE($T125,";",REPT(" ",99)),100,99)))-1),Materiales!$A$2:$E$502,5,FALSE)*VALUE(MID(TRIM(MID(SUBSTITUTE($T125,";",REPT(" ",99)),100,99)),FIND(":",TRIM(MID(SUBSTITUTE($T125,";",REPT(" ",99)),100,99)))+1,99)),0) + IFERROR(VLOOKUP(LEFT(TRIM(MID(SUBSTITUTE($T125,";",REPT(" ",99)),199,99)),FIND(":",TRIM(MID(SUBSTITUTE($T125,";",REPT(" ",99)),199,99)))-1),Materiales!$A$2:$E$502,5,FALSE)*VALUE(MID(TRIM(MID(SUBSTITUTE($T125,";",REPT(" ",99)),199,99)),FIND(":",TRIM(MID(SUBSTITUTE($T125,";",REPT(" ",99)),199,99)))+1,99)),0) + IFERROR(VLOOKUP(LEFT(TRIM(MID(SUBSTITUTE($T125,";",REPT(" ",99)),298,99)),FIND(":",TRIM(MID(SUBSTITUTE($T125,";",REPT(" ",99)),298,99)))-1),Materiales!$A$2:$E$502,5,FALSE)*VALUE(MID(TRIM(MID(SUBSTITUTE($T125,";",REPT(" ",99)),298,99)),FIND(":",TRIM(MID(SUBSTITUTE($T125,";",REPT(" ",99)),298,99)))+1,99)),0) + IFERROR(VLOOKUP(LEFT(TRIM(MID(SUBSTITUTE($T125,";",REPT(" ",99)),397,99)),FIND(":",TRIM(MID(SUBSTITUTE($T125,";",REPT(" ",99)),397,99)))-1),Materiales!$A$2:$E$502,5,FALSE)*VALUE(MID(TRIM(MID(SUBSTITUTE($T125,";",REPT(" ",99)),397,99)),FIND(":",TRIM(MID(SUBSTITUTE($T125,";",REPT(" ",99)),397,99)))+1,99)),0) + IFERROR(VLOOKUP(LEFT(TRIM(MID(SUBSTITUTE($T125,";",REPT(" ",99)),496,99)),FIND(":",TRIM(MID(SUBSTITUTE($T125,";",REPT(" ",99)),496,99)))-1),Materiales!$A$2:$E$502,5,FALSE)*VALUE(MID(TRIM(MID(SUBSTITUTE($T125,";",REPT(" ",99)),496,99)),FIND(":",TRIM(MID(SUBSTITUTE($T125,";",REPT(" ",99)),496,99)))+1,99)),0) + IFERROR(VLOOKUP(LEFT(TRIM(MID(SUBSTITUTE($T125,";",REPT(" ",99)),595,99)),FIND(":",TRIM(MID(SUBSTITUTE($T125,";",REPT(" ",99)),595,99)))-1),Materiales!$A$2:$E$502,5,FALSE)*VALUE(MID(TRIM(MID(SUBSTITUTE($T125,";",REPT(" ",99)),595,99)),FIND(":",TRIM(MID(SUBSTITUTE($T125,";",REPT(" ",99)),595,99)))+1,99)),0) + IFERROR(VLOOKUP(LEFT(TRIM(MID(SUBSTITUTE($T125,";",REPT(" ",99)),694,99)),FIND(":",TRIM(MID(SUBSTITUTE($T125,";",REPT(" ",99)),694,99)))-1),Materiales!$A$2:$E$502,5,FALSE)*VALUE(MID(TRIM(MID(SUBSTITUTE($T125,";",REPT(" ",99)),694,99)),FIND(":",TRIM(MID(SUBSTITUTE($T125,";",REPT(" ",99)),694,99)))+1,99)),0) + IFERROR(VLOOKUP(LEFT(TRIM(MID(SUBSTITUTE($T125,";",REPT(" ",99)),793,99)),FIND(":",TRIM(MID(SUBSTITUTE($T125,";",REPT(" ",99)),793,99)))-1),Materiales!$A$2:$E$502,5,FALSE)*VALUE(MID(TRIM(MID(SUBSTITUTE($T125,";",REPT(" ",99)),793,99)),FIND(":",TRIM(MID(SUBSTITUTE($T125,";",REPT(" ",99)),793,99)))+1,99)),0) + IFERROR(VLOOKUP(LEFT(TRIM(MID(SUBSTITUTE($T125,";",REPT(" ",99)),892,99)),FIND(":",TRIM(MID(SUBSTITUTE($T125,";",REPT(" ",99)),892,99)))-1),Materiales!$A$2:$E$502,5,FALSE)*VALUE(MID(TRIM(MID(SUBSTITUTE($T125,";",REPT(" ",99)),892,99)),FIND(":",TRIM(MID(SUBSTITUTE($T125,";",REPT(" ",99)),892,99)))+1,99)),0)))</f>
        <v/>
      </c>
      <c r="V125" s="3"/>
      <c r="W125" s="5" t="str">
        <f t="array" ref="W125">IF($A125="","",IF($V125="",0,IFERROR(VLOOKUP(LEFT(TRIM(MID(SUBSTITUTE($V125,";",REPT(" ",99)),1,99)),FIND(":",TRIM(MID(SUBSTITUTE($V125,";",REPT(" ",99)),1,99)))-1),Materiales!$A$2:$E$502,5,FALSE)*VALUE(MID(TRIM(MID(SUBSTITUTE($V125,";",REPT(" ",99)),1,99)),FIND(":",TRIM(MID(SUBSTITUTE($V125,";",REPT(" ",99)),1,99)))+1,99)),0) + IFERROR(VLOOKUP(LEFT(TRIM(MID(SUBSTITUTE($V125,";",REPT(" ",99)),100,99)),FIND(":",TRIM(MID(SUBSTITUTE($V125,";",REPT(" ",99)),100,99)))-1),Materiales!$A$2:$E$502,5,FALSE)*VALUE(MID(TRIM(MID(SUBSTITUTE($V125,";",REPT(" ",99)),100,99)),FIND(":",TRIM(MID(SUBSTITUTE($V125,";",REPT(" ",99)),100,99)))+1,99)),0) + IFERROR(VLOOKUP(LEFT(TRIM(MID(SUBSTITUTE($V125,";",REPT(" ",99)),199,99)),FIND(":",TRIM(MID(SUBSTITUTE($V125,";",REPT(" ",99)),199,99)))-1),Materiales!$A$2:$E$502,5,FALSE)*VALUE(MID(TRIM(MID(SUBSTITUTE($V125,";",REPT(" ",99)),199,99)),FIND(":",TRIM(MID(SUBSTITUTE($V125,";",REPT(" ",99)),199,99)))+1,99)),0) + IFERROR(VLOOKUP(LEFT(TRIM(MID(SUBSTITUTE($V125,";",REPT(" ",99)),298,99)),FIND(":",TRIM(MID(SUBSTITUTE($V125,";",REPT(" ",99)),298,99)))-1),Materiales!$A$2:$E$502,5,FALSE)*VALUE(MID(TRIM(MID(SUBSTITUTE($V125,";",REPT(" ",99)),298,99)),FIND(":",TRIM(MID(SUBSTITUTE($V125,";",REPT(" ",99)),298,99)))+1,99)),0) + IFERROR(VLOOKUP(LEFT(TRIM(MID(SUBSTITUTE($V125,";",REPT(" ",99)),397,99)),FIND(":",TRIM(MID(SUBSTITUTE($V125,";",REPT(" ",99)),397,99)))-1),Materiales!$A$2:$E$502,5,FALSE)*VALUE(MID(TRIM(MID(SUBSTITUTE($V125,";",REPT(" ",99)),397,99)),FIND(":",TRIM(MID(SUBSTITUTE($V125,";",REPT(" ",99)),397,99)))+1,99)),0) + IFERROR(VLOOKUP(LEFT(TRIM(MID(SUBSTITUTE($V125,";",REPT(" ",99)),496,99)),FIND(":",TRIM(MID(SUBSTITUTE($V125,";",REPT(" ",99)),496,99)))-1),Materiales!$A$2:$E$502,5,FALSE)*VALUE(MID(TRIM(MID(SUBSTITUTE($V125,";",REPT(" ",99)),496,99)),FIND(":",TRIM(MID(SUBSTITUTE($V125,";",REPT(" ",99)),496,99)))+1,99)),0) + IFERROR(VLOOKUP(LEFT(TRIM(MID(SUBSTITUTE($V125,";",REPT(" ",99)),595,99)),FIND(":",TRIM(MID(SUBSTITUTE($V125,";",REPT(" ",99)),595,99)))-1),Materiales!$A$2:$E$502,5,FALSE)*VALUE(MID(TRIM(MID(SUBSTITUTE($V125,";",REPT(" ",99)),595,99)),FIND(":",TRIM(MID(SUBSTITUTE($V125,";",REPT(" ",99)),595,99)))+1,99)),0) + IFERROR(VLOOKUP(LEFT(TRIM(MID(SUBSTITUTE($V125,";",REPT(" ",99)),694,99)),FIND(":",TRIM(MID(SUBSTITUTE($V125,";",REPT(" ",99)),694,99)))-1),Materiales!$A$2:$E$502,5,FALSE)*VALUE(MID(TRIM(MID(SUBSTITUTE($V125,";",REPT(" ",99)),694,99)),FIND(":",TRIM(MID(SUBSTITUTE($V125,";",REPT(" ",99)),694,99)))+1,99)),0) + IFERROR(VLOOKUP(LEFT(TRIM(MID(SUBSTITUTE($V125,";",REPT(" ",99)),793,99)),FIND(":",TRIM(MID(SUBSTITUTE($V125,";",REPT(" ",99)),793,99)))-1),Materiales!$A$2:$E$502,5,FALSE)*VALUE(MID(TRIM(MID(SUBSTITUTE($V125,";",REPT(" ",99)),793,99)),FIND(":",TRIM(MID(SUBSTITUTE($V125,";",REPT(" ",99)),793,99)))+1,99)),0) + IFERROR(VLOOKUP(LEFT(TRIM(MID(SUBSTITUTE($V125,";",REPT(" ",99)),892,99)),FIND(":",TRIM(MID(SUBSTITUTE($V125,";",REPT(" ",99)),892,99)))-1),Materiales!$A$2:$E$502,5,FALSE)*VALUE(MID(TRIM(MID(SUBSTITUTE($V125,";",REPT(" ",99)),892,99)),FIND(":",TRIM(MID(SUBSTITUTE($V125,";",REPT(" ",99)),892,99)))+1,99)),0)))</f>
        <v/>
      </c>
      <c r="X125" s="39" t="str">
        <f t="shared" si="13"/>
        <v/>
      </c>
      <c r="Y125" s="64"/>
      <c r="Z125" s="41"/>
      <c r="AA125" s="65"/>
      <c r="AB125" s="14"/>
      <c r="AC125" s="66"/>
      <c r="AD125" s="65"/>
      <c r="AE125" s="44">
        <f t="shared" si="17"/>
        <v>0</v>
      </c>
      <c r="AF125" s="45" t="str">
        <f t="shared" si="20"/>
        <v>#DIV/0!</v>
      </c>
    </row>
    <row r="126" ht="15.75" customHeight="1">
      <c r="A126" s="3"/>
      <c r="B126" s="3"/>
      <c r="C126" s="38"/>
      <c r="D126" s="38"/>
      <c r="E126" s="38"/>
      <c r="F126" s="14"/>
      <c r="G126" s="5" t="str">
        <f t="array" ref="G126">IF($A126="","",IFERROR($F126*(N($C126)*XLOOKUP($B126,Ceras!$A$2:$A$500,Ceras!$G$2:$G$500,0)+IF($D126="",0,N($E126)*XLOOKUP($D126,Ceras!$A$2:$A$500,Ceras!$G$2:$G$500,0))),"Revisar cera"))</f>
        <v/>
      </c>
      <c r="H126" s="5"/>
      <c r="I126" s="3"/>
      <c r="J126" s="14"/>
      <c r="K126" s="5" t="str">
        <f t="array" ref="K126">IF($A126="","",IFERROR($J126*XLOOKUP($I126,Pabilos!$A$2:$A$500,Pabilos!$H$2:$H$500,0),"Revisar pabilo"))</f>
        <v/>
      </c>
      <c r="L126" s="3"/>
      <c r="M126" s="14"/>
      <c r="N126" s="5" t="str">
        <f t="array" ref="N126">IF($A126="","",IFERROR($M126*XLOOKUP($L126,Esencias!$A$2:$A$501,Esencias!$G$2:$G$501,0),"Revisar esencia"))</f>
        <v/>
      </c>
      <c r="O126" s="3"/>
      <c r="P126" s="14"/>
      <c r="Q126" s="5" t="str">
        <f t="array" ref="Q126">IF($A126="","",IFERROR(IF($P126="",1,$P126)*XLOOKUP($O126,Colores!$A$2:$A$500,Colores!$H$2:$H$500,0),"Revisar color"))</f>
        <v/>
      </c>
      <c r="R126" s="3"/>
      <c r="S126" s="5" t="str">
        <f t="array" ref="S126">IF($A126="","",IF($R126="",0,IFERROR(VLOOKUP(LEFT(TRIM(MID(SUBSTITUTE($R126,";",REPT(" ",99)),1,99)),FIND(":",TRIM(MID(SUBSTITUTE($R126,";",REPT(" ",99)),1,99)))-1),Materiales!$A$2:$E$502,5,FALSE)*VALUE(MID(TRIM(MID(SUBSTITUTE($R126,";",REPT(" ",99)),1,99)),FIND(":",TRIM(MID(SUBSTITUTE($R126,";",REPT(" ",99)),1,99)))+1,99)),0) + IFERROR(VLOOKUP(LEFT(TRIM(MID(SUBSTITUTE($R126,";",REPT(" ",99)),100,99)),FIND(":",TRIM(MID(SUBSTITUTE($R126,";",REPT(" ",99)),100,99)))-1),Materiales!$A$2:$E$502,5,FALSE)*VALUE(MID(TRIM(MID(SUBSTITUTE($R126,";",REPT(" ",99)),100,99)),FIND(":",TRIM(MID(SUBSTITUTE($R126,";",REPT(" ",99)),100,99)))+1,99)),0) + IFERROR(VLOOKUP(LEFT(TRIM(MID(SUBSTITUTE($R126,";",REPT(" ",99)),199,99)),FIND(":",TRIM(MID(SUBSTITUTE($R126,";",REPT(" ",99)),199,99)))-1),Materiales!$A$2:$E$502,5,FALSE)*VALUE(MID(TRIM(MID(SUBSTITUTE($R126,";",REPT(" ",99)),199,99)),FIND(":",TRIM(MID(SUBSTITUTE($R126,";",REPT(" ",99)),199,99)))+1,99)),0) + IFERROR(VLOOKUP(LEFT(TRIM(MID(SUBSTITUTE($R126,";",REPT(" ",99)),298,99)),FIND(":",TRIM(MID(SUBSTITUTE($R126,";",REPT(" ",99)),298,99)))-1),Materiales!$A$2:$E$502,5,FALSE)*VALUE(MID(TRIM(MID(SUBSTITUTE($R126,";",REPT(" ",99)),298,99)),FIND(":",TRIM(MID(SUBSTITUTE($R126,";",REPT(" ",99)),298,99)))+1,99)),0) + IFERROR(VLOOKUP(LEFT(TRIM(MID(SUBSTITUTE($R126,";",REPT(" ",99)),397,99)),FIND(":",TRIM(MID(SUBSTITUTE($R126,";",REPT(" ",99)),397,99)))-1),Materiales!$A$2:$E$502,5,FALSE)*VALUE(MID(TRIM(MID(SUBSTITUTE($R126,";",REPT(" ",99)),397,99)),FIND(":",TRIM(MID(SUBSTITUTE($R126,";",REPT(" ",99)),397,99)))+1,99)),0) + IFERROR(VLOOKUP(LEFT(TRIM(MID(SUBSTITUTE($R126,";",REPT(" ",99)),496,99)),FIND(":",TRIM(MID(SUBSTITUTE($R126,";",REPT(" ",99)),496,99)))-1),Materiales!$A$2:$E$502,5,FALSE)*VALUE(MID(TRIM(MID(SUBSTITUTE($R126,";",REPT(" ",99)),496,99)),FIND(":",TRIM(MID(SUBSTITUTE($R126,";",REPT(" ",99)),496,99)))+1,99)),0) + IFERROR(VLOOKUP(LEFT(TRIM(MID(SUBSTITUTE($R126,";",REPT(" ",99)),595,99)),FIND(":",TRIM(MID(SUBSTITUTE($R126,";",REPT(" ",99)),595,99)))-1),Materiales!$A$2:$E$502,5,FALSE)*VALUE(MID(TRIM(MID(SUBSTITUTE($R126,";",REPT(" ",99)),595,99)),FIND(":",TRIM(MID(SUBSTITUTE($R126,";",REPT(" ",99)),595,99)))+1,99)),0) + IFERROR(VLOOKUP(LEFT(TRIM(MID(SUBSTITUTE($R126,";",REPT(" ",99)),694,99)),FIND(":",TRIM(MID(SUBSTITUTE($R126,";",REPT(" ",99)),694,99)))-1),Materiales!$A$2:$E$502,5,FALSE)*VALUE(MID(TRIM(MID(SUBSTITUTE($R126,";",REPT(" ",99)),694,99)),FIND(":",TRIM(MID(SUBSTITUTE($R126,";",REPT(" ",99)),694,99)))+1,99)),0) + IFERROR(VLOOKUP(LEFT(TRIM(MID(SUBSTITUTE($R126,";",REPT(" ",99)),793,99)),FIND(":",TRIM(MID(SUBSTITUTE($R126,";",REPT(" ",99)),793,99)))-1),Materiales!$A$2:$E$502,5,FALSE)*VALUE(MID(TRIM(MID(SUBSTITUTE($R126,";",REPT(" ",99)),793,99)),FIND(":",TRIM(MID(SUBSTITUTE($R126,";",REPT(" ",99)),793,99)))+1,99)),0) + IFERROR(VLOOKUP(LEFT(TRIM(MID(SUBSTITUTE($R126,";",REPT(" ",99)),892,99)),FIND(":",TRIM(MID(SUBSTITUTE($R126,";",REPT(" ",99)),892,99)))-1),Materiales!$A$2:$E$502,5,FALSE)*VALUE(MID(TRIM(MID(SUBSTITUTE($R126,";",REPT(" ",99)),892,99)),FIND(":",TRIM(MID(SUBSTITUTE($R126,";",REPT(" ",99)),892,99)))+1,99)),0)))</f>
        <v/>
      </c>
      <c r="T126" s="3"/>
      <c r="U126" s="5" t="str">
        <f t="array" ref="U126">IF($A126="","",IF($T126="",0,IFERROR(VLOOKUP(LEFT(TRIM(MID(SUBSTITUTE($T126,";",REPT(" ",99)),1,99)),FIND(":",TRIM(MID(SUBSTITUTE($T126,";",REPT(" ",99)),1,99)))-1),Materiales!$A$2:$E$502,5,FALSE)*VALUE(MID(TRIM(MID(SUBSTITUTE($T126,";",REPT(" ",99)),1,99)),FIND(":",TRIM(MID(SUBSTITUTE($T126,";",REPT(" ",99)),1,99)))+1,99)),0) + IFERROR(VLOOKUP(LEFT(TRIM(MID(SUBSTITUTE($T126,";",REPT(" ",99)),100,99)),FIND(":",TRIM(MID(SUBSTITUTE($T126,";",REPT(" ",99)),100,99)))-1),Materiales!$A$2:$E$502,5,FALSE)*VALUE(MID(TRIM(MID(SUBSTITUTE($T126,";",REPT(" ",99)),100,99)),FIND(":",TRIM(MID(SUBSTITUTE($T126,";",REPT(" ",99)),100,99)))+1,99)),0) + IFERROR(VLOOKUP(LEFT(TRIM(MID(SUBSTITUTE($T126,";",REPT(" ",99)),199,99)),FIND(":",TRIM(MID(SUBSTITUTE($T126,";",REPT(" ",99)),199,99)))-1),Materiales!$A$2:$E$502,5,FALSE)*VALUE(MID(TRIM(MID(SUBSTITUTE($T126,";",REPT(" ",99)),199,99)),FIND(":",TRIM(MID(SUBSTITUTE($T126,";",REPT(" ",99)),199,99)))+1,99)),0) + IFERROR(VLOOKUP(LEFT(TRIM(MID(SUBSTITUTE($T126,";",REPT(" ",99)),298,99)),FIND(":",TRIM(MID(SUBSTITUTE($T126,";",REPT(" ",99)),298,99)))-1),Materiales!$A$2:$E$502,5,FALSE)*VALUE(MID(TRIM(MID(SUBSTITUTE($T126,";",REPT(" ",99)),298,99)),FIND(":",TRIM(MID(SUBSTITUTE($T126,";",REPT(" ",99)),298,99)))+1,99)),0) + IFERROR(VLOOKUP(LEFT(TRIM(MID(SUBSTITUTE($T126,";",REPT(" ",99)),397,99)),FIND(":",TRIM(MID(SUBSTITUTE($T126,";",REPT(" ",99)),397,99)))-1),Materiales!$A$2:$E$502,5,FALSE)*VALUE(MID(TRIM(MID(SUBSTITUTE($T126,";",REPT(" ",99)),397,99)),FIND(":",TRIM(MID(SUBSTITUTE($T126,";",REPT(" ",99)),397,99)))+1,99)),0) + IFERROR(VLOOKUP(LEFT(TRIM(MID(SUBSTITUTE($T126,";",REPT(" ",99)),496,99)),FIND(":",TRIM(MID(SUBSTITUTE($T126,";",REPT(" ",99)),496,99)))-1),Materiales!$A$2:$E$502,5,FALSE)*VALUE(MID(TRIM(MID(SUBSTITUTE($T126,";",REPT(" ",99)),496,99)),FIND(":",TRIM(MID(SUBSTITUTE($T126,";",REPT(" ",99)),496,99)))+1,99)),0) + IFERROR(VLOOKUP(LEFT(TRIM(MID(SUBSTITUTE($T126,";",REPT(" ",99)),595,99)),FIND(":",TRIM(MID(SUBSTITUTE($T126,";",REPT(" ",99)),595,99)))-1),Materiales!$A$2:$E$502,5,FALSE)*VALUE(MID(TRIM(MID(SUBSTITUTE($T126,";",REPT(" ",99)),595,99)),FIND(":",TRIM(MID(SUBSTITUTE($T126,";",REPT(" ",99)),595,99)))+1,99)),0) + IFERROR(VLOOKUP(LEFT(TRIM(MID(SUBSTITUTE($T126,";",REPT(" ",99)),694,99)),FIND(":",TRIM(MID(SUBSTITUTE($T126,";",REPT(" ",99)),694,99)))-1),Materiales!$A$2:$E$502,5,FALSE)*VALUE(MID(TRIM(MID(SUBSTITUTE($T126,";",REPT(" ",99)),694,99)),FIND(":",TRIM(MID(SUBSTITUTE($T126,";",REPT(" ",99)),694,99)))+1,99)),0) + IFERROR(VLOOKUP(LEFT(TRIM(MID(SUBSTITUTE($T126,";",REPT(" ",99)),793,99)),FIND(":",TRIM(MID(SUBSTITUTE($T126,";",REPT(" ",99)),793,99)))-1),Materiales!$A$2:$E$502,5,FALSE)*VALUE(MID(TRIM(MID(SUBSTITUTE($T126,";",REPT(" ",99)),793,99)),FIND(":",TRIM(MID(SUBSTITUTE($T126,";",REPT(" ",99)),793,99)))+1,99)),0) + IFERROR(VLOOKUP(LEFT(TRIM(MID(SUBSTITUTE($T126,";",REPT(" ",99)),892,99)),FIND(":",TRIM(MID(SUBSTITUTE($T126,";",REPT(" ",99)),892,99)))-1),Materiales!$A$2:$E$502,5,FALSE)*VALUE(MID(TRIM(MID(SUBSTITUTE($T126,";",REPT(" ",99)),892,99)),FIND(":",TRIM(MID(SUBSTITUTE($T126,";",REPT(" ",99)),892,99)))+1,99)),0)))</f>
        <v/>
      </c>
      <c r="V126" s="3"/>
      <c r="W126" s="5" t="str">
        <f t="array" ref="W126">IF($A126="","",IF($V126="",0,IFERROR(VLOOKUP(LEFT(TRIM(MID(SUBSTITUTE($V126,";",REPT(" ",99)),1,99)),FIND(":",TRIM(MID(SUBSTITUTE($V126,";",REPT(" ",99)),1,99)))-1),Materiales!$A$2:$E$502,5,FALSE)*VALUE(MID(TRIM(MID(SUBSTITUTE($V126,";",REPT(" ",99)),1,99)),FIND(":",TRIM(MID(SUBSTITUTE($V126,";",REPT(" ",99)),1,99)))+1,99)),0) + IFERROR(VLOOKUP(LEFT(TRIM(MID(SUBSTITUTE($V126,";",REPT(" ",99)),100,99)),FIND(":",TRIM(MID(SUBSTITUTE($V126,";",REPT(" ",99)),100,99)))-1),Materiales!$A$2:$E$502,5,FALSE)*VALUE(MID(TRIM(MID(SUBSTITUTE($V126,";",REPT(" ",99)),100,99)),FIND(":",TRIM(MID(SUBSTITUTE($V126,";",REPT(" ",99)),100,99)))+1,99)),0) + IFERROR(VLOOKUP(LEFT(TRIM(MID(SUBSTITUTE($V126,";",REPT(" ",99)),199,99)),FIND(":",TRIM(MID(SUBSTITUTE($V126,";",REPT(" ",99)),199,99)))-1),Materiales!$A$2:$E$502,5,FALSE)*VALUE(MID(TRIM(MID(SUBSTITUTE($V126,";",REPT(" ",99)),199,99)),FIND(":",TRIM(MID(SUBSTITUTE($V126,";",REPT(" ",99)),199,99)))+1,99)),0) + IFERROR(VLOOKUP(LEFT(TRIM(MID(SUBSTITUTE($V126,";",REPT(" ",99)),298,99)),FIND(":",TRIM(MID(SUBSTITUTE($V126,";",REPT(" ",99)),298,99)))-1),Materiales!$A$2:$E$502,5,FALSE)*VALUE(MID(TRIM(MID(SUBSTITUTE($V126,";",REPT(" ",99)),298,99)),FIND(":",TRIM(MID(SUBSTITUTE($V126,";",REPT(" ",99)),298,99)))+1,99)),0) + IFERROR(VLOOKUP(LEFT(TRIM(MID(SUBSTITUTE($V126,";",REPT(" ",99)),397,99)),FIND(":",TRIM(MID(SUBSTITUTE($V126,";",REPT(" ",99)),397,99)))-1),Materiales!$A$2:$E$502,5,FALSE)*VALUE(MID(TRIM(MID(SUBSTITUTE($V126,";",REPT(" ",99)),397,99)),FIND(":",TRIM(MID(SUBSTITUTE($V126,";",REPT(" ",99)),397,99)))+1,99)),0) + IFERROR(VLOOKUP(LEFT(TRIM(MID(SUBSTITUTE($V126,";",REPT(" ",99)),496,99)),FIND(":",TRIM(MID(SUBSTITUTE($V126,";",REPT(" ",99)),496,99)))-1),Materiales!$A$2:$E$502,5,FALSE)*VALUE(MID(TRIM(MID(SUBSTITUTE($V126,";",REPT(" ",99)),496,99)),FIND(":",TRIM(MID(SUBSTITUTE($V126,";",REPT(" ",99)),496,99)))+1,99)),0) + IFERROR(VLOOKUP(LEFT(TRIM(MID(SUBSTITUTE($V126,";",REPT(" ",99)),595,99)),FIND(":",TRIM(MID(SUBSTITUTE($V126,";",REPT(" ",99)),595,99)))-1),Materiales!$A$2:$E$502,5,FALSE)*VALUE(MID(TRIM(MID(SUBSTITUTE($V126,";",REPT(" ",99)),595,99)),FIND(":",TRIM(MID(SUBSTITUTE($V126,";",REPT(" ",99)),595,99)))+1,99)),0) + IFERROR(VLOOKUP(LEFT(TRIM(MID(SUBSTITUTE($V126,";",REPT(" ",99)),694,99)),FIND(":",TRIM(MID(SUBSTITUTE($V126,";",REPT(" ",99)),694,99)))-1),Materiales!$A$2:$E$502,5,FALSE)*VALUE(MID(TRIM(MID(SUBSTITUTE($V126,";",REPT(" ",99)),694,99)),FIND(":",TRIM(MID(SUBSTITUTE($V126,";",REPT(" ",99)),694,99)))+1,99)),0) + IFERROR(VLOOKUP(LEFT(TRIM(MID(SUBSTITUTE($V126,";",REPT(" ",99)),793,99)),FIND(":",TRIM(MID(SUBSTITUTE($V126,";",REPT(" ",99)),793,99)))-1),Materiales!$A$2:$E$502,5,FALSE)*VALUE(MID(TRIM(MID(SUBSTITUTE($V126,";",REPT(" ",99)),793,99)),FIND(":",TRIM(MID(SUBSTITUTE($V126,";",REPT(" ",99)),793,99)))+1,99)),0) + IFERROR(VLOOKUP(LEFT(TRIM(MID(SUBSTITUTE($V126,";",REPT(" ",99)),892,99)),FIND(":",TRIM(MID(SUBSTITUTE($V126,";",REPT(" ",99)),892,99)))-1),Materiales!$A$2:$E$502,5,FALSE)*VALUE(MID(TRIM(MID(SUBSTITUTE($V126,";",REPT(" ",99)),892,99)),FIND(":",TRIM(MID(SUBSTITUTE($V126,";",REPT(" ",99)),892,99)))+1,99)),0)))</f>
        <v/>
      </c>
      <c r="X126" s="39" t="str">
        <f t="shared" si="13"/>
        <v/>
      </c>
      <c r="Y126" s="64"/>
      <c r="Z126" s="41"/>
      <c r="AA126" s="65"/>
      <c r="AB126" s="14"/>
      <c r="AC126" s="66"/>
      <c r="AD126" s="65"/>
      <c r="AE126" s="44">
        <f t="shared" si="17"/>
        <v>0</v>
      </c>
      <c r="AF126" s="45" t="str">
        <f t="shared" si="20"/>
        <v>#DIV/0!</v>
      </c>
    </row>
    <row r="127" ht="15.75" customHeight="1">
      <c r="A127" s="3"/>
      <c r="B127" s="3"/>
      <c r="C127" s="38"/>
      <c r="D127" s="38"/>
      <c r="E127" s="38"/>
      <c r="F127" s="14"/>
      <c r="G127" s="5" t="str">
        <f t="array" ref="G127">IF($A127="","",IFERROR($F127*(N($C127)*XLOOKUP($B127,Ceras!$A$2:$A$500,Ceras!$G$2:$G$500,0)+IF($D127="",0,N($E127)*XLOOKUP($D127,Ceras!$A$2:$A$500,Ceras!$G$2:$G$500,0))),"Revisar cera"))</f>
        <v/>
      </c>
      <c r="H127" s="5"/>
      <c r="I127" s="3"/>
      <c r="J127" s="14"/>
      <c r="K127" s="5" t="str">
        <f t="array" ref="K127">IF($A127="","",IFERROR($J127*XLOOKUP($I127,Pabilos!$A$2:$A$500,Pabilos!$H$2:$H$500,0),"Revisar pabilo"))</f>
        <v/>
      </c>
      <c r="L127" s="3"/>
      <c r="M127" s="14"/>
      <c r="N127" s="5" t="str">
        <f t="array" ref="N127">IF($A127="","",IFERROR($M127*XLOOKUP($L127,Esencias!$A$2:$A$501,Esencias!$G$2:$G$501,0),"Revisar esencia"))</f>
        <v/>
      </c>
      <c r="O127" s="3"/>
      <c r="P127" s="14"/>
      <c r="Q127" s="5" t="str">
        <f t="array" ref="Q127">IF($A127="","",IFERROR(IF($P127="",1,$P127)*XLOOKUP($O127,Colores!$A$2:$A$500,Colores!$H$2:$H$500,0),"Revisar color"))</f>
        <v/>
      </c>
      <c r="R127" s="3"/>
      <c r="S127" s="5" t="str">
        <f t="array" ref="S127">IF($A127="","",IF($R127="",0,IFERROR(VLOOKUP(LEFT(TRIM(MID(SUBSTITUTE($R127,";",REPT(" ",99)),1,99)),FIND(":",TRIM(MID(SUBSTITUTE($R127,";",REPT(" ",99)),1,99)))-1),Materiales!$A$2:$E$502,5,FALSE)*VALUE(MID(TRIM(MID(SUBSTITUTE($R127,";",REPT(" ",99)),1,99)),FIND(":",TRIM(MID(SUBSTITUTE($R127,";",REPT(" ",99)),1,99)))+1,99)),0) + IFERROR(VLOOKUP(LEFT(TRIM(MID(SUBSTITUTE($R127,";",REPT(" ",99)),100,99)),FIND(":",TRIM(MID(SUBSTITUTE($R127,";",REPT(" ",99)),100,99)))-1),Materiales!$A$2:$E$502,5,FALSE)*VALUE(MID(TRIM(MID(SUBSTITUTE($R127,";",REPT(" ",99)),100,99)),FIND(":",TRIM(MID(SUBSTITUTE($R127,";",REPT(" ",99)),100,99)))+1,99)),0) + IFERROR(VLOOKUP(LEFT(TRIM(MID(SUBSTITUTE($R127,";",REPT(" ",99)),199,99)),FIND(":",TRIM(MID(SUBSTITUTE($R127,";",REPT(" ",99)),199,99)))-1),Materiales!$A$2:$E$502,5,FALSE)*VALUE(MID(TRIM(MID(SUBSTITUTE($R127,";",REPT(" ",99)),199,99)),FIND(":",TRIM(MID(SUBSTITUTE($R127,";",REPT(" ",99)),199,99)))+1,99)),0) + IFERROR(VLOOKUP(LEFT(TRIM(MID(SUBSTITUTE($R127,";",REPT(" ",99)),298,99)),FIND(":",TRIM(MID(SUBSTITUTE($R127,";",REPT(" ",99)),298,99)))-1),Materiales!$A$2:$E$502,5,FALSE)*VALUE(MID(TRIM(MID(SUBSTITUTE($R127,";",REPT(" ",99)),298,99)),FIND(":",TRIM(MID(SUBSTITUTE($R127,";",REPT(" ",99)),298,99)))+1,99)),0) + IFERROR(VLOOKUP(LEFT(TRIM(MID(SUBSTITUTE($R127,";",REPT(" ",99)),397,99)),FIND(":",TRIM(MID(SUBSTITUTE($R127,";",REPT(" ",99)),397,99)))-1),Materiales!$A$2:$E$502,5,FALSE)*VALUE(MID(TRIM(MID(SUBSTITUTE($R127,";",REPT(" ",99)),397,99)),FIND(":",TRIM(MID(SUBSTITUTE($R127,";",REPT(" ",99)),397,99)))+1,99)),0) + IFERROR(VLOOKUP(LEFT(TRIM(MID(SUBSTITUTE($R127,";",REPT(" ",99)),496,99)),FIND(":",TRIM(MID(SUBSTITUTE($R127,";",REPT(" ",99)),496,99)))-1),Materiales!$A$2:$E$502,5,FALSE)*VALUE(MID(TRIM(MID(SUBSTITUTE($R127,";",REPT(" ",99)),496,99)),FIND(":",TRIM(MID(SUBSTITUTE($R127,";",REPT(" ",99)),496,99)))+1,99)),0) + IFERROR(VLOOKUP(LEFT(TRIM(MID(SUBSTITUTE($R127,";",REPT(" ",99)),595,99)),FIND(":",TRIM(MID(SUBSTITUTE($R127,";",REPT(" ",99)),595,99)))-1),Materiales!$A$2:$E$502,5,FALSE)*VALUE(MID(TRIM(MID(SUBSTITUTE($R127,";",REPT(" ",99)),595,99)),FIND(":",TRIM(MID(SUBSTITUTE($R127,";",REPT(" ",99)),595,99)))+1,99)),0) + IFERROR(VLOOKUP(LEFT(TRIM(MID(SUBSTITUTE($R127,";",REPT(" ",99)),694,99)),FIND(":",TRIM(MID(SUBSTITUTE($R127,";",REPT(" ",99)),694,99)))-1),Materiales!$A$2:$E$502,5,FALSE)*VALUE(MID(TRIM(MID(SUBSTITUTE($R127,";",REPT(" ",99)),694,99)),FIND(":",TRIM(MID(SUBSTITUTE($R127,";",REPT(" ",99)),694,99)))+1,99)),0) + IFERROR(VLOOKUP(LEFT(TRIM(MID(SUBSTITUTE($R127,";",REPT(" ",99)),793,99)),FIND(":",TRIM(MID(SUBSTITUTE($R127,";",REPT(" ",99)),793,99)))-1),Materiales!$A$2:$E$502,5,FALSE)*VALUE(MID(TRIM(MID(SUBSTITUTE($R127,";",REPT(" ",99)),793,99)),FIND(":",TRIM(MID(SUBSTITUTE($R127,";",REPT(" ",99)),793,99)))+1,99)),0) + IFERROR(VLOOKUP(LEFT(TRIM(MID(SUBSTITUTE($R127,";",REPT(" ",99)),892,99)),FIND(":",TRIM(MID(SUBSTITUTE($R127,";",REPT(" ",99)),892,99)))-1),Materiales!$A$2:$E$502,5,FALSE)*VALUE(MID(TRIM(MID(SUBSTITUTE($R127,";",REPT(" ",99)),892,99)),FIND(":",TRIM(MID(SUBSTITUTE($R127,";",REPT(" ",99)),892,99)))+1,99)),0)))</f>
        <v/>
      </c>
      <c r="T127" s="3"/>
      <c r="U127" s="5" t="str">
        <f t="array" ref="U127">IF($A127="","",IF($T127="",0,IFERROR(VLOOKUP(LEFT(TRIM(MID(SUBSTITUTE($T127,";",REPT(" ",99)),1,99)),FIND(":",TRIM(MID(SUBSTITUTE($T127,";",REPT(" ",99)),1,99)))-1),Materiales!$A$2:$E$502,5,FALSE)*VALUE(MID(TRIM(MID(SUBSTITUTE($T127,";",REPT(" ",99)),1,99)),FIND(":",TRIM(MID(SUBSTITUTE($T127,";",REPT(" ",99)),1,99)))+1,99)),0) + IFERROR(VLOOKUP(LEFT(TRIM(MID(SUBSTITUTE($T127,";",REPT(" ",99)),100,99)),FIND(":",TRIM(MID(SUBSTITUTE($T127,";",REPT(" ",99)),100,99)))-1),Materiales!$A$2:$E$502,5,FALSE)*VALUE(MID(TRIM(MID(SUBSTITUTE($T127,";",REPT(" ",99)),100,99)),FIND(":",TRIM(MID(SUBSTITUTE($T127,";",REPT(" ",99)),100,99)))+1,99)),0) + IFERROR(VLOOKUP(LEFT(TRIM(MID(SUBSTITUTE($T127,";",REPT(" ",99)),199,99)),FIND(":",TRIM(MID(SUBSTITUTE($T127,";",REPT(" ",99)),199,99)))-1),Materiales!$A$2:$E$502,5,FALSE)*VALUE(MID(TRIM(MID(SUBSTITUTE($T127,";",REPT(" ",99)),199,99)),FIND(":",TRIM(MID(SUBSTITUTE($T127,";",REPT(" ",99)),199,99)))+1,99)),0) + IFERROR(VLOOKUP(LEFT(TRIM(MID(SUBSTITUTE($T127,";",REPT(" ",99)),298,99)),FIND(":",TRIM(MID(SUBSTITUTE($T127,";",REPT(" ",99)),298,99)))-1),Materiales!$A$2:$E$502,5,FALSE)*VALUE(MID(TRIM(MID(SUBSTITUTE($T127,";",REPT(" ",99)),298,99)),FIND(":",TRIM(MID(SUBSTITUTE($T127,";",REPT(" ",99)),298,99)))+1,99)),0) + IFERROR(VLOOKUP(LEFT(TRIM(MID(SUBSTITUTE($T127,";",REPT(" ",99)),397,99)),FIND(":",TRIM(MID(SUBSTITUTE($T127,";",REPT(" ",99)),397,99)))-1),Materiales!$A$2:$E$502,5,FALSE)*VALUE(MID(TRIM(MID(SUBSTITUTE($T127,";",REPT(" ",99)),397,99)),FIND(":",TRIM(MID(SUBSTITUTE($T127,";",REPT(" ",99)),397,99)))+1,99)),0) + IFERROR(VLOOKUP(LEFT(TRIM(MID(SUBSTITUTE($T127,";",REPT(" ",99)),496,99)),FIND(":",TRIM(MID(SUBSTITUTE($T127,";",REPT(" ",99)),496,99)))-1),Materiales!$A$2:$E$502,5,FALSE)*VALUE(MID(TRIM(MID(SUBSTITUTE($T127,";",REPT(" ",99)),496,99)),FIND(":",TRIM(MID(SUBSTITUTE($T127,";",REPT(" ",99)),496,99)))+1,99)),0) + IFERROR(VLOOKUP(LEFT(TRIM(MID(SUBSTITUTE($T127,";",REPT(" ",99)),595,99)),FIND(":",TRIM(MID(SUBSTITUTE($T127,";",REPT(" ",99)),595,99)))-1),Materiales!$A$2:$E$502,5,FALSE)*VALUE(MID(TRIM(MID(SUBSTITUTE($T127,";",REPT(" ",99)),595,99)),FIND(":",TRIM(MID(SUBSTITUTE($T127,";",REPT(" ",99)),595,99)))+1,99)),0) + IFERROR(VLOOKUP(LEFT(TRIM(MID(SUBSTITUTE($T127,";",REPT(" ",99)),694,99)),FIND(":",TRIM(MID(SUBSTITUTE($T127,";",REPT(" ",99)),694,99)))-1),Materiales!$A$2:$E$502,5,FALSE)*VALUE(MID(TRIM(MID(SUBSTITUTE($T127,";",REPT(" ",99)),694,99)),FIND(":",TRIM(MID(SUBSTITUTE($T127,";",REPT(" ",99)),694,99)))+1,99)),0) + IFERROR(VLOOKUP(LEFT(TRIM(MID(SUBSTITUTE($T127,";",REPT(" ",99)),793,99)),FIND(":",TRIM(MID(SUBSTITUTE($T127,";",REPT(" ",99)),793,99)))-1),Materiales!$A$2:$E$502,5,FALSE)*VALUE(MID(TRIM(MID(SUBSTITUTE($T127,";",REPT(" ",99)),793,99)),FIND(":",TRIM(MID(SUBSTITUTE($T127,";",REPT(" ",99)),793,99)))+1,99)),0) + IFERROR(VLOOKUP(LEFT(TRIM(MID(SUBSTITUTE($T127,";",REPT(" ",99)),892,99)),FIND(":",TRIM(MID(SUBSTITUTE($T127,";",REPT(" ",99)),892,99)))-1),Materiales!$A$2:$E$502,5,FALSE)*VALUE(MID(TRIM(MID(SUBSTITUTE($T127,";",REPT(" ",99)),892,99)),FIND(":",TRIM(MID(SUBSTITUTE($T127,";",REPT(" ",99)),892,99)))+1,99)),0)))</f>
        <v/>
      </c>
      <c r="V127" s="3"/>
      <c r="W127" s="5" t="str">
        <f t="array" ref="W127">IF($A127="","",IF($V127="",0,IFERROR(VLOOKUP(LEFT(TRIM(MID(SUBSTITUTE($V127,";",REPT(" ",99)),1,99)),FIND(":",TRIM(MID(SUBSTITUTE($V127,";",REPT(" ",99)),1,99)))-1),Materiales!$A$2:$E$502,5,FALSE)*VALUE(MID(TRIM(MID(SUBSTITUTE($V127,";",REPT(" ",99)),1,99)),FIND(":",TRIM(MID(SUBSTITUTE($V127,";",REPT(" ",99)),1,99)))+1,99)),0) + IFERROR(VLOOKUP(LEFT(TRIM(MID(SUBSTITUTE($V127,";",REPT(" ",99)),100,99)),FIND(":",TRIM(MID(SUBSTITUTE($V127,";",REPT(" ",99)),100,99)))-1),Materiales!$A$2:$E$502,5,FALSE)*VALUE(MID(TRIM(MID(SUBSTITUTE($V127,";",REPT(" ",99)),100,99)),FIND(":",TRIM(MID(SUBSTITUTE($V127,";",REPT(" ",99)),100,99)))+1,99)),0) + IFERROR(VLOOKUP(LEFT(TRIM(MID(SUBSTITUTE($V127,";",REPT(" ",99)),199,99)),FIND(":",TRIM(MID(SUBSTITUTE($V127,";",REPT(" ",99)),199,99)))-1),Materiales!$A$2:$E$502,5,FALSE)*VALUE(MID(TRIM(MID(SUBSTITUTE($V127,";",REPT(" ",99)),199,99)),FIND(":",TRIM(MID(SUBSTITUTE($V127,";",REPT(" ",99)),199,99)))+1,99)),0) + IFERROR(VLOOKUP(LEFT(TRIM(MID(SUBSTITUTE($V127,";",REPT(" ",99)),298,99)),FIND(":",TRIM(MID(SUBSTITUTE($V127,";",REPT(" ",99)),298,99)))-1),Materiales!$A$2:$E$502,5,FALSE)*VALUE(MID(TRIM(MID(SUBSTITUTE($V127,";",REPT(" ",99)),298,99)),FIND(":",TRIM(MID(SUBSTITUTE($V127,";",REPT(" ",99)),298,99)))+1,99)),0) + IFERROR(VLOOKUP(LEFT(TRIM(MID(SUBSTITUTE($V127,";",REPT(" ",99)),397,99)),FIND(":",TRIM(MID(SUBSTITUTE($V127,";",REPT(" ",99)),397,99)))-1),Materiales!$A$2:$E$502,5,FALSE)*VALUE(MID(TRIM(MID(SUBSTITUTE($V127,";",REPT(" ",99)),397,99)),FIND(":",TRIM(MID(SUBSTITUTE($V127,";",REPT(" ",99)),397,99)))+1,99)),0) + IFERROR(VLOOKUP(LEFT(TRIM(MID(SUBSTITUTE($V127,";",REPT(" ",99)),496,99)),FIND(":",TRIM(MID(SUBSTITUTE($V127,";",REPT(" ",99)),496,99)))-1),Materiales!$A$2:$E$502,5,FALSE)*VALUE(MID(TRIM(MID(SUBSTITUTE($V127,";",REPT(" ",99)),496,99)),FIND(":",TRIM(MID(SUBSTITUTE($V127,";",REPT(" ",99)),496,99)))+1,99)),0) + IFERROR(VLOOKUP(LEFT(TRIM(MID(SUBSTITUTE($V127,";",REPT(" ",99)),595,99)),FIND(":",TRIM(MID(SUBSTITUTE($V127,";",REPT(" ",99)),595,99)))-1),Materiales!$A$2:$E$502,5,FALSE)*VALUE(MID(TRIM(MID(SUBSTITUTE($V127,";",REPT(" ",99)),595,99)),FIND(":",TRIM(MID(SUBSTITUTE($V127,";",REPT(" ",99)),595,99)))+1,99)),0) + IFERROR(VLOOKUP(LEFT(TRIM(MID(SUBSTITUTE($V127,";",REPT(" ",99)),694,99)),FIND(":",TRIM(MID(SUBSTITUTE($V127,";",REPT(" ",99)),694,99)))-1),Materiales!$A$2:$E$502,5,FALSE)*VALUE(MID(TRIM(MID(SUBSTITUTE($V127,";",REPT(" ",99)),694,99)),FIND(":",TRIM(MID(SUBSTITUTE($V127,";",REPT(" ",99)),694,99)))+1,99)),0) + IFERROR(VLOOKUP(LEFT(TRIM(MID(SUBSTITUTE($V127,";",REPT(" ",99)),793,99)),FIND(":",TRIM(MID(SUBSTITUTE($V127,";",REPT(" ",99)),793,99)))-1),Materiales!$A$2:$E$502,5,FALSE)*VALUE(MID(TRIM(MID(SUBSTITUTE($V127,";",REPT(" ",99)),793,99)),FIND(":",TRIM(MID(SUBSTITUTE($V127,";",REPT(" ",99)),793,99)))+1,99)),0) + IFERROR(VLOOKUP(LEFT(TRIM(MID(SUBSTITUTE($V127,";",REPT(" ",99)),892,99)),FIND(":",TRIM(MID(SUBSTITUTE($V127,";",REPT(" ",99)),892,99)))-1),Materiales!$A$2:$E$502,5,FALSE)*VALUE(MID(TRIM(MID(SUBSTITUTE($V127,";",REPT(" ",99)),892,99)),FIND(":",TRIM(MID(SUBSTITUTE($V127,";",REPT(" ",99)),892,99)))+1,99)),0)))</f>
        <v/>
      </c>
      <c r="X127" s="39" t="str">
        <f t="shared" si="13"/>
        <v/>
      </c>
      <c r="Y127" s="64"/>
      <c r="Z127" s="41"/>
      <c r="AA127" s="65"/>
      <c r="AB127" s="14"/>
      <c r="AC127" s="66"/>
      <c r="AD127" s="65"/>
      <c r="AE127" s="44">
        <f t="shared" si="17"/>
        <v>0</v>
      </c>
      <c r="AF127" s="45" t="str">
        <f t="shared" si="20"/>
        <v>#DIV/0!</v>
      </c>
    </row>
    <row r="128" ht="15.75" customHeight="1">
      <c r="A128" s="3"/>
      <c r="B128" s="3"/>
      <c r="C128" s="38"/>
      <c r="D128" s="38"/>
      <c r="E128" s="38"/>
      <c r="F128" s="14"/>
      <c r="G128" s="5" t="str">
        <f t="array" ref="G128">IF($A128="","",IFERROR($F128*(N($C128)*XLOOKUP($B128,Ceras!$A$2:$A$500,Ceras!$G$2:$G$500,0)+IF($D128="",0,N($E128)*XLOOKUP($D128,Ceras!$A$2:$A$500,Ceras!$G$2:$G$500,0))),"Revisar cera"))</f>
        <v/>
      </c>
      <c r="H128" s="5"/>
      <c r="I128" s="3"/>
      <c r="J128" s="14"/>
      <c r="K128" s="5" t="str">
        <f t="array" ref="K128">IF($A128="","",IFERROR($J128*XLOOKUP($I128,Pabilos!$A$2:$A$500,Pabilos!$H$2:$H$500,0),"Revisar pabilo"))</f>
        <v/>
      </c>
      <c r="L128" s="3"/>
      <c r="M128" s="14"/>
      <c r="N128" s="5" t="str">
        <f t="array" ref="N128">IF($A128="","",IFERROR($M128*XLOOKUP($L128,Esencias!$A$2:$A$501,Esencias!$G$2:$G$501,0),"Revisar esencia"))</f>
        <v/>
      </c>
      <c r="O128" s="3"/>
      <c r="P128" s="14"/>
      <c r="Q128" s="5" t="str">
        <f t="array" ref="Q128">IF($A128="","",IFERROR(IF($P128="",1,$P128)*XLOOKUP($O128,Colores!$A$2:$A$500,Colores!$H$2:$H$500,0),"Revisar color"))</f>
        <v/>
      </c>
      <c r="R128" s="3"/>
      <c r="S128" s="5" t="str">
        <f t="array" ref="S128">IF($A128="","",IF($R128="",0,IFERROR(VLOOKUP(LEFT(TRIM(MID(SUBSTITUTE($R128,";",REPT(" ",99)),1,99)),FIND(":",TRIM(MID(SUBSTITUTE($R128,";",REPT(" ",99)),1,99)))-1),Materiales!$A$2:$E$502,5,FALSE)*VALUE(MID(TRIM(MID(SUBSTITUTE($R128,";",REPT(" ",99)),1,99)),FIND(":",TRIM(MID(SUBSTITUTE($R128,";",REPT(" ",99)),1,99)))+1,99)),0) + IFERROR(VLOOKUP(LEFT(TRIM(MID(SUBSTITUTE($R128,";",REPT(" ",99)),100,99)),FIND(":",TRIM(MID(SUBSTITUTE($R128,";",REPT(" ",99)),100,99)))-1),Materiales!$A$2:$E$502,5,FALSE)*VALUE(MID(TRIM(MID(SUBSTITUTE($R128,";",REPT(" ",99)),100,99)),FIND(":",TRIM(MID(SUBSTITUTE($R128,";",REPT(" ",99)),100,99)))+1,99)),0) + IFERROR(VLOOKUP(LEFT(TRIM(MID(SUBSTITUTE($R128,";",REPT(" ",99)),199,99)),FIND(":",TRIM(MID(SUBSTITUTE($R128,";",REPT(" ",99)),199,99)))-1),Materiales!$A$2:$E$502,5,FALSE)*VALUE(MID(TRIM(MID(SUBSTITUTE($R128,";",REPT(" ",99)),199,99)),FIND(":",TRIM(MID(SUBSTITUTE($R128,";",REPT(" ",99)),199,99)))+1,99)),0) + IFERROR(VLOOKUP(LEFT(TRIM(MID(SUBSTITUTE($R128,";",REPT(" ",99)),298,99)),FIND(":",TRIM(MID(SUBSTITUTE($R128,";",REPT(" ",99)),298,99)))-1),Materiales!$A$2:$E$502,5,FALSE)*VALUE(MID(TRIM(MID(SUBSTITUTE($R128,";",REPT(" ",99)),298,99)),FIND(":",TRIM(MID(SUBSTITUTE($R128,";",REPT(" ",99)),298,99)))+1,99)),0) + IFERROR(VLOOKUP(LEFT(TRIM(MID(SUBSTITUTE($R128,";",REPT(" ",99)),397,99)),FIND(":",TRIM(MID(SUBSTITUTE($R128,";",REPT(" ",99)),397,99)))-1),Materiales!$A$2:$E$502,5,FALSE)*VALUE(MID(TRIM(MID(SUBSTITUTE($R128,";",REPT(" ",99)),397,99)),FIND(":",TRIM(MID(SUBSTITUTE($R128,";",REPT(" ",99)),397,99)))+1,99)),0) + IFERROR(VLOOKUP(LEFT(TRIM(MID(SUBSTITUTE($R128,";",REPT(" ",99)),496,99)),FIND(":",TRIM(MID(SUBSTITUTE($R128,";",REPT(" ",99)),496,99)))-1),Materiales!$A$2:$E$502,5,FALSE)*VALUE(MID(TRIM(MID(SUBSTITUTE($R128,";",REPT(" ",99)),496,99)),FIND(":",TRIM(MID(SUBSTITUTE($R128,";",REPT(" ",99)),496,99)))+1,99)),0) + IFERROR(VLOOKUP(LEFT(TRIM(MID(SUBSTITUTE($R128,";",REPT(" ",99)),595,99)),FIND(":",TRIM(MID(SUBSTITUTE($R128,";",REPT(" ",99)),595,99)))-1),Materiales!$A$2:$E$502,5,FALSE)*VALUE(MID(TRIM(MID(SUBSTITUTE($R128,";",REPT(" ",99)),595,99)),FIND(":",TRIM(MID(SUBSTITUTE($R128,";",REPT(" ",99)),595,99)))+1,99)),0) + IFERROR(VLOOKUP(LEFT(TRIM(MID(SUBSTITUTE($R128,";",REPT(" ",99)),694,99)),FIND(":",TRIM(MID(SUBSTITUTE($R128,";",REPT(" ",99)),694,99)))-1),Materiales!$A$2:$E$502,5,FALSE)*VALUE(MID(TRIM(MID(SUBSTITUTE($R128,";",REPT(" ",99)),694,99)),FIND(":",TRIM(MID(SUBSTITUTE($R128,";",REPT(" ",99)),694,99)))+1,99)),0) + IFERROR(VLOOKUP(LEFT(TRIM(MID(SUBSTITUTE($R128,";",REPT(" ",99)),793,99)),FIND(":",TRIM(MID(SUBSTITUTE($R128,";",REPT(" ",99)),793,99)))-1),Materiales!$A$2:$E$502,5,FALSE)*VALUE(MID(TRIM(MID(SUBSTITUTE($R128,";",REPT(" ",99)),793,99)),FIND(":",TRIM(MID(SUBSTITUTE($R128,";",REPT(" ",99)),793,99)))+1,99)),0) + IFERROR(VLOOKUP(LEFT(TRIM(MID(SUBSTITUTE($R128,";",REPT(" ",99)),892,99)),FIND(":",TRIM(MID(SUBSTITUTE($R128,";",REPT(" ",99)),892,99)))-1),Materiales!$A$2:$E$502,5,FALSE)*VALUE(MID(TRIM(MID(SUBSTITUTE($R128,";",REPT(" ",99)),892,99)),FIND(":",TRIM(MID(SUBSTITUTE($R128,";",REPT(" ",99)),892,99)))+1,99)),0)))</f>
        <v/>
      </c>
      <c r="T128" s="3"/>
      <c r="U128" s="5" t="str">
        <f t="array" ref="U128">IF($A128="","",IF($T128="",0,IFERROR(VLOOKUP(LEFT(TRIM(MID(SUBSTITUTE($T128,";",REPT(" ",99)),1,99)),FIND(":",TRIM(MID(SUBSTITUTE($T128,";",REPT(" ",99)),1,99)))-1),Materiales!$A$2:$E$502,5,FALSE)*VALUE(MID(TRIM(MID(SUBSTITUTE($T128,";",REPT(" ",99)),1,99)),FIND(":",TRIM(MID(SUBSTITUTE($T128,";",REPT(" ",99)),1,99)))+1,99)),0) + IFERROR(VLOOKUP(LEFT(TRIM(MID(SUBSTITUTE($T128,";",REPT(" ",99)),100,99)),FIND(":",TRIM(MID(SUBSTITUTE($T128,";",REPT(" ",99)),100,99)))-1),Materiales!$A$2:$E$502,5,FALSE)*VALUE(MID(TRIM(MID(SUBSTITUTE($T128,";",REPT(" ",99)),100,99)),FIND(":",TRIM(MID(SUBSTITUTE($T128,";",REPT(" ",99)),100,99)))+1,99)),0) + IFERROR(VLOOKUP(LEFT(TRIM(MID(SUBSTITUTE($T128,";",REPT(" ",99)),199,99)),FIND(":",TRIM(MID(SUBSTITUTE($T128,";",REPT(" ",99)),199,99)))-1),Materiales!$A$2:$E$502,5,FALSE)*VALUE(MID(TRIM(MID(SUBSTITUTE($T128,";",REPT(" ",99)),199,99)),FIND(":",TRIM(MID(SUBSTITUTE($T128,";",REPT(" ",99)),199,99)))+1,99)),0) + IFERROR(VLOOKUP(LEFT(TRIM(MID(SUBSTITUTE($T128,";",REPT(" ",99)),298,99)),FIND(":",TRIM(MID(SUBSTITUTE($T128,";",REPT(" ",99)),298,99)))-1),Materiales!$A$2:$E$502,5,FALSE)*VALUE(MID(TRIM(MID(SUBSTITUTE($T128,";",REPT(" ",99)),298,99)),FIND(":",TRIM(MID(SUBSTITUTE($T128,";",REPT(" ",99)),298,99)))+1,99)),0) + IFERROR(VLOOKUP(LEFT(TRIM(MID(SUBSTITUTE($T128,";",REPT(" ",99)),397,99)),FIND(":",TRIM(MID(SUBSTITUTE($T128,";",REPT(" ",99)),397,99)))-1),Materiales!$A$2:$E$502,5,FALSE)*VALUE(MID(TRIM(MID(SUBSTITUTE($T128,";",REPT(" ",99)),397,99)),FIND(":",TRIM(MID(SUBSTITUTE($T128,";",REPT(" ",99)),397,99)))+1,99)),0) + IFERROR(VLOOKUP(LEFT(TRIM(MID(SUBSTITUTE($T128,";",REPT(" ",99)),496,99)),FIND(":",TRIM(MID(SUBSTITUTE($T128,";",REPT(" ",99)),496,99)))-1),Materiales!$A$2:$E$502,5,FALSE)*VALUE(MID(TRIM(MID(SUBSTITUTE($T128,";",REPT(" ",99)),496,99)),FIND(":",TRIM(MID(SUBSTITUTE($T128,";",REPT(" ",99)),496,99)))+1,99)),0) + IFERROR(VLOOKUP(LEFT(TRIM(MID(SUBSTITUTE($T128,";",REPT(" ",99)),595,99)),FIND(":",TRIM(MID(SUBSTITUTE($T128,";",REPT(" ",99)),595,99)))-1),Materiales!$A$2:$E$502,5,FALSE)*VALUE(MID(TRIM(MID(SUBSTITUTE($T128,";",REPT(" ",99)),595,99)),FIND(":",TRIM(MID(SUBSTITUTE($T128,";",REPT(" ",99)),595,99)))+1,99)),0) + IFERROR(VLOOKUP(LEFT(TRIM(MID(SUBSTITUTE($T128,";",REPT(" ",99)),694,99)),FIND(":",TRIM(MID(SUBSTITUTE($T128,";",REPT(" ",99)),694,99)))-1),Materiales!$A$2:$E$502,5,FALSE)*VALUE(MID(TRIM(MID(SUBSTITUTE($T128,";",REPT(" ",99)),694,99)),FIND(":",TRIM(MID(SUBSTITUTE($T128,";",REPT(" ",99)),694,99)))+1,99)),0) + IFERROR(VLOOKUP(LEFT(TRIM(MID(SUBSTITUTE($T128,";",REPT(" ",99)),793,99)),FIND(":",TRIM(MID(SUBSTITUTE($T128,";",REPT(" ",99)),793,99)))-1),Materiales!$A$2:$E$502,5,FALSE)*VALUE(MID(TRIM(MID(SUBSTITUTE($T128,";",REPT(" ",99)),793,99)),FIND(":",TRIM(MID(SUBSTITUTE($T128,";",REPT(" ",99)),793,99)))+1,99)),0) + IFERROR(VLOOKUP(LEFT(TRIM(MID(SUBSTITUTE($T128,";",REPT(" ",99)),892,99)),FIND(":",TRIM(MID(SUBSTITUTE($T128,";",REPT(" ",99)),892,99)))-1),Materiales!$A$2:$E$502,5,FALSE)*VALUE(MID(TRIM(MID(SUBSTITUTE($T128,";",REPT(" ",99)),892,99)),FIND(":",TRIM(MID(SUBSTITUTE($T128,";",REPT(" ",99)),892,99)))+1,99)),0)))</f>
        <v/>
      </c>
      <c r="V128" s="3"/>
      <c r="W128" s="5" t="str">
        <f t="array" ref="W128">IF($A128="","",IF($V128="",0,IFERROR(VLOOKUP(LEFT(TRIM(MID(SUBSTITUTE($V128,";",REPT(" ",99)),1,99)),FIND(":",TRIM(MID(SUBSTITUTE($V128,";",REPT(" ",99)),1,99)))-1),Materiales!$A$2:$E$502,5,FALSE)*VALUE(MID(TRIM(MID(SUBSTITUTE($V128,";",REPT(" ",99)),1,99)),FIND(":",TRIM(MID(SUBSTITUTE($V128,";",REPT(" ",99)),1,99)))+1,99)),0) + IFERROR(VLOOKUP(LEFT(TRIM(MID(SUBSTITUTE($V128,";",REPT(" ",99)),100,99)),FIND(":",TRIM(MID(SUBSTITUTE($V128,";",REPT(" ",99)),100,99)))-1),Materiales!$A$2:$E$502,5,FALSE)*VALUE(MID(TRIM(MID(SUBSTITUTE($V128,";",REPT(" ",99)),100,99)),FIND(":",TRIM(MID(SUBSTITUTE($V128,";",REPT(" ",99)),100,99)))+1,99)),0) + IFERROR(VLOOKUP(LEFT(TRIM(MID(SUBSTITUTE($V128,";",REPT(" ",99)),199,99)),FIND(":",TRIM(MID(SUBSTITUTE($V128,";",REPT(" ",99)),199,99)))-1),Materiales!$A$2:$E$502,5,FALSE)*VALUE(MID(TRIM(MID(SUBSTITUTE($V128,";",REPT(" ",99)),199,99)),FIND(":",TRIM(MID(SUBSTITUTE($V128,";",REPT(" ",99)),199,99)))+1,99)),0) + IFERROR(VLOOKUP(LEFT(TRIM(MID(SUBSTITUTE($V128,";",REPT(" ",99)),298,99)),FIND(":",TRIM(MID(SUBSTITUTE($V128,";",REPT(" ",99)),298,99)))-1),Materiales!$A$2:$E$502,5,FALSE)*VALUE(MID(TRIM(MID(SUBSTITUTE($V128,";",REPT(" ",99)),298,99)),FIND(":",TRIM(MID(SUBSTITUTE($V128,";",REPT(" ",99)),298,99)))+1,99)),0) + IFERROR(VLOOKUP(LEFT(TRIM(MID(SUBSTITUTE($V128,";",REPT(" ",99)),397,99)),FIND(":",TRIM(MID(SUBSTITUTE($V128,";",REPT(" ",99)),397,99)))-1),Materiales!$A$2:$E$502,5,FALSE)*VALUE(MID(TRIM(MID(SUBSTITUTE($V128,";",REPT(" ",99)),397,99)),FIND(":",TRIM(MID(SUBSTITUTE($V128,";",REPT(" ",99)),397,99)))+1,99)),0) + IFERROR(VLOOKUP(LEFT(TRIM(MID(SUBSTITUTE($V128,";",REPT(" ",99)),496,99)),FIND(":",TRIM(MID(SUBSTITUTE($V128,";",REPT(" ",99)),496,99)))-1),Materiales!$A$2:$E$502,5,FALSE)*VALUE(MID(TRIM(MID(SUBSTITUTE($V128,";",REPT(" ",99)),496,99)),FIND(":",TRIM(MID(SUBSTITUTE($V128,";",REPT(" ",99)),496,99)))+1,99)),0) + IFERROR(VLOOKUP(LEFT(TRIM(MID(SUBSTITUTE($V128,";",REPT(" ",99)),595,99)),FIND(":",TRIM(MID(SUBSTITUTE($V128,";",REPT(" ",99)),595,99)))-1),Materiales!$A$2:$E$502,5,FALSE)*VALUE(MID(TRIM(MID(SUBSTITUTE($V128,";",REPT(" ",99)),595,99)),FIND(":",TRIM(MID(SUBSTITUTE($V128,";",REPT(" ",99)),595,99)))+1,99)),0) + IFERROR(VLOOKUP(LEFT(TRIM(MID(SUBSTITUTE($V128,";",REPT(" ",99)),694,99)),FIND(":",TRIM(MID(SUBSTITUTE($V128,";",REPT(" ",99)),694,99)))-1),Materiales!$A$2:$E$502,5,FALSE)*VALUE(MID(TRIM(MID(SUBSTITUTE($V128,";",REPT(" ",99)),694,99)),FIND(":",TRIM(MID(SUBSTITUTE($V128,";",REPT(" ",99)),694,99)))+1,99)),0) + IFERROR(VLOOKUP(LEFT(TRIM(MID(SUBSTITUTE($V128,";",REPT(" ",99)),793,99)),FIND(":",TRIM(MID(SUBSTITUTE($V128,";",REPT(" ",99)),793,99)))-1),Materiales!$A$2:$E$502,5,FALSE)*VALUE(MID(TRIM(MID(SUBSTITUTE($V128,";",REPT(" ",99)),793,99)),FIND(":",TRIM(MID(SUBSTITUTE($V128,";",REPT(" ",99)),793,99)))+1,99)),0) + IFERROR(VLOOKUP(LEFT(TRIM(MID(SUBSTITUTE($V128,";",REPT(" ",99)),892,99)),FIND(":",TRIM(MID(SUBSTITUTE($V128,";",REPT(" ",99)),892,99)))-1),Materiales!$A$2:$E$502,5,FALSE)*VALUE(MID(TRIM(MID(SUBSTITUTE($V128,";",REPT(" ",99)),892,99)),FIND(":",TRIM(MID(SUBSTITUTE($V128,";",REPT(" ",99)),892,99)))+1,99)),0)))</f>
        <v/>
      </c>
      <c r="X128" s="39" t="str">
        <f t="shared" si="13"/>
        <v/>
      </c>
      <c r="Y128" s="64"/>
      <c r="Z128" s="41"/>
      <c r="AA128" s="65"/>
      <c r="AB128" s="14"/>
      <c r="AC128" s="66"/>
      <c r="AD128" s="65"/>
      <c r="AE128" s="44">
        <f t="shared" si="17"/>
        <v>0</v>
      </c>
      <c r="AF128" s="45" t="str">
        <f t="shared" si="20"/>
        <v>#DIV/0!</v>
      </c>
    </row>
    <row r="129" ht="15.75" customHeight="1">
      <c r="A129" s="3"/>
      <c r="B129" s="3"/>
      <c r="C129" s="38"/>
      <c r="D129" s="38"/>
      <c r="E129" s="38"/>
      <c r="F129" s="14"/>
      <c r="G129" s="5" t="str">
        <f t="array" ref="G129">IF($A129="","",IFERROR($F129*(N($C129)*XLOOKUP($B129,Ceras!$A$2:$A$500,Ceras!$G$2:$G$500,0)+IF($D129="",0,N($E129)*XLOOKUP($D129,Ceras!$A$2:$A$500,Ceras!$G$2:$G$500,0))),"Revisar cera"))</f>
        <v/>
      </c>
      <c r="H129" s="5"/>
      <c r="I129" s="3"/>
      <c r="J129" s="14"/>
      <c r="K129" s="5" t="str">
        <f t="array" ref="K129">IF($A129="","",IFERROR($J129*XLOOKUP($I129,Pabilos!$A$2:$A$500,Pabilos!$H$2:$H$500,0),"Revisar pabilo"))</f>
        <v/>
      </c>
      <c r="L129" s="3"/>
      <c r="M129" s="14"/>
      <c r="N129" s="5" t="str">
        <f t="array" ref="N129">IF($A129="","",IFERROR($M129*XLOOKUP($L129,Esencias!$A$2:$A$501,Esencias!$G$2:$G$501,0),"Revisar esencia"))</f>
        <v/>
      </c>
      <c r="O129" s="3"/>
      <c r="P129" s="14"/>
      <c r="Q129" s="5" t="str">
        <f t="array" ref="Q129">IF($A129="","",IFERROR(IF($P129="",1,$P129)*XLOOKUP($O129,Colores!$A$2:$A$500,Colores!$H$2:$H$500,0),"Revisar color"))</f>
        <v/>
      </c>
      <c r="R129" s="3"/>
      <c r="S129" s="5" t="str">
        <f t="array" ref="S129">IF($A129="","",IF($R129="",0,IFERROR(VLOOKUP(LEFT(TRIM(MID(SUBSTITUTE($R129,";",REPT(" ",99)),1,99)),FIND(":",TRIM(MID(SUBSTITUTE($R129,";",REPT(" ",99)),1,99)))-1),Materiales!$A$2:$E$502,5,FALSE)*VALUE(MID(TRIM(MID(SUBSTITUTE($R129,";",REPT(" ",99)),1,99)),FIND(":",TRIM(MID(SUBSTITUTE($R129,";",REPT(" ",99)),1,99)))+1,99)),0) + IFERROR(VLOOKUP(LEFT(TRIM(MID(SUBSTITUTE($R129,";",REPT(" ",99)),100,99)),FIND(":",TRIM(MID(SUBSTITUTE($R129,";",REPT(" ",99)),100,99)))-1),Materiales!$A$2:$E$502,5,FALSE)*VALUE(MID(TRIM(MID(SUBSTITUTE($R129,";",REPT(" ",99)),100,99)),FIND(":",TRIM(MID(SUBSTITUTE($R129,";",REPT(" ",99)),100,99)))+1,99)),0) + IFERROR(VLOOKUP(LEFT(TRIM(MID(SUBSTITUTE($R129,";",REPT(" ",99)),199,99)),FIND(":",TRIM(MID(SUBSTITUTE($R129,";",REPT(" ",99)),199,99)))-1),Materiales!$A$2:$E$502,5,FALSE)*VALUE(MID(TRIM(MID(SUBSTITUTE($R129,";",REPT(" ",99)),199,99)),FIND(":",TRIM(MID(SUBSTITUTE($R129,";",REPT(" ",99)),199,99)))+1,99)),0) + IFERROR(VLOOKUP(LEFT(TRIM(MID(SUBSTITUTE($R129,";",REPT(" ",99)),298,99)),FIND(":",TRIM(MID(SUBSTITUTE($R129,";",REPT(" ",99)),298,99)))-1),Materiales!$A$2:$E$502,5,FALSE)*VALUE(MID(TRIM(MID(SUBSTITUTE($R129,";",REPT(" ",99)),298,99)),FIND(":",TRIM(MID(SUBSTITUTE($R129,";",REPT(" ",99)),298,99)))+1,99)),0) + IFERROR(VLOOKUP(LEFT(TRIM(MID(SUBSTITUTE($R129,";",REPT(" ",99)),397,99)),FIND(":",TRIM(MID(SUBSTITUTE($R129,";",REPT(" ",99)),397,99)))-1),Materiales!$A$2:$E$502,5,FALSE)*VALUE(MID(TRIM(MID(SUBSTITUTE($R129,";",REPT(" ",99)),397,99)),FIND(":",TRIM(MID(SUBSTITUTE($R129,";",REPT(" ",99)),397,99)))+1,99)),0) + IFERROR(VLOOKUP(LEFT(TRIM(MID(SUBSTITUTE($R129,";",REPT(" ",99)),496,99)),FIND(":",TRIM(MID(SUBSTITUTE($R129,";",REPT(" ",99)),496,99)))-1),Materiales!$A$2:$E$502,5,FALSE)*VALUE(MID(TRIM(MID(SUBSTITUTE($R129,";",REPT(" ",99)),496,99)),FIND(":",TRIM(MID(SUBSTITUTE($R129,";",REPT(" ",99)),496,99)))+1,99)),0) + IFERROR(VLOOKUP(LEFT(TRIM(MID(SUBSTITUTE($R129,";",REPT(" ",99)),595,99)),FIND(":",TRIM(MID(SUBSTITUTE($R129,";",REPT(" ",99)),595,99)))-1),Materiales!$A$2:$E$502,5,FALSE)*VALUE(MID(TRIM(MID(SUBSTITUTE($R129,";",REPT(" ",99)),595,99)),FIND(":",TRIM(MID(SUBSTITUTE($R129,";",REPT(" ",99)),595,99)))+1,99)),0) + IFERROR(VLOOKUP(LEFT(TRIM(MID(SUBSTITUTE($R129,";",REPT(" ",99)),694,99)),FIND(":",TRIM(MID(SUBSTITUTE($R129,";",REPT(" ",99)),694,99)))-1),Materiales!$A$2:$E$502,5,FALSE)*VALUE(MID(TRIM(MID(SUBSTITUTE($R129,";",REPT(" ",99)),694,99)),FIND(":",TRIM(MID(SUBSTITUTE($R129,";",REPT(" ",99)),694,99)))+1,99)),0) + IFERROR(VLOOKUP(LEFT(TRIM(MID(SUBSTITUTE($R129,";",REPT(" ",99)),793,99)),FIND(":",TRIM(MID(SUBSTITUTE($R129,";",REPT(" ",99)),793,99)))-1),Materiales!$A$2:$E$502,5,FALSE)*VALUE(MID(TRIM(MID(SUBSTITUTE($R129,";",REPT(" ",99)),793,99)),FIND(":",TRIM(MID(SUBSTITUTE($R129,";",REPT(" ",99)),793,99)))+1,99)),0) + IFERROR(VLOOKUP(LEFT(TRIM(MID(SUBSTITUTE($R129,";",REPT(" ",99)),892,99)),FIND(":",TRIM(MID(SUBSTITUTE($R129,";",REPT(" ",99)),892,99)))-1),Materiales!$A$2:$E$502,5,FALSE)*VALUE(MID(TRIM(MID(SUBSTITUTE($R129,";",REPT(" ",99)),892,99)),FIND(":",TRIM(MID(SUBSTITUTE($R129,";",REPT(" ",99)),892,99)))+1,99)),0)))</f>
        <v/>
      </c>
      <c r="T129" s="3"/>
      <c r="U129" s="5" t="str">
        <f t="array" ref="U129">IF($A129="","",IF($T129="",0,IFERROR(VLOOKUP(LEFT(TRIM(MID(SUBSTITUTE($T129,";",REPT(" ",99)),1,99)),FIND(":",TRIM(MID(SUBSTITUTE($T129,";",REPT(" ",99)),1,99)))-1),Materiales!$A$2:$E$502,5,FALSE)*VALUE(MID(TRIM(MID(SUBSTITUTE($T129,";",REPT(" ",99)),1,99)),FIND(":",TRIM(MID(SUBSTITUTE($T129,";",REPT(" ",99)),1,99)))+1,99)),0) + IFERROR(VLOOKUP(LEFT(TRIM(MID(SUBSTITUTE($T129,";",REPT(" ",99)),100,99)),FIND(":",TRIM(MID(SUBSTITUTE($T129,";",REPT(" ",99)),100,99)))-1),Materiales!$A$2:$E$502,5,FALSE)*VALUE(MID(TRIM(MID(SUBSTITUTE($T129,";",REPT(" ",99)),100,99)),FIND(":",TRIM(MID(SUBSTITUTE($T129,";",REPT(" ",99)),100,99)))+1,99)),0) + IFERROR(VLOOKUP(LEFT(TRIM(MID(SUBSTITUTE($T129,";",REPT(" ",99)),199,99)),FIND(":",TRIM(MID(SUBSTITUTE($T129,";",REPT(" ",99)),199,99)))-1),Materiales!$A$2:$E$502,5,FALSE)*VALUE(MID(TRIM(MID(SUBSTITUTE($T129,";",REPT(" ",99)),199,99)),FIND(":",TRIM(MID(SUBSTITUTE($T129,";",REPT(" ",99)),199,99)))+1,99)),0) + IFERROR(VLOOKUP(LEFT(TRIM(MID(SUBSTITUTE($T129,";",REPT(" ",99)),298,99)),FIND(":",TRIM(MID(SUBSTITUTE($T129,";",REPT(" ",99)),298,99)))-1),Materiales!$A$2:$E$502,5,FALSE)*VALUE(MID(TRIM(MID(SUBSTITUTE($T129,";",REPT(" ",99)),298,99)),FIND(":",TRIM(MID(SUBSTITUTE($T129,";",REPT(" ",99)),298,99)))+1,99)),0) + IFERROR(VLOOKUP(LEFT(TRIM(MID(SUBSTITUTE($T129,";",REPT(" ",99)),397,99)),FIND(":",TRIM(MID(SUBSTITUTE($T129,";",REPT(" ",99)),397,99)))-1),Materiales!$A$2:$E$502,5,FALSE)*VALUE(MID(TRIM(MID(SUBSTITUTE($T129,";",REPT(" ",99)),397,99)),FIND(":",TRIM(MID(SUBSTITUTE($T129,";",REPT(" ",99)),397,99)))+1,99)),0) + IFERROR(VLOOKUP(LEFT(TRIM(MID(SUBSTITUTE($T129,";",REPT(" ",99)),496,99)),FIND(":",TRIM(MID(SUBSTITUTE($T129,";",REPT(" ",99)),496,99)))-1),Materiales!$A$2:$E$502,5,FALSE)*VALUE(MID(TRIM(MID(SUBSTITUTE($T129,";",REPT(" ",99)),496,99)),FIND(":",TRIM(MID(SUBSTITUTE($T129,";",REPT(" ",99)),496,99)))+1,99)),0) + IFERROR(VLOOKUP(LEFT(TRIM(MID(SUBSTITUTE($T129,";",REPT(" ",99)),595,99)),FIND(":",TRIM(MID(SUBSTITUTE($T129,";",REPT(" ",99)),595,99)))-1),Materiales!$A$2:$E$502,5,FALSE)*VALUE(MID(TRIM(MID(SUBSTITUTE($T129,";",REPT(" ",99)),595,99)),FIND(":",TRIM(MID(SUBSTITUTE($T129,";",REPT(" ",99)),595,99)))+1,99)),0) + IFERROR(VLOOKUP(LEFT(TRIM(MID(SUBSTITUTE($T129,";",REPT(" ",99)),694,99)),FIND(":",TRIM(MID(SUBSTITUTE($T129,";",REPT(" ",99)),694,99)))-1),Materiales!$A$2:$E$502,5,FALSE)*VALUE(MID(TRIM(MID(SUBSTITUTE($T129,";",REPT(" ",99)),694,99)),FIND(":",TRIM(MID(SUBSTITUTE($T129,";",REPT(" ",99)),694,99)))+1,99)),0) + IFERROR(VLOOKUP(LEFT(TRIM(MID(SUBSTITUTE($T129,";",REPT(" ",99)),793,99)),FIND(":",TRIM(MID(SUBSTITUTE($T129,";",REPT(" ",99)),793,99)))-1),Materiales!$A$2:$E$502,5,FALSE)*VALUE(MID(TRIM(MID(SUBSTITUTE($T129,";",REPT(" ",99)),793,99)),FIND(":",TRIM(MID(SUBSTITUTE($T129,";",REPT(" ",99)),793,99)))+1,99)),0) + IFERROR(VLOOKUP(LEFT(TRIM(MID(SUBSTITUTE($T129,";",REPT(" ",99)),892,99)),FIND(":",TRIM(MID(SUBSTITUTE($T129,";",REPT(" ",99)),892,99)))-1),Materiales!$A$2:$E$502,5,FALSE)*VALUE(MID(TRIM(MID(SUBSTITUTE($T129,";",REPT(" ",99)),892,99)),FIND(":",TRIM(MID(SUBSTITUTE($T129,";",REPT(" ",99)),892,99)))+1,99)),0)))</f>
        <v/>
      </c>
      <c r="V129" s="3"/>
      <c r="W129" s="5" t="str">
        <f t="array" ref="W129">IF($A129="","",IF($V129="",0,IFERROR(VLOOKUP(LEFT(TRIM(MID(SUBSTITUTE($V129,";",REPT(" ",99)),1,99)),FIND(":",TRIM(MID(SUBSTITUTE($V129,";",REPT(" ",99)),1,99)))-1),Materiales!$A$2:$E$502,5,FALSE)*VALUE(MID(TRIM(MID(SUBSTITUTE($V129,";",REPT(" ",99)),1,99)),FIND(":",TRIM(MID(SUBSTITUTE($V129,";",REPT(" ",99)),1,99)))+1,99)),0) + IFERROR(VLOOKUP(LEFT(TRIM(MID(SUBSTITUTE($V129,";",REPT(" ",99)),100,99)),FIND(":",TRIM(MID(SUBSTITUTE($V129,";",REPT(" ",99)),100,99)))-1),Materiales!$A$2:$E$502,5,FALSE)*VALUE(MID(TRIM(MID(SUBSTITUTE($V129,";",REPT(" ",99)),100,99)),FIND(":",TRIM(MID(SUBSTITUTE($V129,";",REPT(" ",99)),100,99)))+1,99)),0) + IFERROR(VLOOKUP(LEFT(TRIM(MID(SUBSTITUTE($V129,";",REPT(" ",99)),199,99)),FIND(":",TRIM(MID(SUBSTITUTE($V129,";",REPT(" ",99)),199,99)))-1),Materiales!$A$2:$E$502,5,FALSE)*VALUE(MID(TRIM(MID(SUBSTITUTE($V129,";",REPT(" ",99)),199,99)),FIND(":",TRIM(MID(SUBSTITUTE($V129,";",REPT(" ",99)),199,99)))+1,99)),0) + IFERROR(VLOOKUP(LEFT(TRIM(MID(SUBSTITUTE($V129,";",REPT(" ",99)),298,99)),FIND(":",TRIM(MID(SUBSTITUTE($V129,";",REPT(" ",99)),298,99)))-1),Materiales!$A$2:$E$502,5,FALSE)*VALUE(MID(TRIM(MID(SUBSTITUTE($V129,";",REPT(" ",99)),298,99)),FIND(":",TRIM(MID(SUBSTITUTE($V129,";",REPT(" ",99)),298,99)))+1,99)),0) + IFERROR(VLOOKUP(LEFT(TRIM(MID(SUBSTITUTE($V129,";",REPT(" ",99)),397,99)),FIND(":",TRIM(MID(SUBSTITUTE($V129,";",REPT(" ",99)),397,99)))-1),Materiales!$A$2:$E$502,5,FALSE)*VALUE(MID(TRIM(MID(SUBSTITUTE($V129,";",REPT(" ",99)),397,99)),FIND(":",TRIM(MID(SUBSTITUTE($V129,";",REPT(" ",99)),397,99)))+1,99)),0) + IFERROR(VLOOKUP(LEFT(TRIM(MID(SUBSTITUTE($V129,";",REPT(" ",99)),496,99)),FIND(":",TRIM(MID(SUBSTITUTE($V129,";",REPT(" ",99)),496,99)))-1),Materiales!$A$2:$E$502,5,FALSE)*VALUE(MID(TRIM(MID(SUBSTITUTE($V129,";",REPT(" ",99)),496,99)),FIND(":",TRIM(MID(SUBSTITUTE($V129,";",REPT(" ",99)),496,99)))+1,99)),0) + IFERROR(VLOOKUP(LEFT(TRIM(MID(SUBSTITUTE($V129,";",REPT(" ",99)),595,99)),FIND(":",TRIM(MID(SUBSTITUTE($V129,";",REPT(" ",99)),595,99)))-1),Materiales!$A$2:$E$502,5,FALSE)*VALUE(MID(TRIM(MID(SUBSTITUTE($V129,";",REPT(" ",99)),595,99)),FIND(":",TRIM(MID(SUBSTITUTE($V129,";",REPT(" ",99)),595,99)))+1,99)),0) + IFERROR(VLOOKUP(LEFT(TRIM(MID(SUBSTITUTE($V129,";",REPT(" ",99)),694,99)),FIND(":",TRIM(MID(SUBSTITUTE($V129,";",REPT(" ",99)),694,99)))-1),Materiales!$A$2:$E$502,5,FALSE)*VALUE(MID(TRIM(MID(SUBSTITUTE($V129,";",REPT(" ",99)),694,99)),FIND(":",TRIM(MID(SUBSTITUTE($V129,";",REPT(" ",99)),694,99)))+1,99)),0) + IFERROR(VLOOKUP(LEFT(TRIM(MID(SUBSTITUTE($V129,";",REPT(" ",99)),793,99)),FIND(":",TRIM(MID(SUBSTITUTE($V129,";",REPT(" ",99)),793,99)))-1),Materiales!$A$2:$E$502,5,FALSE)*VALUE(MID(TRIM(MID(SUBSTITUTE($V129,";",REPT(" ",99)),793,99)),FIND(":",TRIM(MID(SUBSTITUTE($V129,";",REPT(" ",99)),793,99)))+1,99)),0) + IFERROR(VLOOKUP(LEFT(TRIM(MID(SUBSTITUTE($V129,";",REPT(" ",99)),892,99)),FIND(":",TRIM(MID(SUBSTITUTE($V129,";",REPT(" ",99)),892,99)))-1),Materiales!$A$2:$E$502,5,FALSE)*VALUE(MID(TRIM(MID(SUBSTITUTE($V129,";",REPT(" ",99)),892,99)),FIND(":",TRIM(MID(SUBSTITUTE($V129,";",REPT(" ",99)),892,99)))+1,99)),0)))</f>
        <v/>
      </c>
      <c r="X129" s="39" t="str">
        <f t="shared" si="13"/>
        <v/>
      </c>
      <c r="Y129" s="64"/>
      <c r="Z129" s="41"/>
      <c r="AA129" s="65"/>
      <c r="AB129" s="14"/>
      <c r="AC129" s="66"/>
      <c r="AD129" s="65"/>
      <c r="AE129" s="44">
        <f t="shared" si="17"/>
        <v>0</v>
      </c>
      <c r="AF129" s="45" t="str">
        <f t="shared" si="20"/>
        <v>#DIV/0!</v>
      </c>
    </row>
    <row r="130" ht="15.75" customHeight="1">
      <c r="A130" s="3"/>
      <c r="B130" s="3"/>
      <c r="C130" s="38"/>
      <c r="D130" s="38"/>
      <c r="E130" s="38"/>
      <c r="F130" s="14"/>
      <c r="G130" s="5" t="str">
        <f t="array" ref="G130">IF($A130="","",IFERROR($F130*(N($C130)*XLOOKUP($B130,Ceras!$A$2:$A$500,Ceras!$G$2:$G$500,0)+IF($D130="",0,N($E130)*XLOOKUP($D130,Ceras!$A$2:$A$500,Ceras!$G$2:$G$500,0))),"Revisar cera"))</f>
        <v/>
      </c>
      <c r="H130" s="5"/>
      <c r="I130" s="3"/>
      <c r="J130" s="14"/>
      <c r="K130" s="5" t="str">
        <f t="array" ref="K130">IF($A130="","",IFERROR($J130*XLOOKUP($I130,Pabilos!$A$2:$A$500,Pabilos!$H$2:$H$500,0),"Revisar pabilo"))</f>
        <v/>
      </c>
      <c r="L130" s="3"/>
      <c r="M130" s="14"/>
      <c r="N130" s="5" t="str">
        <f t="array" ref="N130">IF($A130="","",IFERROR($M130*XLOOKUP($L130,Esencias!$A$2:$A$501,Esencias!$G$2:$G$501,0),"Revisar esencia"))</f>
        <v/>
      </c>
      <c r="O130" s="3"/>
      <c r="P130" s="14"/>
      <c r="Q130" s="5" t="str">
        <f t="array" ref="Q130">IF($A130="","",IFERROR(IF($P130="",1,$P130)*XLOOKUP($O130,Colores!$A$2:$A$500,Colores!$H$2:$H$500,0),"Revisar color"))</f>
        <v/>
      </c>
      <c r="R130" s="3"/>
      <c r="S130" s="5" t="str">
        <f t="array" ref="S130">IF($A130="","",IF($R130="",0,IFERROR(VLOOKUP(LEFT(TRIM(MID(SUBSTITUTE($R130,";",REPT(" ",99)),1,99)),FIND(":",TRIM(MID(SUBSTITUTE($R130,";",REPT(" ",99)),1,99)))-1),Materiales!$A$2:$E$502,5,FALSE)*VALUE(MID(TRIM(MID(SUBSTITUTE($R130,";",REPT(" ",99)),1,99)),FIND(":",TRIM(MID(SUBSTITUTE($R130,";",REPT(" ",99)),1,99)))+1,99)),0) + IFERROR(VLOOKUP(LEFT(TRIM(MID(SUBSTITUTE($R130,";",REPT(" ",99)),100,99)),FIND(":",TRIM(MID(SUBSTITUTE($R130,";",REPT(" ",99)),100,99)))-1),Materiales!$A$2:$E$502,5,FALSE)*VALUE(MID(TRIM(MID(SUBSTITUTE($R130,";",REPT(" ",99)),100,99)),FIND(":",TRIM(MID(SUBSTITUTE($R130,";",REPT(" ",99)),100,99)))+1,99)),0) + IFERROR(VLOOKUP(LEFT(TRIM(MID(SUBSTITUTE($R130,";",REPT(" ",99)),199,99)),FIND(":",TRIM(MID(SUBSTITUTE($R130,";",REPT(" ",99)),199,99)))-1),Materiales!$A$2:$E$502,5,FALSE)*VALUE(MID(TRIM(MID(SUBSTITUTE($R130,";",REPT(" ",99)),199,99)),FIND(":",TRIM(MID(SUBSTITUTE($R130,";",REPT(" ",99)),199,99)))+1,99)),0) + IFERROR(VLOOKUP(LEFT(TRIM(MID(SUBSTITUTE($R130,";",REPT(" ",99)),298,99)),FIND(":",TRIM(MID(SUBSTITUTE($R130,";",REPT(" ",99)),298,99)))-1),Materiales!$A$2:$E$502,5,FALSE)*VALUE(MID(TRIM(MID(SUBSTITUTE($R130,";",REPT(" ",99)),298,99)),FIND(":",TRIM(MID(SUBSTITUTE($R130,";",REPT(" ",99)),298,99)))+1,99)),0) + IFERROR(VLOOKUP(LEFT(TRIM(MID(SUBSTITUTE($R130,";",REPT(" ",99)),397,99)),FIND(":",TRIM(MID(SUBSTITUTE($R130,";",REPT(" ",99)),397,99)))-1),Materiales!$A$2:$E$502,5,FALSE)*VALUE(MID(TRIM(MID(SUBSTITUTE($R130,";",REPT(" ",99)),397,99)),FIND(":",TRIM(MID(SUBSTITUTE($R130,";",REPT(" ",99)),397,99)))+1,99)),0) + IFERROR(VLOOKUP(LEFT(TRIM(MID(SUBSTITUTE($R130,";",REPT(" ",99)),496,99)),FIND(":",TRIM(MID(SUBSTITUTE($R130,";",REPT(" ",99)),496,99)))-1),Materiales!$A$2:$E$502,5,FALSE)*VALUE(MID(TRIM(MID(SUBSTITUTE($R130,";",REPT(" ",99)),496,99)),FIND(":",TRIM(MID(SUBSTITUTE($R130,";",REPT(" ",99)),496,99)))+1,99)),0) + IFERROR(VLOOKUP(LEFT(TRIM(MID(SUBSTITUTE($R130,";",REPT(" ",99)),595,99)),FIND(":",TRIM(MID(SUBSTITUTE($R130,";",REPT(" ",99)),595,99)))-1),Materiales!$A$2:$E$502,5,FALSE)*VALUE(MID(TRIM(MID(SUBSTITUTE($R130,";",REPT(" ",99)),595,99)),FIND(":",TRIM(MID(SUBSTITUTE($R130,";",REPT(" ",99)),595,99)))+1,99)),0) + IFERROR(VLOOKUP(LEFT(TRIM(MID(SUBSTITUTE($R130,";",REPT(" ",99)),694,99)),FIND(":",TRIM(MID(SUBSTITUTE($R130,";",REPT(" ",99)),694,99)))-1),Materiales!$A$2:$E$502,5,FALSE)*VALUE(MID(TRIM(MID(SUBSTITUTE($R130,";",REPT(" ",99)),694,99)),FIND(":",TRIM(MID(SUBSTITUTE($R130,";",REPT(" ",99)),694,99)))+1,99)),0) + IFERROR(VLOOKUP(LEFT(TRIM(MID(SUBSTITUTE($R130,";",REPT(" ",99)),793,99)),FIND(":",TRIM(MID(SUBSTITUTE($R130,";",REPT(" ",99)),793,99)))-1),Materiales!$A$2:$E$502,5,FALSE)*VALUE(MID(TRIM(MID(SUBSTITUTE($R130,";",REPT(" ",99)),793,99)),FIND(":",TRIM(MID(SUBSTITUTE($R130,";",REPT(" ",99)),793,99)))+1,99)),0) + IFERROR(VLOOKUP(LEFT(TRIM(MID(SUBSTITUTE($R130,";",REPT(" ",99)),892,99)),FIND(":",TRIM(MID(SUBSTITUTE($R130,";",REPT(" ",99)),892,99)))-1),Materiales!$A$2:$E$502,5,FALSE)*VALUE(MID(TRIM(MID(SUBSTITUTE($R130,";",REPT(" ",99)),892,99)),FIND(":",TRIM(MID(SUBSTITUTE($R130,";",REPT(" ",99)),892,99)))+1,99)),0)))</f>
        <v/>
      </c>
      <c r="T130" s="3"/>
      <c r="U130" s="5" t="str">
        <f t="array" ref="U130">IF($A130="","",IF($T130="",0,IFERROR(VLOOKUP(LEFT(TRIM(MID(SUBSTITUTE($T130,";",REPT(" ",99)),1,99)),FIND(":",TRIM(MID(SUBSTITUTE($T130,";",REPT(" ",99)),1,99)))-1),Materiales!$A$2:$E$502,5,FALSE)*VALUE(MID(TRIM(MID(SUBSTITUTE($T130,";",REPT(" ",99)),1,99)),FIND(":",TRIM(MID(SUBSTITUTE($T130,";",REPT(" ",99)),1,99)))+1,99)),0) + IFERROR(VLOOKUP(LEFT(TRIM(MID(SUBSTITUTE($T130,";",REPT(" ",99)),100,99)),FIND(":",TRIM(MID(SUBSTITUTE($T130,";",REPT(" ",99)),100,99)))-1),Materiales!$A$2:$E$502,5,FALSE)*VALUE(MID(TRIM(MID(SUBSTITUTE($T130,";",REPT(" ",99)),100,99)),FIND(":",TRIM(MID(SUBSTITUTE($T130,";",REPT(" ",99)),100,99)))+1,99)),0) + IFERROR(VLOOKUP(LEFT(TRIM(MID(SUBSTITUTE($T130,";",REPT(" ",99)),199,99)),FIND(":",TRIM(MID(SUBSTITUTE($T130,";",REPT(" ",99)),199,99)))-1),Materiales!$A$2:$E$502,5,FALSE)*VALUE(MID(TRIM(MID(SUBSTITUTE($T130,";",REPT(" ",99)),199,99)),FIND(":",TRIM(MID(SUBSTITUTE($T130,";",REPT(" ",99)),199,99)))+1,99)),0) + IFERROR(VLOOKUP(LEFT(TRIM(MID(SUBSTITUTE($T130,";",REPT(" ",99)),298,99)),FIND(":",TRIM(MID(SUBSTITUTE($T130,";",REPT(" ",99)),298,99)))-1),Materiales!$A$2:$E$502,5,FALSE)*VALUE(MID(TRIM(MID(SUBSTITUTE($T130,";",REPT(" ",99)),298,99)),FIND(":",TRIM(MID(SUBSTITUTE($T130,";",REPT(" ",99)),298,99)))+1,99)),0) + IFERROR(VLOOKUP(LEFT(TRIM(MID(SUBSTITUTE($T130,";",REPT(" ",99)),397,99)),FIND(":",TRIM(MID(SUBSTITUTE($T130,";",REPT(" ",99)),397,99)))-1),Materiales!$A$2:$E$502,5,FALSE)*VALUE(MID(TRIM(MID(SUBSTITUTE($T130,";",REPT(" ",99)),397,99)),FIND(":",TRIM(MID(SUBSTITUTE($T130,";",REPT(" ",99)),397,99)))+1,99)),0) + IFERROR(VLOOKUP(LEFT(TRIM(MID(SUBSTITUTE($T130,";",REPT(" ",99)),496,99)),FIND(":",TRIM(MID(SUBSTITUTE($T130,";",REPT(" ",99)),496,99)))-1),Materiales!$A$2:$E$502,5,FALSE)*VALUE(MID(TRIM(MID(SUBSTITUTE($T130,";",REPT(" ",99)),496,99)),FIND(":",TRIM(MID(SUBSTITUTE($T130,";",REPT(" ",99)),496,99)))+1,99)),0) + IFERROR(VLOOKUP(LEFT(TRIM(MID(SUBSTITUTE($T130,";",REPT(" ",99)),595,99)),FIND(":",TRIM(MID(SUBSTITUTE($T130,";",REPT(" ",99)),595,99)))-1),Materiales!$A$2:$E$502,5,FALSE)*VALUE(MID(TRIM(MID(SUBSTITUTE($T130,";",REPT(" ",99)),595,99)),FIND(":",TRIM(MID(SUBSTITUTE($T130,";",REPT(" ",99)),595,99)))+1,99)),0) + IFERROR(VLOOKUP(LEFT(TRIM(MID(SUBSTITUTE($T130,";",REPT(" ",99)),694,99)),FIND(":",TRIM(MID(SUBSTITUTE($T130,";",REPT(" ",99)),694,99)))-1),Materiales!$A$2:$E$502,5,FALSE)*VALUE(MID(TRIM(MID(SUBSTITUTE($T130,";",REPT(" ",99)),694,99)),FIND(":",TRIM(MID(SUBSTITUTE($T130,";",REPT(" ",99)),694,99)))+1,99)),0) + IFERROR(VLOOKUP(LEFT(TRIM(MID(SUBSTITUTE($T130,";",REPT(" ",99)),793,99)),FIND(":",TRIM(MID(SUBSTITUTE($T130,";",REPT(" ",99)),793,99)))-1),Materiales!$A$2:$E$502,5,FALSE)*VALUE(MID(TRIM(MID(SUBSTITUTE($T130,";",REPT(" ",99)),793,99)),FIND(":",TRIM(MID(SUBSTITUTE($T130,";",REPT(" ",99)),793,99)))+1,99)),0) + IFERROR(VLOOKUP(LEFT(TRIM(MID(SUBSTITUTE($T130,";",REPT(" ",99)),892,99)),FIND(":",TRIM(MID(SUBSTITUTE($T130,";",REPT(" ",99)),892,99)))-1),Materiales!$A$2:$E$502,5,FALSE)*VALUE(MID(TRIM(MID(SUBSTITUTE($T130,";",REPT(" ",99)),892,99)),FIND(":",TRIM(MID(SUBSTITUTE($T130,";",REPT(" ",99)),892,99)))+1,99)),0)))</f>
        <v/>
      </c>
      <c r="V130" s="3"/>
      <c r="W130" s="5" t="str">
        <f t="array" ref="W130">IF($A130="","",IF($V130="",0,IFERROR(VLOOKUP(LEFT(TRIM(MID(SUBSTITUTE($V130,";",REPT(" ",99)),1,99)),FIND(":",TRIM(MID(SUBSTITUTE($V130,";",REPT(" ",99)),1,99)))-1),Materiales!$A$2:$E$502,5,FALSE)*VALUE(MID(TRIM(MID(SUBSTITUTE($V130,";",REPT(" ",99)),1,99)),FIND(":",TRIM(MID(SUBSTITUTE($V130,";",REPT(" ",99)),1,99)))+1,99)),0) + IFERROR(VLOOKUP(LEFT(TRIM(MID(SUBSTITUTE($V130,";",REPT(" ",99)),100,99)),FIND(":",TRIM(MID(SUBSTITUTE($V130,";",REPT(" ",99)),100,99)))-1),Materiales!$A$2:$E$502,5,FALSE)*VALUE(MID(TRIM(MID(SUBSTITUTE($V130,";",REPT(" ",99)),100,99)),FIND(":",TRIM(MID(SUBSTITUTE($V130,";",REPT(" ",99)),100,99)))+1,99)),0) + IFERROR(VLOOKUP(LEFT(TRIM(MID(SUBSTITUTE($V130,";",REPT(" ",99)),199,99)),FIND(":",TRIM(MID(SUBSTITUTE($V130,";",REPT(" ",99)),199,99)))-1),Materiales!$A$2:$E$502,5,FALSE)*VALUE(MID(TRIM(MID(SUBSTITUTE($V130,";",REPT(" ",99)),199,99)),FIND(":",TRIM(MID(SUBSTITUTE($V130,";",REPT(" ",99)),199,99)))+1,99)),0) + IFERROR(VLOOKUP(LEFT(TRIM(MID(SUBSTITUTE($V130,";",REPT(" ",99)),298,99)),FIND(":",TRIM(MID(SUBSTITUTE($V130,";",REPT(" ",99)),298,99)))-1),Materiales!$A$2:$E$502,5,FALSE)*VALUE(MID(TRIM(MID(SUBSTITUTE($V130,";",REPT(" ",99)),298,99)),FIND(":",TRIM(MID(SUBSTITUTE($V130,";",REPT(" ",99)),298,99)))+1,99)),0) + IFERROR(VLOOKUP(LEFT(TRIM(MID(SUBSTITUTE($V130,";",REPT(" ",99)),397,99)),FIND(":",TRIM(MID(SUBSTITUTE($V130,";",REPT(" ",99)),397,99)))-1),Materiales!$A$2:$E$502,5,FALSE)*VALUE(MID(TRIM(MID(SUBSTITUTE($V130,";",REPT(" ",99)),397,99)),FIND(":",TRIM(MID(SUBSTITUTE($V130,";",REPT(" ",99)),397,99)))+1,99)),0) + IFERROR(VLOOKUP(LEFT(TRIM(MID(SUBSTITUTE($V130,";",REPT(" ",99)),496,99)),FIND(":",TRIM(MID(SUBSTITUTE($V130,";",REPT(" ",99)),496,99)))-1),Materiales!$A$2:$E$502,5,FALSE)*VALUE(MID(TRIM(MID(SUBSTITUTE($V130,";",REPT(" ",99)),496,99)),FIND(":",TRIM(MID(SUBSTITUTE($V130,";",REPT(" ",99)),496,99)))+1,99)),0) + IFERROR(VLOOKUP(LEFT(TRIM(MID(SUBSTITUTE($V130,";",REPT(" ",99)),595,99)),FIND(":",TRIM(MID(SUBSTITUTE($V130,";",REPT(" ",99)),595,99)))-1),Materiales!$A$2:$E$502,5,FALSE)*VALUE(MID(TRIM(MID(SUBSTITUTE($V130,";",REPT(" ",99)),595,99)),FIND(":",TRIM(MID(SUBSTITUTE($V130,";",REPT(" ",99)),595,99)))+1,99)),0) + IFERROR(VLOOKUP(LEFT(TRIM(MID(SUBSTITUTE($V130,";",REPT(" ",99)),694,99)),FIND(":",TRIM(MID(SUBSTITUTE($V130,";",REPT(" ",99)),694,99)))-1),Materiales!$A$2:$E$502,5,FALSE)*VALUE(MID(TRIM(MID(SUBSTITUTE($V130,";",REPT(" ",99)),694,99)),FIND(":",TRIM(MID(SUBSTITUTE($V130,";",REPT(" ",99)),694,99)))+1,99)),0) + IFERROR(VLOOKUP(LEFT(TRIM(MID(SUBSTITUTE($V130,";",REPT(" ",99)),793,99)),FIND(":",TRIM(MID(SUBSTITUTE($V130,";",REPT(" ",99)),793,99)))-1),Materiales!$A$2:$E$502,5,FALSE)*VALUE(MID(TRIM(MID(SUBSTITUTE($V130,";",REPT(" ",99)),793,99)),FIND(":",TRIM(MID(SUBSTITUTE($V130,";",REPT(" ",99)),793,99)))+1,99)),0) + IFERROR(VLOOKUP(LEFT(TRIM(MID(SUBSTITUTE($V130,";",REPT(" ",99)),892,99)),FIND(":",TRIM(MID(SUBSTITUTE($V130,";",REPT(" ",99)),892,99)))-1),Materiales!$A$2:$E$502,5,FALSE)*VALUE(MID(TRIM(MID(SUBSTITUTE($V130,";",REPT(" ",99)),892,99)),FIND(":",TRIM(MID(SUBSTITUTE($V130,";",REPT(" ",99)),892,99)))+1,99)),0)))</f>
        <v/>
      </c>
      <c r="X130" s="39" t="str">
        <f t="shared" si="13"/>
        <v/>
      </c>
      <c r="Y130" s="64"/>
      <c r="Z130" s="41"/>
      <c r="AA130" s="65"/>
      <c r="AB130" s="14"/>
      <c r="AC130" s="66"/>
      <c r="AD130" s="65"/>
      <c r="AE130" s="44">
        <f t="shared" si="17"/>
        <v>0</v>
      </c>
      <c r="AF130" s="45" t="str">
        <f t="shared" si="20"/>
        <v>#DIV/0!</v>
      </c>
    </row>
    <row r="131" ht="15.75" customHeight="1">
      <c r="A131" s="3"/>
      <c r="B131" s="3"/>
      <c r="C131" s="38"/>
      <c r="D131" s="38"/>
      <c r="E131" s="38"/>
      <c r="F131" s="14"/>
      <c r="G131" s="5" t="str">
        <f t="array" ref="G131">IF($A131="","",IFERROR($F131*(N($C131)*XLOOKUP($B131,Ceras!$A$2:$A$500,Ceras!$G$2:$G$500,0)+IF($D131="",0,N($E131)*XLOOKUP($D131,Ceras!$A$2:$A$500,Ceras!$G$2:$G$500,0))),"Revisar cera"))</f>
        <v/>
      </c>
      <c r="H131" s="5"/>
      <c r="I131" s="3"/>
      <c r="J131" s="14"/>
      <c r="K131" s="5" t="str">
        <f t="array" ref="K131">IF($A131="","",IFERROR($J131*XLOOKUP($I131,Pabilos!$A$2:$A$500,Pabilos!$H$2:$H$500,0),"Revisar pabilo"))</f>
        <v/>
      </c>
      <c r="L131" s="3"/>
      <c r="M131" s="14"/>
      <c r="N131" s="5" t="str">
        <f t="array" ref="N131">IF($A131="","",IFERROR($M131*XLOOKUP($L131,Esencias!$A$2:$A$501,Esencias!$G$2:$G$501,0),"Revisar esencia"))</f>
        <v/>
      </c>
      <c r="O131" s="3"/>
      <c r="P131" s="14"/>
      <c r="Q131" s="5" t="str">
        <f t="array" ref="Q131">IF($A131="","",IFERROR(IF($P131="",1,$P131)*XLOOKUP($O131,Colores!$A$2:$A$500,Colores!$H$2:$H$500,0),"Revisar color"))</f>
        <v/>
      </c>
      <c r="R131" s="3"/>
      <c r="S131" s="5" t="str">
        <f t="array" ref="S131">IF($A131="","",IF($R131="",0,IFERROR(VLOOKUP(LEFT(TRIM(MID(SUBSTITUTE($R131,";",REPT(" ",99)),1,99)),FIND(":",TRIM(MID(SUBSTITUTE($R131,";",REPT(" ",99)),1,99)))-1),Materiales!$A$2:$E$502,5,FALSE)*VALUE(MID(TRIM(MID(SUBSTITUTE($R131,";",REPT(" ",99)),1,99)),FIND(":",TRIM(MID(SUBSTITUTE($R131,";",REPT(" ",99)),1,99)))+1,99)),0) + IFERROR(VLOOKUP(LEFT(TRIM(MID(SUBSTITUTE($R131,";",REPT(" ",99)),100,99)),FIND(":",TRIM(MID(SUBSTITUTE($R131,";",REPT(" ",99)),100,99)))-1),Materiales!$A$2:$E$502,5,FALSE)*VALUE(MID(TRIM(MID(SUBSTITUTE($R131,";",REPT(" ",99)),100,99)),FIND(":",TRIM(MID(SUBSTITUTE($R131,";",REPT(" ",99)),100,99)))+1,99)),0) + IFERROR(VLOOKUP(LEFT(TRIM(MID(SUBSTITUTE($R131,";",REPT(" ",99)),199,99)),FIND(":",TRIM(MID(SUBSTITUTE($R131,";",REPT(" ",99)),199,99)))-1),Materiales!$A$2:$E$502,5,FALSE)*VALUE(MID(TRIM(MID(SUBSTITUTE($R131,";",REPT(" ",99)),199,99)),FIND(":",TRIM(MID(SUBSTITUTE($R131,";",REPT(" ",99)),199,99)))+1,99)),0) + IFERROR(VLOOKUP(LEFT(TRIM(MID(SUBSTITUTE($R131,";",REPT(" ",99)),298,99)),FIND(":",TRIM(MID(SUBSTITUTE($R131,";",REPT(" ",99)),298,99)))-1),Materiales!$A$2:$E$502,5,FALSE)*VALUE(MID(TRIM(MID(SUBSTITUTE($R131,";",REPT(" ",99)),298,99)),FIND(":",TRIM(MID(SUBSTITUTE($R131,";",REPT(" ",99)),298,99)))+1,99)),0) + IFERROR(VLOOKUP(LEFT(TRIM(MID(SUBSTITUTE($R131,";",REPT(" ",99)),397,99)),FIND(":",TRIM(MID(SUBSTITUTE($R131,";",REPT(" ",99)),397,99)))-1),Materiales!$A$2:$E$502,5,FALSE)*VALUE(MID(TRIM(MID(SUBSTITUTE($R131,";",REPT(" ",99)),397,99)),FIND(":",TRIM(MID(SUBSTITUTE($R131,";",REPT(" ",99)),397,99)))+1,99)),0) + IFERROR(VLOOKUP(LEFT(TRIM(MID(SUBSTITUTE($R131,";",REPT(" ",99)),496,99)),FIND(":",TRIM(MID(SUBSTITUTE($R131,";",REPT(" ",99)),496,99)))-1),Materiales!$A$2:$E$502,5,FALSE)*VALUE(MID(TRIM(MID(SUBSTITUTE($R131,";",REPT(" ",99)),496,99)),FIND(":",TRIM(MID(SUBSTITUTE($R131,";",REPT(" ",99)),496,99)))+1,99)),0) + IFERROR(VLOOKUP(LEFT(TRIM(MID(SUBSTITUTE($R131,";",REPT(" ",99)),595,99)),FIND(":",TRIM(MID(SUBSTITUTE($R131,";",REPT(" ",99)),595,99)))-1),Materiales!$A$2:$E$502,5,FALSE)*VALUE(MID(TRIM(MID(SUBSTITUTE($R131,";",REPT(" ",99)),595,99)),FIND(":",TRIM(MID(SUBSTITUTE($R131,";",REPT(" ",99)),595,99)))+1,99)),0) + IFERROR(VLOOKUP(LEFT(TRIM(MID(SUBSTITUTE($R131,";",REPT(" ",99)),694,99)),FIND(":",TRIM(MID(SUBSTITUTE($R131,";",REPT(" ",99)),694,99)))-1),Materiales!$A$2:$E$502,5,FALSE)*VALUE(MID(TRIM(MID(SUBSTITUTE($R131,";",REPT(" ",99)),694,99)),FIND(":",TRIM(MID(SUBSTITUTE($R131,";",REPT(" ",99)),694,99)))+1,99)),0) + IFERROR(VLOOKUP(LEFT(TRIM(MID(SUBSTITUTE($R131,";",REPT(" ",99)),793,99)),FIND(":",TRIM(MID(SUBSTITUTE($R131,";",REPT(" ",99)),793,99)))-1),Materiales!$A$2:$E$502,5,FALSE)*VALUE(MID(TRIM(MID(SUBSTITUTE($R131,";",REPT(" ",99)),793,99)),FIND(":",TRIM(MID(SUBSTITUTE($R131,";",REPT(" ",99)),793,99)))+1,99)),0) + IFERROR(VLOOKUP(LEFT(TRIM(MID(SUBSTITUTE($R131,";",REPT(" ",99)),892,99)),FIND(":",TRIM(MID(SUBSTITUTE($R131,";",REPT(" ",99)),892,99)))-1),Materiales!$A$2:$E$502,5,FALSE)*VALUE(MID(TRIM(MID(SUBSTITUTE($R131,";",REPT(" ",99)),892,99)),FIND(":",TRIM(MID(SUBSTITUTE($R131,";",REPT(" ",99)),892,99)))+1,99)),0)))</f>
        <v/>
      </c>
      <c r="T131" s="3"/>
      <c r="U131" s="5" t="str">
        <f t="array" ref="U131">IF($A131="","",IF($T131="",0,IFERROR(VLOOKUP(LEFT(TRIM(MID(SUBSTITUTE($T131,";",REPT(" ",99)),1,99)),FIND(":",TRIM(MID(SUBSTITUTE($T131,";",REPT(" ",99)),1,99)))-1),Materiales!$A$2:$E$502,5,FALSE)*VALUE(MID(TRIM(MID(SUBSTITUTE($T131,";",REPT(" ",99)),1,99)),FIND(":",TRIM(MID(SUBSTITUTE($T131,";",REPT(" ",99)),1,99)))+1,99)),0) + IFERROR(VLOOKUP(LEFT(TRIM(MID(SUBSTITUTE($T131,";",REPT(" ",99)),100,99)),FIND(":",TRIM(MID(SUBSTITUTE($T131,";",REPT(" ",99)),100,99)))-1),Materiales!$A$2:$E$502,5,FALSE)*VALUE(MID(TRIM(MID(SUBSTITUTE($T131,";",REPT(" ",99)),100,99)),FIND(":",TRIM(MID(SUBSTITUTE($T131,";",REPT(" ",99)),100,99)))+1,99)),0) + IFERROR(VLOOKUP(LEFT(TRIM(MID(SUBSTITUTE($T131,";",REPT(" ",99)),199,99)),FIND(":",TRIM(MID(SUBSTITUTE($T131,";",REPT(" ",99)),199,99)))-1),Materiales!$A$2:$E$502,5,FALSE)*VALUE(MID(TRIM(MID(SUBSTITUTE($T131,";",REPT(" ",99)),199,99)),FIND(":",TRIM(MID(SUBSTITUTE($T131,";",REPT(" ",99)),199,99)))+1,99)),0) + IFERROR(VLOOKUP(LEFT(TRIM(MID(SUBSTITUTE($T131,";",REPT(" ",99)),298,99)),FIND(":",TRIM(MID(SUBSTITUTE($T131,";",REPT(" ",99)),298,99)))-1),Materiales!$A$2:$E$502,5,FALSE)*VALUE(MID(TRIM(MID(SUBSTITUTE($T131,";",REPT(" ",99)),298,99)),FIND(":",TRIM(MID(SUBSTITUTE($T131,";",REPT(" ",99)),298,99)))+1,99)),0) + IFERROR(VLOOKUP(LEFT(TRIM(MID(SUBSTITUTE($T131,";",REPT(" ",99)),397,99)),FIND(":",TRIM(MID(SUBSTITUTE($T131,";",REPT(" ",99)),397,99)))-1),Materiales!$A$2:$E$502,5,FALSE)*VALUE(MID(TRIM(MID(SUBSTITUTE($T131,";",REPT(" ",99)),397,99)),FIND(":",TRIM(MID(SUBSTITUTE($T131,";",REPT(" ",99)),397,99)))+1,99)),0) + IFERROR(VLOOKUP(LEFT(TRIM(MID(SUBSTITUTE($T131,";",REPT(" ",99)),496,99)),FIND(":",TRIM(MID(SUBSTITUTE($T131,";",REPT(" ",99)),496,99)))-1),Materiales!$A$2:$E$502,5,FALSE)*VALUE(MID(TRIM(MID(SUBSTITUTE($T131,";",REPT(" ",99)),496,99)),FIND(":",TRIM(MID(SUBSTITUTE($T131,";",REPT(" ",99)),496,99)))+1,99)),0) + IFERROR(VLOOKUP(LEFT(TRIM(MID(SUBSTITUTE($T131,";",REPT(" ",99)),595,99)),FIND(":",TRIM(MID(SUBSTITUTE($T131,";",REPT(" ",99)),595,99)))-1),Materiales!$A$2:$E$502,5,FALSE)*VALUE(MID(TRIM(MID(SUBSTITUTE($T131,";",REPT(" ",99)),595,99)),FIND(":",TRIM(MID(SUBSTITUTE($T131,";",REPT(" ",99)),595,99)))+1,99)),0) + IFERROR(VLOOKUP(LEFT(TRIM(MID(SUBSTITUTE($T131,";",REPT(" ",99)),694,99)),FIND(":",TRIM(MID(SUBSTITUTE($T131,";",REPT(" ",99)),694,99)))-1),Materiales!$A$2:$E$502,5,FALSE)*VALUE(MID(TRIM(MID(SUBSTITUTE($T131,";",REPT(" ",99)),694,99)),FIND(":",TRIM(MID(SUBSTITUTE($T131,";",REPT(" ",99)),694,99)))+1,99)),0) + IFERROR(VLOOKUP(LEFT(TRIM(MID(SUBSTITUTE($T131,";",REPT(" ",99)),793,99)),FIND(":",TRIM(MID(SUBSTITUTE($T131,";",REPT(" ",99)),793,99)))-1),Materiales!$A$2:$E$502,5,FALSE)*VALUE(MID(TRIM(MID(SUBSTITUTE($T131,";",REPT(" ",99)),793,99)),FIND(":",TRIM(MID(SUBSTITUTE($T131,";",REPT(" ",99)),793,99)))+1,99)),0) + IFERROR(VLOOKUP(LEFT(TRIM(MID(SUBSTITUTE($T131,";",REPT(" ",99)),892,99)),FIND(":",TRIM(MID(SUBSTITUTE($T131,";",REPT(" ",99)),892,99)))-1),Materiales!$A$2:$E$502,5,FALSE)*VALUE(MID(TRIM(MID(SUBSTITUTE($T131,";",REPT(" ",99)),892,99)),FIND(":",TRIM(MID(SUBSTITUTE($T131,";",REPT(" ",99)),892,99)))+1,99)),0)))</f>
        <v/>
      </c>
      <c r="V131" s="3"/>
      <c r="W131" s="5" t="str">
        <f t="array" ref="W131">IF($A131="","",IF($V131="",0,IFERROR(VLOOKUP(LEFT(TRIM(MID(SUBSTITUTE($V131,";",REPT(" ",99)),1,99)),FIND(":",TRIM(MID(SUBSTITUTE($V131,";",REPT(" ",99)),1,99)))-1),Materiales!$A$2:$E$502,5,FALSE)*VALUE(MID(TRIM(MID(SUBSTITUTE($V131,";",REPT(" ",99)),1,99)),FIND(":",TRIM(MID(SUBSTITUTE($V131,";",REPT(" ",99)),1,99)))+1,99)),0) + IFERROR(VLOOKUP(LEFT(TRIM(MID(SUBSTITUTE($V131,";",REPT(" ",99)),100,99)),FIND(":",TRIM(MID(SUBSTITUTE($V131,";",REPT(" ",99)),100,99)))-1),Materiales!$A$2:$E$502,5,FALSE)*VALUE(MID(TRIM(MID(SUBSTITUTE($V131,";",REPT(" ",99)),100,99)),FIND(":",TRIM(MID(SUBSTITUTE($V131,";",REPT(" ",99)),100,99)))+1,99)),0) + IFERROR(VLOOKUP(LEFT(TRIM(MID(SUBSTITUTE($V131,";",REPT(" ",99)),199,99)),FIND(":",TRIM(MID(SUBSTITUTE($V131,";",REPT(" ",99)),199,99)))-1),Materiales!$A$2:$E$502,5,FALSE)*VALUE(MID(TRIM(MID(SUBSTITUTE($V131,";",REPT(" ",99)),199,99)),FIND(":",TRIM(MID(SUBSTITUTE($V131,";",REPT(" ",99)),199,99)))+1,99)),0) + IFERROR(VLOOKUP(LEFT(TRIM(MID(SUBSTITUTE($V131,";",REPT(" ",99)),298,99)),FIND(":",TRIM(MID(SUBSTITUTE($V131,";",REPT(" ",99)),298,99)))-1),Materiales!$A$2:$E$502,5,FALSE)*VALUE(MID(TRIM(MID(SUBSTITUTE($V131,";",REPT(" ",99)),298,99)),FIND(":",TRIM(MID(SUBSTITUTE($V131,";",REPT(" ",99)),298,99)))+1,99)),0) + IFERROR(VLOOKUP(LEFT(TRIM(MID(SUBSTITUTE($V131,";",REPT(" ",99)),397,99)),FIND(":",TRIM(MID(SUBSTITUTE($V131,";",REPT(" ",99)),397,99)))-1),Materiales!$A$2:$E$502,5,FALSE)*VALUE(MID(TRIM(MID(SUBSTITUTE($V131,";",REPT(" ",99)),397,99)),FIND(":",TRIM(MID(SUBSTITUTE($V131,";",REPT(" ",99)),397,99)))+1,99)),0) + IFERROR(VLOOKUP(LEFT(TRIM(MID(SUBSTITUTE($V131,";",REPT(" ",99)),496,99)),FIND(":",TRIM(MID(SUBSTITUTE($V131,";",REPT(" ",99)),496,99)))-1),Materiales!$A$2:$E$502,5,FALSE)*VALUE(MID(TRIM(MID(SUBSTITUTE($V131,";",REPT(" ",99)),496,99)),FIND(":",TRIM(MID(SUBSTITUTE($V131,";",REPT(" ",99)),496,99)))+1,99)),0) + IFERROR(VLOOKUP(LEFT(TRIM(MID(SUBSTITUTE($V131,";",REPT(" ",99)),595,99)),FIND(":",TRIM(MID(SUBSTITUTE($V131,";",REPT(" ",99)),595,99)))-1),Materiales!$A$2:$E$502,5,FALSE)*VALUE(MID(TRIM(MID(SUBSTITUTE($V131,";",REPT(" ",99)),595,99)),FIND(":",TRIM(MID(SUBSTITUTE($V131,";",REPT(" ",99)),595,99)))+1,99)),0) + IFERROR(VLOOKUP(LEFT(TRIM(MID(SUBSTITUTE($V131,";",REPT(" ",99)),694,99)),FIND(":",TRIM(MID(SUBSTITUTE($V131,";",REPT(" ",99)),694,99)))-1),Materiales!$A$2:$E$502,5,FALSE)*VALUE(MID(TRIM(MID(SUBSTITUTE($V131,";",REPT(" ",99)),694,99)),FIND(":",TRIM(MID(SUBSTITUTE($V131,";",REPT(" ",99)),694,99)))+1,99)),0) + IFERROR(VLOOKUP(LEFT(TRIM(MID(SUBSTITUTE($V131,";",REPT(" ",99)),793,99)),FIND(":",TRIM(MID(SUBSTITUTE($V131,";",REPT(" ",99)),793,99)))-1),Materiales!$A$2:$E$502,5,FALSE)*VALUE(MID(TRIM(MID(SUBSTITUTE($V131,";",REPT(" ",99)),793,99)),FIND(":",TRIM(MID(SUBSTITUTE($V131,";",REPT(" ",99)),793,99)))+1,99)),0) + IFERROR(VLOOKUP(LEFT(TRIM(MID(SUBSTITUTE($V131,";",REPT(" ",99)),892,99)),FIND(":",TRIM(MID(SUBSTITUTE($V131,";",REPT(" ",99)),892,99)))-1),Materiales!$A$2:$E$502,5,FALSE)*VALUE(MID(TRIM(MID(SUBSTITUTE($V131,";",REPT(" ",99)),892,99)),FIND(":",TRIM(MID(SUBSTITUTE($V131,";",REPT(" ",99)),892,99)))+1,99)),0)))</f>
        <v/>
      </c>
      <c r="X131" s="39" t="str">
        <f t="shared" si="13"/>
        <v/>
      </c>
      <c r="Y131" s="64"/>
      <c r="Z131" s="41"/>
      <c r="AA131" s="65"/>
      <c r="AB131" s="14"/>
      <c r="AC131" s="66"/>
      <c r="AD131" s="65"/>
      <c r="AE131" s="44">
        <f t="shared" si="17"/>
        <v>0</v>
      </c>
      <c r="AF131" s="45" t="str">
        <f t="shared" si="20"/>
        <v>#DIV/0!</v>
      </c>
    </row>
    <row r="132" ht="15.75" customHeight="1">
      <c r="A132" s="3"/>
      <c r="B132" s="3"/>
      <c r="C132" s="38"/>
      <c r="D132" s="38"/>
      <c r="E132" s="38"/>
      <c r="F132" s="14"/>
      <c r="G132" s="5" t="str">
        <f t="array" ref="G132">IF($A132="","",IFERROR($F132*(N($C132)*XLOOKUP($B132,Ceras!$A$2:$A$500,Ceras!$G$2:$G$500,0)+IF($D132="",0,N($E132)*XLOOKUP($D132,Ceras!$A$2:$A$500,Ceras!$G$2:$G$500,0))),"Revisar cera"))</f>
        <v/>
      </c>
      <c r="H132" s="5"/>
      <c r="I132" s="3"/>
      <c r="J132" s="14"/>
      <c r="K132" s="5" t="str">
        <f t="array" ref="K132">IF($A132="","",IFERROR($J132*XLOOKUP($I132,Pabilos!$A$2:$A$500,Pabilos!$H$2:$H$500,0),"Revisar pabilo"))</f>
        <v/>
      </c>
      <c r="L132" s="3"/>
      <c r="M132" s="14"/>
      <c r="N132" s="5" t="str">
        <f t="array" ref="N132">IF($A132="","",IFERROR($M132*XLOOKUP($L132,Esencias!$A$2:$A$501,Esencias!$G$2:$G$501,0),"Revisar esencia"))</f>
        <v/>
      </c>
      <c r="O132" s="3"/>
      <c r="P132" s="14"/>
      <c r="Q132" s="5" t="str">
        <f t="array" ref="Q132">IF($A132="","",IFERROR(IF($P132="",1,$P132)*XLOOKUP($O132,Colores!$A$2:$A$500,Colores!$H$2:$H$500,0),"Revisar color"))</f>
        <v/>
      </c>
      <c r="R132" s="3"/>
      <c r="S132" s="5" t="str">
        <f t="array" ref="S132">IF($A132="","",IF($R132="",0,IFERROR(VLOOKUP(LEFT(TRIM(MID(SUBSTITUTE($R132,";",REPT(" ",99)),1,99)),FIND(":",TRIM(MID(SUBSTITUTE($R132,";",REPT(" ",99)),1,99)))-1),Materiales!$A$2:$E$502,5,FALSE)*VALUE(MID(TRIM(MID(SUBSTITUTE($R132,";",REPT(" ",99)),1,99)),FIND(":",TRIM(MID(SUBSTITUTE($R132,";",REPT(" ",99)),1,99)))+1,99)),0) + IFERROR(VLOOKUP(LEFT(TRIM(MID(SUBSTITUTE($R132,";",REPT(" ",99)),100,99)),FIND(":",TRIM(MID(SUBSTITUTE($R132,";",REPT(" ",99)),100,99)))-1),Materiales!$A$2:$E$502,5,FALSE)*VALUE(MID(TRIM(MID(SUBSTITUTE($R132,";",REPT(" ",99)),100,99)),FIND(":",TRIM(MID(SUBSTITUTE($R132,";",REPT(" ",99)),100,99)))+1,99)),0) + IFERROR(VLOOKUP(LEFT(TRIM(MID(SUBSTITUTE($R132,";",REPT(" ",99)),199,99)),FIND(":",TRIM(MID(SUBSTITUTE($R132,";",REPT(" ",99)),199,99)))-1),Materiales!$A$2:$E$502,5,FALSE)*VALUE(MID(TRIM(MID(SUBSTITUTE($R132,";",REPT(" ",99)),199,99)),FIND(":",TRIM(MID(SUBSTITUTE($R132,";",REPT(" ",99)),199,99)))+1,99)),0) + IFERROR(VLOOKUP(LEFT(TRIM(MID(SUBSTITUTE($R132,";",REPT(" ",99)),298,99)),FIND(":",TRIM(MID(SUBSTITUTE($R132,";",REPT(" ",99)),298,99)))-1),Materiales!$A$2:$E$502,5,FALSE)*VALUE(MID(TRIM(MID(SUBSTITUTE($R132,";",REPT(" ",99)),298,99)),FIND(":",TRIM(MID(SUBSTITUTE($R132,";",REPT(" ",99)),298,99)))+1,99)),0) + IFERROR(VLOOKUP(LEFT(TRIM(MID(SUBSTITUTE($R132,";",REPT(" ",99)),397,99)),FIND(":",TRIM(MID(SUBSTITUTE($R132,";",REPT(" ",99)),397,99)))-1),Materiales!$A$2:$E$502,5,FALSE)*VALUE(MID(TRIM(MID(SUBSTITUTE($R132,";",REPT(" ",99)),397,99)),FIND(":",TRIM(MID(SUBSTITUTE($R132,";",REPT(" ",99)),397,99)))+1,99)),0) + IFERROR(VLOOKUP(LEFT(TRIM(MID(SUBSTITUTE($R132,";",REPT(" ",99)),496,99)),FIND(":",TRIM(MID(SUBSTITUTE($R132,";",REPT(" ",99)),496,99)))-1),Materiales!$A$2:$E$502,5,FALSE)*VALUE(MID(TRIM(MID(SUBSTITUTE($R132,";",REPT(" ",99)),496,99)),FIND(":",TRIM(MID(SUBSTITUTE($R132,";",REPT(" ",99)),496,99)))+1,99)),0) + IFERROR(VLOOKUP(LEFT(TRIM(MID(SUBSTITUTE($R132,";",REPT(" ",99)),595,99)),FIND(":",TRIM(MID(SUBSTITUTE($R132,";",REPT(" ",99)),595,99)))-1),Materiales!$A$2:$E$502,5,FALSE)*VALUE(MID(TRIM(MID(SUBSTITUTE($R132,";",REPT(" ",99)),595,99)),FIND(":",TRIM(MID(SUBSTITUTE($R132,";",REPT(" ",99)),595,99)))+1,99)),0) + IFERROR(VLOOKUP(LEFT(TRIM(MID(SUBSTITUTE($R132,";",REPT(" ",99)),694,99)),FIND(":",TRIM(MID(SUBSTITUTE($R132,";",REPT(" ",99)),694,99)))-1),Materiales!$A$2:$E$502,5,FALSE)*VALUE(MID(TRIM(MID(SUBSTITUTE($R132,";",REPT(" ",99)),694,99)),FIND(":",TRIM(MID(SUBSTITUTE($R132,";",REPT(" ",99)),694,99)))+1,99)),0) + IFERROR(VLOOKUP(LEFT(TRIM(MID(SUBSTITUTE($R132,";",REPT(" ",99)),793,99)),FIND(":",TRIM(MID(SUBSTITUTE($R132,";",REPT(" ",99)),793,99)))-1),Materiales!$A$2:$E$502,5,FALSE)*VALUE(MID(TRIM(MID(SUBSTITUTE($R132,";",REPT(" ",99)),793,99)),FIND(":",TRIM(MID(SUBSTITUTE($R132,";",REPT(" ",99)),793,99)))+1,99)),0) + IFERROR(VLOOKUP(LEFT(TRIM(MID(SUBSTITUTE($R132,";",REPT(" ",99)),892,99)),FIND(":",TRIM(MID(SUBSTITUTE($R132,";",REPT(" ",99)),892,99)))-1),Materiales!$A$2:$E$502,5,FALSE)*VALUE(MID(TRIM(MID(SUBSTITUTE($R132,";",REPT(" ",99)),892,99)),FIND(":",TRIM(MID(SUBSTITUTE($R132,";",REPT(" ",99)),892,99)))+1,99)),0)))</f>
        <v/>
      </c>
      <c r="T132" s="3"/>
      <c r="U132" s="5" t="str">
        <f t="array" ref="U132">IF($A132="","",IF($T132="",0,IFERROR(VLOOKUP(LEFT(TRIM(MID(SUBSTITUTE($T132,";",REPT(" ",99)),1,99)),FIND(":",TRIM(MID(SUBSTITUTE($T132,";",REPT(" ",99)),1,99)))-1),Materiales!$A$2:$E$502,5,FALSE)*VALUE(MID(TRIM(MID(SUBSTITUTE($T132,";",REPT(" ",99)),1,99)),FIND(":",TRIM(MID(SUBSTITUTE($T132,";",REPT(" ",99)),1,99)))+1,99)),0) + IFERROR(VLOOKUP(LEFT(TRIM(MID(SUBSTITUTE($T132,";",REPT(" ",99)),100,99)),FIND(":",TRIM(MID(SUBSTITUTE($T132,";",REPT(" ",99)),100,99)))-1),Materiales!$A$2:$E$502,5,FALSE)*VALUE(MID(TRIM(MID(SUBSTITUTE($T132,";",REPT(" ",99)),100,99)),FIND(":",TRIM(MID(SUBSTITUTE($T132,";",REPT(" ",99)),100,99)))+1,99)),0) + IFERROR(VLOOKUP(LEFT(TRIM(MID(SUBSTITUTE($T132,";",REPT(" ",99)),199,99)),FIND(":",TRIM(MID(SUBSTITUTE($T132,";",REPT(" ",99)),199,99)))-1),Materiales!$A$2:$E$502,5,FALSE)*VALUE(MID(TRIM(MID(SUBSTITUTE($T132,";",REPT(" ",99)),199,99)),FIND(":",TRIM(MID(SUBSTITUTE($T132,";",REPT(" ",99)),199,99)))+1,99)),0) + IFERROR(VLOOKUP(LEFT(TRIM(MID(SUBSTITUTE($T132,";",REPT(" ",99)),298,99)),FIND(":",TRIM(MID(SUBSTITUTE($T132,";",REPT(" ",99)),298,99)))-1),Materiales!$A$2:$E$502,5,FALSE)*VALUE(MID(TRIM(MID(SUBSTITUTE($T132,";",REPT(" ",99)),298,99)),FIND(":",TRIM(MID(SUBSTITUTE($T132,";",REPT(" ",99)),298,99)))+1,99)),0) + IFERROR(VLOOKUP(LEFT(TRIM(MID(SUBSTITUTE($T132,";",REPT(" ",99)),397,99)),FIND(":",TRIM(MID(SUBSTITUTE($T132,";",REPT(" ",99)),397,99)))-1),Materiales!$A$2:$E$502,5,FALSE)*VALUE(MID(TRIM(MID(SUBSTITUTE($T132,";",REPT(" ",99)),397,99)),FIND(":",TRIM(MID(SUBSTITUTE($T132,";",REPT(" ",99)),397,99)))+1,99)),0) + IFERROR(VLOOKUP(LEFT(TRIM(MID(SUBSTITUTE($T132,";",REPT(" ",99)),496,99)),FIND(":",TRIM(MID(SUBSTITUTE($T132,";",REPT(" ",99)),496,99)))-1),Materiales!$A$2:$E$502,5,FALSE)*VALUE(MID(TRIM(MID(SUBSTITUTE($T132,";",REPT(" ",99)),496,99)),FIND(":",TRIM(MID(SUBSTITUTE($T132,";",REPT(" ",99)),496,99)))+1,99)),0) + IFERROR(VLOOKUP(LEFT(TRIM(MID(SUBSTITUTE($T132,";",REPT(" ",99)),595,99)),FIND(":",TRIM(MID(SUBSTITUTE($T132,";",REPT(" ",99)),595,99)))-1),Materiales!$A$2:$E$502,5,FALSE)*VALUE(MID(TRIM(MID(SUBSTITUTE($T132,";",REPT(" ",99)),595,99)),FIND(":",TRIM(MID(SUBSTITUTE($T132,";",REPT(" ",99)),595,99)))+1,99)),0) + IFERROR(VLOOKUP(LEFT(TRIM(MID(SUBSTITUTE($T132,";",REPT(" ",99)),694,99)),FIND(":",TRIM(MID(SUBSTITUTE($T132,";",REPT(" ",99)),694,99)))-1),Materiales!$A$2:$E$502,5,FALSE)*VALUE(MID(TRIM(MID(SUBSTITUTE($T132,";",REPT(" ",99)),694,99)),FIND(":",TRIM(MID(SUBSTITUTE($T132,";",REPT(" ",99)),694,99)))+1,99)),0) + IFERROR(VLOOKUP(LEFT(TRIM(MID(SUBSTITUTE($T132,";",REPT(" ",99)),793,99)),FIND(":",TRIM(MID(SUBSTITUTE($T132,";",REPT(" ",99)),793,99)))-1),Materiales!$A$2:$E$502,5,FALSE)*VALUE(MID(TRIM(MID(SUBSTITUTE($T132,";",REPT(" ",99)),793,99)),FIND(":",TRIM(MID(SUBSTITUTE($T132,";",REPT(" ",99)),793,99)))+1,99)),0) + IFERROR(VLOOKUP(LEFT(TRIM(MID(SUBSTITUTE($T132,";",REPT(" ",99)),892,99)),FIND(":",TRIM(MID(SUBSTITUTE($T132,";",REPT(" ",99)),892,99)))-1),Materiales!$A$2:$E$502,5,FALSE)*VALUE(MID(TRIM(MID(SUBSTITUTE($T132,";",REPT(" ",99)),892,99)),FIND(":",TRIM(MID(SUBSTITUTE($T132,";",REPT(" ",99)),892,99)))+1,99)),0)))</f>
        <v/>
      </c>
      <c r="V132" s="3"/>
      <c r="W132" s="5" t="str">
        <f t="array" ref="W132">IF($A132="","",IF($V132="",0,IFERROR(VLOOKUP(LEFT(TRIM(MID(SUBSTITUTE($V132,";",REPT(" ",99)),1,99)),FIND(":",TRIM(MID(SUBSTITUTE($V132,";",REPT(" ",99)),1,99)))-1),Materiales!$A$2:$E$502,5,FALSE)*VALUE(MID(TRIM(MID(SUBSTITUTE($V132,";",REPT(" ",99)),1,99)),FIND(":",TRIM(MID(SUBSTITUTE($V132,";",REPT(" ",99)),1,99)))+1,99)),0) + IFERROR(VLOOKUP(LEFT(TRIM(MID(SUBSTITUTE($V132,";",REPT(" ",99)),100,99)),FIND(":",TRIM(MID(SUBSTITUTE($V132,";",REPT(" ",99)),100,99)))-1),Materiales!$A$2:$E$502,5,FALSE)*VALUE(MID(TRIM(MID(SUBSTITUTE($V132,";",REPT(" ",99)),100,99)),FIND(":",TRIM(MID(SUBSTITUTE($V132,";",REPT(" ",99)),100,99)))+1,99)),0) + IFERROR(VLOOKUP(LEFT(TRIM(MID(SUBSTITUTE($V132,";",REPT(" ",99)),199,99)),FIND(":",TRIM(MID(SUBSTITUTE($V132,";",REPT(" ",99)),199,99)))-1),Materiales!$A$2:$E$502,5,FALSE)*VALUE(MID(TRIM(MID(SUBSTITUTE($V132,";",REPT(" ",99)),199,99)),FIND(":",TRIM(MID(SUBSTITUTE($V132,";",REPT(" ",99)),199,99)))+1,99)),0) + IFERROR(VLOOKUP(LEFT(TRIM(MID(SUBSTITUTE($V132,";",REPT(" ",99)),298,99)),FIND(":",TRIM(MID(SUBSTITUTE($V132,";",REPT(" ",99)),298,99)))-1),Materiales!$A$2:$E$502,5,FALSE)*VALUE(MID(TRIM(MID(SUBSTITUTE($V132,";",REPT(" ",99)),298,99)),FIND(":",TRIM(MID(SUBSTITUTE($V132,";",REPT(" ",99)),298,99)))+1,99)),0) + IFERROR(VLOOKUP(LEFT(TRIM(MID(SUBSTITUTE($V132,";",REPT(" ",99)),397,99)),FIND(":",TRIM(MID(SUBSTITUTE($V132,";",REPT(" ",99)),397,99)))-1),Materiales!$A$2:$E$502,5,FALSE)*VALUE(MID(TRIM(MID(SUBSTITUTE($V132,";",REPT(" ",99)),397,99)),FIND(":",TRIM(MID(SUBSTITUTE($V132,";",REPT(" ",99)),397,99)))+1,99)),0) + IFERROR(VLOOKUP(LEFT(TRIM(MID(SUBSTITUTE($V132,";",REPT(" ",99)),496,99)),FIND(":",TRIM(MID(SUBSTITUTE($V132,";",REPT(" ",99)),496,99)))-1),Materiales!$A$2:$E$502,5,FALSE)*VALUE(MID(TRIM(MID(SUBSTITUTE($V132,";",REPT(" ",99)),496,99)),FIND(":",TRIM(MID(SUBSTITUTE($V132,";",REPT(" ",99)),496,99)))+1,99)),0) + IFERROR(VLOOKUP(LEFT(TRIM(MID(SUBSTITUTE($V132,";",REPT(" ",99)),595,99)),FIND(":",TRIM(MID(SUBSTITUTE($V132,";",REPT(" ",99)),595,99)))-1),Materiales!$A$2:$E$502,5,FALSE)*VALUE(MID(TRIM(MID(SUBSTITUTE($V132,";",REPT(" ",99)),595,99)),FIND(":",TRIM(MID(SUBSTITUTE($V132,";",REPT(" ",99)),595,99)))+1,99)),0) + IFERROR(VLOOKUP(LEFT(TRIM(MID(SUBSTITUTE($V132,";",REPT(" ",99)),694,99)),FIND(":",TRIM(MID(SUBSTITUTE($V132,";",REPT(" ",99)),694,99)))-1),Materiales!$A$2:$E$502,5,FALSE)*VALUE(MID(TRIM(MID(SUBSTITUTE($V132,";",REPT(" ",99)),694,99)),FIND(":",TRIM(MID(SUBSTITUTE($V132,";",REPT(" ",99)),694,99)))+1,99)),0) + IFERROR(VLOOKUP(LEFT(TRIM(MID(SUBSTITUTE($V132,";",REPT(" ",99)),793,99)),FIND(":",TRIM(MID(SUBSTITUTE($V132,";",REPT(" ",99)),793,99)))-1),Materiales!$A$2:$E$502,5,FALSE)*VALUE(MID(TRIM(MID(SUBSTITUTE($V132,";",REPT(" ",99)),793,99)),FIND(":",TRIM(MID(SUBSTITUTE($V132,";",REPT(" ",99)),793,99)))+1,99)),0) + IFERROR(VLOOKUP(LEFT(TRIM(MID(SUBSTITUTE($V132,";",REPT(" ",99)),892,99)),FIND(":",TRIM(MID(SUBSTITUTE($V132,";",REPT(" ",99)),892,99)))-1),Materiales!$A$2:$E$502,5,FALSE)*VALUE(MID(TRIM(MID(SUBSTITUTE($V132,";",REPT(" ",99)),892,99)),FIND(":",TRIM(MID(SUBSTITUTE($V132,";",REPT(" ",99)),892,99)))+1,99)),0)))</f>
        <v/>
      </c>
      <c r="X132" s="39" t="str">
        <f t="shared" si="13"/>
        <v/>
      </c>
      <c r="Y132" s="64"/>
      <c r="Z132" s="41"/>
      <c r="AA132" s="65"/>
      <c r="AB132" s="14"/>
      <c r="AC132" s="66"/>
      <c r="AD132" s="65"/>
      <c r="AE132" s="44">
        <f t="shared" si="17"/>
        <v>0</v>
      </c>
      <c r="AF132" s="45" t="str">
        <f t="shared" si="20"/>
        <v>#DIV/0!</v>
      </c>
    </row>
    <row r="133" ht="15.75" customHeight="1">
      <c r="A133" s="3"/>
      <c r="B133" s="3"/>
      <c r="C133" s="38"/>
      <c r="D133" s="38"/>
      <c r="E133" s="38"/>
      <c r="F133" s="14"/>
      <c r="G133" s="5" t="str">
        <f t="array" ref="G133">IF($A133="","",IFERROR($F133*(N($C133)*XLOOKUP($B133,Ceras!$A$2:$A$500,Ceras!$G$2:$G$500,0)+IF($D133="",0,N($E133)*XLOOKUP($D133,Ceras!$A$2:$A$500,Ceras!$G$2:$G$500,0))),"Revisar cera"))</f>
        <v/>
      </c>
      <c r="H133" s="5"/>
      <c r="I133" s="3"/>
      <c r="J133" s="14"/>
      <c r="K133" s="5" t="str">
        <f t="array" ref="K133">IF($A133="","",IFERROR($J133*XLOOKUP($I133,Pabilos!$A$2:$A$500,Pabilos!$H$2:$H$500,0),"Revisar pabilo"))</f>
        <v/>
      </c>
      <c r="L133" s="3"/>
      <c r="M133" s="14"/>
      <c r="N133" s="5" t="str">
        <f t="array" ref="N133">IF($A133="","",IFERROR($M133*XLOOKUP($L133,Esencias!$A$2:$A$501,Esencias!$G$2:$G$501,0),"Revisar esencia"))</f>
        <v/>
      </c>
      <c r="O133" s="3"/>
      <c r="P133" s="14"/>
      <c r="Q133" s="5" t="str">
        <f t="array" ref="Q133">IF($A133="","",IFERROR(IF($P133="",1,$P133)*XLOOKUP($O133,Colores!$A$2:$A$500,Colores!$H$2:$H$500,0),"Revisar color"))</f>
        <v/>
      </c>
      <c r="R133" s="3"/>
      <c r="S133" s="5" t="str">
        <f t="array" ref="S133">IF($A133="","",IF($R133="",0,IFERROR(VLOOKUP(LEFT(TRIM(MID(SUBSTITUTE($R133,";",REPT(" ",99)),1,99)),FIND(":",TRIM(MID(SUBSTITUTE($R133,";",REPT(" ",99)),1,99)))-1),Materiales!$A$2:$E$502,5,FALSE)*VALUE(MID(TRIM(MID(SUBSTITUTE($R133,";",REPT(" ",99)),1,99)),FIND(":",TRIM(MID(SUBSTITUTE($R133,";",REPT(" ",99)),1,99)))+1,99)),0) + IFERROR(VLOOKUP(LEFT(TRIM(MID(SUBSTITUTE($R133,";",REPT(" ",99)),100,99)),FIND(":",TRIM(MID(SUBSTITUTE($R133,";",REPT(" ",99)),100,99)))-1),Materiales!$A$2:$E$502,5,FALSE)*VALUE(MID(TRIM(MID(SUBSTITUTE($R133,";",REPT(" ",99)),100,99)),FIND(":",TRIM(MID(SUBSTITUTE($R133,";",REPT(" ",99)),100,99)))+1,99)),0) + IFERROR(VLOOKUP(LEFT(TRIM(MID(SUBSTITUTE($R133,";",REPT(" ",99)),199,99)),FIND(":",TRIM(MID(SUBSTITUTE($R133,";",REPT(" ",99)),199,99)))-1),Materiales!$A$2:$E$502,5,FALSE)*VALUE(MID(TRIM(MID(SUBSTITUTE($R133,";",REPT(" ",99)),199,99)),FIND(":",TRIM(MID(SUBSTITUTE($R133,";",REPT(" ",99)),199,99)))+1,99)),0) + IFERROR(VLOOKUP(LEFT(TRIM(MID(SUBSTITUTE($R133,";",REPT(" ",99)),298,99)),FIND(":",TRIM(MID(SUBSTITUTE($R133,";",REPT(" ",99)),298,99)))-1),Materiales!$A$2:$E$502,5,FALSE)*VALUE(MID(TRIM(MID(SUBSTITUTE($R133,";",REPT(" ",99)),298,99)),FIND(":",TRIM(MID(SUBSTITUTE($R133,";",REPT(" ",99)),298,99)))+1,99)),0) + IFERROR(VLOOKUP(LEFT(TRIM(MID(SUBSTITUTE($R133,";",REPT(" ",99)),397,99)),FIND(":",TRIM(MID(SUBSTITUTE($R133,";",REPT(" ",99)),397,99)))-1),Materiales!$A$2:$E$502,5,FALSE)*VALUE(MID(TRIM(MID(SUBSTITUTE($R133,";",REPT(" ",99)),397,99)),FIND(":",TRIM(MID(SUBSTITUTE($R133,";",REPT(" ",99)),397,99)))+1,99)),0) + IFERROR(VLOOKUP(LEFT(TRIM(MID(SUBSTITUTE($R133,";",REPT(" ",99)),496,99)),FIND(":",TRIM(MID(SUBSTITUTE($R133,";",REPT(" ",99)),496,99)))-1),Materiales!$A$2:$E$502,5,FALSE)*VALUE(MID(TRIM(MID(SUBSTITUTE($R133,";",REPT(" ",99)),496,99)),FIND(":",TRIM(MID(SUBSTITUTE($R133,";",REPT(" ",99)),496,99)))+1,99)),0) + IFERROR(VLOOKUP(LEFT(TRIM(MID(SUBSTITUTE($R133,";",REPT(" ",99)),595,99)),FIND(":",TRIM(MID(SUBSTITUTE($R133,";",REPT(" ",99)),595,99)))-1),Materiales!$A$2:$E$502,5,FALSE)*VALUE(MID(TRIM(MID(SUBSTITUTE($R133,";",REPT(" ",99)),595,99)),FIND(":",TRIM(MID(SUBSTITUTE($R133,";",REPT(" ",99)),595,99)))+1,99)),0) + IFERROR(VLOOKUP(LEFT(TRIM(MID(SUBSTITUTE($R133,";",REPT(" ",99)),694,99)),FIND(":",TRIM(MID(SUBSTITUTE($R133,";",REPT(" ",99)),694,99)))-1),Materiales!$A$2:$E$502,5,FALSE)*VALUE(MID(TRIM(MID(SUBSTITUTE($R133,";",REPT(" ",99)),694,99)),FIND(":",TRIM(MID(SUBSTITUTE($R133,";",REPT(" ",99)),694,99)))+1,99)),0) + IFERROR(VLOOKUP(LEFT(TRIM(MID(SUBSTITUTE($R133,";",REPT(" ",99)),793,99)),FIND(":",TRIM(MID(SUBSTITUTE($R133,";",REPT(" ",99)),793,99)))-1),Materiales!$A$2:$E$502,5,FALSE)*VALUE(MID(TRIM(MID(SUBSTITUTE($R133,";",REPT(" ",99)),793,99)),FIND(":",TRIM(MID(SUBSTITUTE($R133,";",REPT(" ",99)),793,99)))+1,99)),0) + IFERROR(VLOOKUP(LEFT(TRIM(MID(SUBSTITUTE($R133,";",REPT(" ",99)),892,99)),FIND(":",TRIM(MID(SUBSTITUTE($R133,";",REPT(" ",99)),892,99)))-1),Materiales!$A$2:$E$502,5,FALSE)*VALUE(MID(TRIM(MID(SUBSTITUTE($R133,";",REPT(" ",99)),892,99)),FIND(":",TRIM(MID(SUBSTITUTE($R133,";",REPT(" ",99)),892,99)))+1,99)),0)))</f>
        <v/>
      </c>
      <c r="T133" s="3"/>
      <c r="U133" s="5" t="str">
        <f t="array" ref="U133">IF($A133="","",IF($T133="",0,IFERROR(VLOOKUP(LEFT(TRIM(MID(SUBSTITUTE($T133,";",REPT(" ",99)),1,99)),FIND(":",TRIM(MID(SUBSTITUTE($T133,";",REPT(" ",99)),1,99)))-1),Materiales!$A$2:$E$502,5,FALSE)*VALUE(MID(TRIM(MID(SUBSTITUTE($T133,";",REPT(" ",99)),1,99)),FIND(":",TRIM(MID(SUBSTITUTE($T133,";",REPT(" ",99)),1,99)))+1,99)),0) + IFERROR(VLOOKUP(LEFT(TRIM(MID(SUBSTITUTE($T133,";",REPT(" ",99)),100,99)),FIND(":",TRIM(MID(SUBSTITUTE($T133,";",REPT(" ",99)),100,99)))-1),Materiales!$A$2:$E$502,5,FALSE)*VALUE(MID(TRIM(MID(SUBSTITUTE($T133,";",REPT(" ",99)),100,99)),FIND(":",TRIM(MID(SUBSTITUTE($T133,";",REPT(" ",99)),100,99)))+1,99)),0) + IFERROR(VLOOKUP(LEFT(TRIM(MID(SUBSTITUTE($T133,";",REPT(" ",99)),199,99)),FIND(":",TRIM(MID(SUBSTITUTE($T133,";",REPT(" ",99)),199,99)))-1),Materiales!$A$2:$E$502,5,FALSE)*VALUE(MID(TRIM(MID(SUBSTITUTE($T133,";",REPT(" ",99)),199,99)),FIND(":",TRIM(MID(SUBSTITUTE($T133,";",REPT(" ",99)),199,99)))+1,99)),0) + IFERROR(VLOOKUP(LEFT(TRIM(MID(SUBSTITUTE($T133,";",REPT(" ",99)),298,99)),FIND(":",TRIM(MID(SUBSTITUTE($T133,";",REPT(" ",99)),298,99)))-1),Materiales!$A$2:$E$502,5,FALSE)*VALUE(MID(TRIM(MID(SUBSTITUTE($T133,";",REPT(" ",99)),298,99)),FIND(":",TRIM(MID(SUBSTITUTE($T133,";",REPT(" ",99)),298,99)))+1,99)),0) + IFERROR(VLOOKUP(LEFT(TRIM(MID(SUBSTITUTE($T133,";",REPT(" ",99)),397,99)),FIND(":",TRIM(MID(SUBSTITUTE($T133,";",REPT(" ",99)),397,99)))-1),Materiales!$A$2:$E$502,5,FALSE)*VALUE(MID(TRIM(MID(SUBSTITUTE($T133,";",REPT(" ",99)),397,99)),FIND(":",TRIM(MID(SUBSTITUTE($T133,";",REPT(" ",99)),397,99)))+1,99)),0) + IFERROR(VLOOKUP(LEFT(TRIM(MID(SUBSTITUTE($T133,";",REPT(" ",99)),496,99)),FIND(":",TRIM(MID(SUBSTITUTE($T133,";",REPT(" ",99)),496,99)))-1),Materiales!$A$2:$E$502,5,FALSE)*VALUE(MID(TRIM(MID(SUBSTITUTE($T133,";",REPT(" ",99)),496,99)),FIND(":",TRIM(MID(SUBSTITUTE($T133,";",REPT(" ",99)),496,99)))+1,99)),0) + IFERROR(VLOOKUP(LEFT(TRIM(MID(SUBSTITUTE($T133,";",REPT(" ",99)),595,99)),FIND(":",TRIM(MID(SUBSTITUTE($T133,";",REPT(" ",99)),595,99)))-1),Materiales!$A$2:$E$502,5,FALSE)*VALUE(MID(TRIM(MID(SUBSTITUTE($T133,";",REPT(" ",99)),595,99)),FIND(":",TRIM(MID(SUBSTITUTE($T133,";",REPT(" ",99)),595,99)))+1,99)),0) + IFERROR(VLOOKUP(LEFT(TRIM(MID(SUBSTITUTE($T133,";",REPT(" ",99)),694,99)),FIND(":",TRIM(MID(SUBSTITUTE($T133,";",REPT(" ",99)),694,99)))-1),Materiales!$A$2:$E$502,5,FALSE)*VALUE(MID(TRIM(MID(SUBSTITUTE($T133,";",REPT(" ",99)),694,99)),FIND(":",TRIM(MID(SUBSTITUTE($T133,";",REPT(" ",99)),694,99)))+1,99)),0) + IFERROR(VLOOKUP(LEFT(TRIM(MID(SUBSTITUTE($T133,";",REPT(" ",99)),793,99)),FIND(":",TRIM(MID(SUBSTITUTE($T133,";",REPT(" ",99)),793,99)))-1),Materiales!$A$2:$E$502,5,FALSE)*VALUE(MID(TRIM(MID(SUBSTITUTE($T133,";",REPT(" ",99)),793,99)),FIND(":",TRIM(MID(SUBSTITUTE($T133,";",REPT(" ",99)),793,99)))+1,99)),0) + IFERROR(VLOOKUP(LEFT(TRIM(MID(SUBSTITUTE($T133,";",REPT(" ",99)),892,99)),FIND(":",TRIM(MID(SUBSTITUTE($T133,";",REPT(" ",99)),892,99)))-1),Materiales!$A$2:$E$502,5,FALSE)*VALUE(MID(TRIM(MID(SUBSTITUTE($T133,";",REPT(" ",99)),892,99)),FIND(":",TRIM(MID(SUBSTITUTE($T133,";",REPT(" ",99)),892,99)))+1,99)),0)))</f>
        <v/>
      </c>
      <c r="V133" s="3"/>
      <c r="W133" s="5" t="str">
        <f t="array" ref="W133">IF($A133="","",IF($V133="",0,IFERROR(VLOOKUP(LEFT(TRIM(MID(SUBSTITUTE($V133,";",REPT(" ",99)),1,99)),FIND(":",TRIM(MID(SUBSTITUTE($V133,";",REPT(" ",99)),1,99)))-1),Materiales!$A$2:$E$502,5,FALSE)*VALUE(MID(TRIM(MID(SUBSTITUTE($V133,";",REPT(" ",99)),1,99)),FIND(":",TRIM(MID(SUBSTITUTE($V133,";",REPT(" ",99)),1,99)))+1,99)),0) + IFERROR(VLOOKUP(LEFT(TRIM(MID(SUBSTITUTE($V133,";",REPT(" ",99)),100,99)),FIND(":",TRIM(MID(SUBSTITUTE($V133,";",REPT(" ",99)),100,99)))-1),Materiales!$A$2:$E$502,5,FALSE)*VALUE(MID(TRIM(MID(SUBSTITUTE($V133,";",REPT(" ",99)),100,99)),FIND(":",TRIM(MID(SUBSTITUTE($V133,";",REPT(" ",99)),100,99)))+1,99)),0) + IFERROR(VLOOKUP(LEFT(TRIM(MID(SUBSTITUTE($V133,";",REPT(" ",99)),199,99)),FIND(":",TRIM(MID(SUBSTITUTE($V133,";",REPT(" ",99)),199,99)))-1),Materiales!$A$2:$E$502,5,FALSE)*VALUE(MID(TRIM(MID(SUBSTITUTE($V133,";",REPT(" ",99)),199,99)),FIND(":",TRIM(MID(SUBSTITUTE($V133,";",REPT(" ",99)),199,99)))+1,99)),0) + IFERROR(VLOOKUP(LEFT(TRIM(MID(SUBSTITUTE($V133,";",REPT(" ",99)),298,99)),FIND(":",TRIM(MID(SUBSTITUTE($V133,";",REPT(" ",99)),298,99)))-1),Materiales!$A$2:$E$502,5,FALSE)*VALUE(MID(TRIM(MID(SUBSTITUTE($V133,";",REPT(" ",99)),298,99)),FIND(":",TRIM(MID(SUBSTITUTE($V133,";",REPT(" ",99)),298,99)))+1,99)),0) + IFERROR(VLOOKUP(LEFT(TRIM(MID(SUBSTITUTE($V133,";",REPT(" ",99)),397,99)),FIND(":",TRIM(MID(SUBSTITUTE($V133,";",REPT(" ",99)),397,99)))-1),Materiales!$A$2:$E$502,5,FALSE)*VALUE(MID(TRIM(MID(SUBSTITUTE($V133,";",REPT(" ",99)),397,99)),FIND(":",TRIM(MID(SUBSTITUTE($V133,";",REPT(" ",99)),397,99)))+1,99)),0) + IFERROR(VLOOKUP(LEFT(TRIM(MID(SUBSTITUTE($V133,";",REPT(" ",99)),496,99)),FIND(":",TRIM(MID(SUBSTITUTE($V133,";",REPT(" ",99)),496,99)))-1),Materiales!$A$2:$E$502,5,FALSE)*VALUE(MID(TRIM(MID(SUBSTITUTE($V133,";",REPT(" ",99)),496,99)),FIND(":",TRIM(MID(SUBSTITUTE($V133,";",REPT(" ",99)),496,99)))+1,99)),0) + IFERROR(VLOOKUP(LEFT(TRIM(MID(SUBSTITUTE($V133,";",REPT(" ",99)),595,99)),FIND(":",TRIM(MID(SUBSTITUTE($V133,";",REPT(" ",99)),595,99)))-1),Materiales!$A$2:$E$502,5,FALSE)*VALUE(MID(TRIM(MID(SUBSTITUTE($V133,";",REPT(" ",99)),595,99)),FIND(":",TRIM(MID(SUBSTITUTE($V133,";",REPT(" ",99)),595,99)))+1,99)),0) + IFERROR(VLOOKUP(LEFT(TRIM(MID(SUBSTITUTE($V133,";",REPT(" ",99)),694,99)),FIND(":",TRIM(MID(SUBSTITUTE($V133,";",REPT(" ",99)),694,99)))-1),Materiales!$A$2:$E$502,5,FALSE)*VALUE(MID(TRIM(MID(SUBSTITUTE($V133,";",REPT(" ",99)),694,99)),FIND(":",TRIM(MID(SUBSTITUTE($V133,";",REPT(" ",99)),694,99)))+1,99)),0) + IFERROR(VLOOKUP(LEFT(TRIM(MID(SUBSTITUTE($V133,";",REPT(" ",99)),793,99)),FIND(":",TRIM(MID(SUBSTITUTE($V133,";",REPT(" ",99)),793,99)))-1),Materiales!$A$2:$E$502,5,FALSE)*VALUE(MID(TRIM(MID(SUBSTITUTE($V133,";",REPT(" ",99)),793,99)),FIND(":",TRIM(MID(SUBSTITUTE($V133,";",REPT(" ",99)),793,99)))+1,99)),0) + IFERROR(VLOOKUP(LEFT(TRIM(MID(SUBSTITUTE($V133,";",REPT(" ",99)),892,99)),FIND(":",TRIM(MID(SUBSTITUTE($V133,";",REPT(" ",99)),892,99)))-1),Materiales!$A$2:$E$502,5,FALSE)*VALUE(MID(TRIM(MID(SUBSTITUTE($V133,";",REPT(" ",99)),892,99)),FIND(":",TRIM(MID(SUBSTITUTE($V133,";",REPT(" ",99)),892,99)))+1,99)),0)))</f>
        <v/>
      </c>
      <c r="X133" s="39" t="str">
        <f t="shared" si="13"/>
        <v/>
      </c>
      <c r="Y133" s="64"/>
      <c r="Z133" s="41"/>
      <c r="AA133" s="65"/>
      <c r="AB133" s="14"/>
      <c r="AC133" s="66"/>
      <c r="AD133" s="65"/>
      <c r="AE133" s="44">
        <f t="shared" si="17"/>
        <v>0</v>
      </c>
      <c r="AF133" s="45" t="str">
        <f t="shared" si="20"/>
        <v>#DIV/0!</v>
      </c>
    </row>
    <row r="134" ht="15.75" customHeight="1">
      <c r="A134" s="3"/>
      <c r="B134" s="3"/>
      <c r="C134" s="38"/>
      <c r="D134" s="38"/>
      <c r="E134" s="38"/>
      <c r="F134" s="14"/>
      <c r="G134" s="5" t="str">
        <f t="array" ref="G134">IF($A134="","",IFERROR($F134*(N($C134)*XLOOKUP($B134,Ceras!$A$2:$A$500,Ceras!$G$2:$G$500,0)+IF($D134="",0,N($E134)*XLOOKUP($D134,Ceras!$A$2:$A$500,Ceras!$G$2:$G$500,0))),"Revisar cera"))</f>
        <v/>
      </c>
      <c r="H134" s="5"/>
      <c r="I134" s="3"/>
      <c r="J134" s="14"/>
      <c r="K134" s="5" t="str">
        <f t="array" ref="K134">IF($A134="","",IFERROR($J134*XLOOKUP($I134,Pabilos!$A$2:$A$500,Pabilos!$H$2:$H$500,0),"Revisar pabilo"))</f>
        <v/>
      </c>
      <c r="L134" s="3"/>
      <c r="M134" s="14"/>
      <c r="N134" s="5" t="str">
        <f t="array" ref="N134">IF($A134="","",IFERROR($M134*XLOOKUP($L134,Esencias!$A$2:$A$501,Esencias!$G$2:$G$501,0),"Revisar esencia"))</f>
        <v/>
      </c>
      <c r="O134" s="3"/>
      <c r="P134" s="14"/>
      <c r="Q134" s="5" t="str">
        <f t="array" ref="Q134">IF($A134="","",IFERROR(IF($P134="",1,$P134)*XLOOKUP($O134,Colores!$A$2:$A$500,Colores!$H$2:$H$500,0),"Revisar color"))</f>
        <v/>
      </c>
      <c r="R134" s="3"/>
      <c r="S134" s="5" t="str">
        <f t="array" ref="S134">IF($A134="","",IF($R134="",0,IFERROR(VLOOKUP(LEFT(TRIM(MID(SUBSTITUTE($R134,";",REPT(" ",99)),1,99)),FIND(":",TRIM(MID(SUBSTITUTE($R134,";",REPT(" ",99)),1,99)))-1),Materiales!$A$2:$E$502,5,FALSE)*VALUE(MID(TRIM(MID(SUBSTITUTE($R134,";",REPT(" ",99)),1,99)),FIND(":",TRIM(MID(SUBSTITUTE($R134,";",REPT(" ",99)),1,99)))+1,99)),0) + IFERROR(VLOOKUP(LEFT(TRIM(MID(SUBSTITUTE($R134,";",REPT(" ",99)),100,99)),FIND(":",TRIM(MID(SUBSTITUTE($R134,";",REPT(" ",99)),100,99)))-1),Materiales!$A$2:$E$502,5,FALSE)*VALUE(MID(TRIM(MID(SUBSTITUTE($R134,";",REPT(" ",99)),100,99)),FIND(":",TRIM(MID(SUBSTITUTE($R134,";",REPT(" ",99)),100,99)))+1,99)),0) + IFERROR(VLOOKUP(LEFT(TRIM(MID(SUBSTITUTE($R134,";",REPT(" ",99)),199,99)),FIND(":",TRIM(MID(SUBSTITUTE($R134,";",REPT(" ",99)),199,99)))-1),Materiales!$A$2:$E$502,5,FALSE)*VALUE(MID(TRIM(MID(SUBSTITUTE($R134,";",REPT(" ",99)),199,99)),FIND(":",TRIM(MID(SUBSTITUTE($R134,";",REPT(" ",99)),199,99)))+1,99)),0) + IFERROR(VLOOKUP(LEFT(TRIM(MID(SUBSTITUTE($R134,";",REPT(" ",99)),298,99)),FIND(":",TRIM(MID(SUBSTITUTE($R134,";",REPT(" ",99)),298,99)))-1),Materiales!$A$2:$E$502,5,FALSE)*VALUE(MID(TRIM(MID(SUBSTITUTE($R134,";",REPT(" ",99)),298,99)),FIND(":",TRIM(MID(SUBSTITUTE($R134,";",REPT(" ",99)),298,99)))+1,99)),0) + IFERROR(VLOOKUP(LEFT(TRIM(MID(SUBSTITUTE($R134,";",REPT(" ",99)),397,99)),FIND(":",TRIM(MID(SUBSTITUTE($R134,";",REPT(" ",99)),397,99)))-1),Materiales!$A$2:$E$502,5,FALSE)*VALUE(MID(TRIM(MID(SUBSTITUTE($R134,";",REPT(" ",99)),397,99)),FIND(":",TRIM(MID(SUBSTITUTE($R134,";",REPT(" ",99)),397,99)))+1,99)),0) + IFERROR(VLOOKUP(LEFT(TRIM(MID(SUBSTITUTE($R134,";",REPT(" ",99)),496,99)),FIND(":",TRIM(MID(SUBSTITUTE($R134,";",REPT(" ",99)),496,99)))-1),Materiales!$A$2:$E$502,5,FALSE)*VALUE(MID(TRIM(MID(SUBSTITUTE($R134,";",REPT(" ",99)),496,99)),FIND(":",TRIM(MID(SUBSTITUTE($R134,";",REPT(" ",99)),496,99)))+1,99)),0) + IFERROR(VLOOKUP(LEFT(TRIM(MID(SUBSTITUTE($R134,";",REPT(" ",99)),595,99)),FIND(":",TRIM(MID(SUBSTITUTE($R134,";",REPT(" ",99)),595,99)))-1),Materiales!$A$2:$E$502,5,FALSE)*VALUE(MID(TRIM(MID(SUBSTITUTE($R134,";",REPT(" ",99)),595,99)),FIND(":",TRIM(MID(SUBSTITUTE($R134,";",REPT(" ",99)),595,99)))+1,99)),0) + IFERROR(VLOOKUP(LEFT(TRIM(MID(SUBSTITUTE($R134,";",REPT(" ",99)),694,99)),FIND(":",TRIM(MID(SUBSTITUTE($R134,";",REPT(" ",99)),694,99)))-1),Materiales!$A$2:$E$502,5,FALSE)*VALUE(MID(TRIM(MID(SUBSTITUTE($R134,";",REPT(" ",99)),694,99)),FIND(":",TRIM(MID(SUBSTITUTE($R134,";",REPT(" ",99)),694,99)))+1,99)),0) + IFERROR(VLOOKUP(LEFT(TRIM(MID(SUBSTITUTE($R134,";",REPT(" ",99)),793,99)),FIND(":",TRIM(MID(SUBSTITUTE($R134,";",REPT(" ",99)),793,99)))-1),Materiales!$A$2:$E$502,5,FALSE)*VALUE(MID(TRIM(MID(SUBSTITUTE($R134,";",REPT(" ",99)),793,99)),FIND(":",TRIM(MID(SUBSTITUTE($R134,";",REPT(" ",99)),793,99)))+1,99)),0) + IFERROR(VLOOKUP(LEFT(TRIM(MID(SUBSTITUTE($R134,";",REPT(" ",99)),892,99)),FIND(":",TRIM(MID(SUBSTITUTE($R134,";",REPT(" ",99)),892,99)))-1),Materiales!$A$2:$E$502,5,FALSE)*VALUE(MID(TRIM(MID(SUBSTITUTE($R134,";",REPT(" ",99)),892,99)),FIND(":",TRIM(MID(SUBSTITUTE($R134,";",REPT(" ",99)),892,99)))+1,99)),0)))</f>
        <v/>
      </c>
      <c r="T134" s="3"/>
      <c r="U134" s="5" t="str">
        <f t="array" ref="U134">IF($A134="","",IF($T134="",0,IFERROR(VLOOKUP(LEFT(TRIM(MID(SUBSTITUTE($T134,";",REPT(" ",99)),1,99)),FIND(":",TRIM(MID(SUBSTITUTE($T134,";",REPT(" ",99)),1,99)))-1),Materiales!$A$2:$E$502,5,FALSE)*VALUE(MID(TRIM(MID(SUBSTITUTE($T134,";",REPT(" ",99)),1,99)),FIND(":",TRIM(MID(SUBSTITUTE($T134,";",REPT(" ",99)),1,99)))+1,99)),0) + IFERROR(VLOOKUP(LEFT(TRIM(MID(SUBSTITUTE($T134,";",REPT(" ",99)),100,99)),FIND(":",TRIM(MID(SUBSTITUTE($T134,";",REPT(" ",99)),100,99)))-1),Materiales!$A$2:$E$502,5,FALSE)*VALUE(MID(TRIM(MID(SUBSTITUTE($T134,";",REPT(" ",99)),100,99)),FIND(":",TRIM(MID(SUBSTITUTE($T134,";",REPT(" ",99)),100,99)))+1,99)),0) + IFERROR(VLOOKUP(LEFT(TRIM(MID(SUBSTITUTE($T134,";",REPT(" ",99)),199,99)),FIND(":",TRIM(MID(SUBSTITUTE($T134,";",REPT(" ",99)),199,99)))-1),Materiales!$A$2:$E$502,5,FALSE)*VALUE(MID(TRIM(MID(SUBSTITUTE($T134,";",REPT(" ",99)),199,99)),FIND(":",TRIM(MID(SUBSTITUTE($T134,";",REPT(" ",99)),199,99)))+1,99)),0) + IFERROR(VLOOKUP(LEFT(TRIM(MID(SUBSTITUTE($T134,";",REPT(" ",99)),298,99)),FIND(":",TRIM(MID(SUBSTITUTE($T134,";",REPT(" ",99)),298,99)))-1),Materiales!$A$2:$E$502,5,FALSE)*VALUE(MID(TRIM(MID(SUBSTITUTE($T134,";",REPT(" ",99)),298,99)),FIND(":",TRIM(MID(SUBSTITUTE($T134,";",REPT(" ",99)),298,99)))+1,99)),0) + IFERROR(VLOOKUP(LEFT(TRIM(MID(SUBSTITUTE($T134,";",REPT(" ",99)),397,99)),FIND(":",TRIM(MID(SUBSTITUTE($T134,";",REPT(" ",99)),397,99)))-1),Materiales!$A$2:$E$502,5,FALSE)*VALUE(MID(TRIM(MID(SUBSTITUTE($T134,";",REPT(" ",99)),397,99)),FIND(":",TRIM(MID(SUBSTITUTE($T134,";",REPT(" ",99)),397,99)))+1,99)),0) + IFERROR(VLOOKUP(LEFT(TRIM(MID(SUBSTITUTE($T134,";",REPT(" ",99)),496,99)),FIND(":",TRIM(MID(SUBSTITUTE($T134,";",REPT(" ",99)),496,99)))-1),Materiales!$A$2:$E$502,5,FALSE)*VALUE(MID(TRIM(MID(SUBSTITUTE($T134,";",REPT(" ",99)),496,99)),FIND(":",TRIM(MID(SUBSTITUTE($T134,";",REPT(" ",99)),496,99)))+1,99)),0) + IFERROR(VLOOKUP(LEFT(TRIM(MID(SUBSTITUTE($T134,";",REPT(" ",99)),595,99)),FIND(":",TRIM(MID(SUBSTITUTE($T134,";",REPT(" ",99)),595,99)))-1),Materiales!$A$2:$E$502,5,FALSE)*VALUE(MID(TRIM(MID(SUBSTITUTE($T134,";",REPT(" ",99)),595,99)),FIND(":",TRIM(MID(SUBSTITUTE($T134,";",REPT(" ",99)),595,99)))+1,99)),0) + IFERROR(VLOOKUP(LEFT(TRIM(MID(SUBSTITUTE($T134,";",REPT(" ",99)),694,99)),FIND(":",TRIM(MID(SUBSTITUTE($T134,";",REPT(" ",99)),694,99)))-1),Materiales!$A$2:$E$502,5,FALSE)*VALUE(MID(TRIM(MID(SUBSTITUTE($T134,";",REPT(" ",99)),694,99)),FIND(":",TRIM(MID(SUBSTITUTE($T134,";",REPT(" ",99)),694,99)))+1,99)),0) + IFERROR(VLOOKUP(LEFT(TRIM(MID(SUBSTITUTE($T134,";",REPT(" ",99)),793,99)),FIND(":",TRIM(MID(SUBSTITUTE($T134,";",REPT(" ",99)),793,99)))-1),Materiales!$A$2:$E$502,5,FALSE)*VALUE(MID(TRIM(MID(SUBSTITUTE($T134,";",REPT(" ",99)),793,99)),FIND(":",TRIM(MID(SUBSTITUTE($T134,";",REPT(" ",99)),793,99)))+1,99)),0) + IFERROR(VLOOKUP(LEFT(TRIM(MID(SUBSTITUTE($T134,";",REPT(" ",99)),892,99)),FIND(":",TRIM(MID(SUBSTITUTE($T134,";",REPT(" ",99)),892,99)))-1),Materiales!$A$2:$E$502,5,FALSE)*VALUE(MID(TRIM(MID(SUBSTITUTE($T134,";",REPT(" ",99)),892,99)),FIND(":",TRIM(MID(SUBSTITUTE($T134,";",REPT(" ",99)),892,99)))+1,99)),0)))</f>
        <v/>
      </c>
      <c r="V134" s="3"/>
      <c r="W134" s="5" t="str">
        <f t="array" ref="W134">IF($A134="","",IF($V134="",0,IFERROR(VLOOKUP(LEFT(TRIM(MID(SUBSTITUTE($V134,";",REPT(" ",99)),1,99)),FIND(":",TRIM(MID(SUBSTITUTE($V134,";",REPT(" ",99)),1,99)))-1),Materiales!$A$2:$E$502,5,FALSE)*VALUE(MID(TRIM(MID(SUBSTITUTE($V134,";",REPT(" ",99)),1,99)),FIND(":",TRIM(MID(SUBSTITUTE($V134,";",REPT(" ",99)),1,99)))+1,99)),0) + IFERROR(VLOOKUP(LEFT(TRIM(MID(SUBSTITUTE($V134,";",REPT(" ",99)),100,99)),FIND(":",TRIM(MID(SUBSTITUTE($V134,";",REPT(" ",99)),100,99)))-1),Materiales!$A$2:$E$502,5,FALSE)*VALUE(MID(TRIM(MID(SUBSTITUTE($V134,";",REPT(" ",99)),100,99)),FIND(":",TRIM(MID(SUBSTITUTE($V134,";",REPT(" ",99)),100,99)))+1,99)),0) + IFERROR(VLOOKUP(LEFT(TRIM(MID(SUBSTITUTE($V134,";",REPT(" ",99)),199,99)),FIND(":",TRIM(MID(SUBSTITUTE($V134,";",REPT(" ",99)),199,99)))-1),Materiales!$A$2:$E$502,5,FALSE)*VALUE(MID(TRIM(MID(SUBSTITUTE($V134,";",REPT(" ",99)),199,99)),FIND(":",TRIM(MID(SUBSTITUTE($V134,";",REPT(" ",99)),199,99)))+1,99)),0) + IFERROR(VLOOKUP(LEFT(TRIM(MID(SUBSTITUTE($V134,";",REPT(" ",99)),298,99)),FIND(":",TRIM(MID(SUBSTITUTE($V134,";",REPT(" ",99)),298,99)))-1),Materiales!$A$2:$E$502,5,FALSE)*VALUE(MID(TRIM(MID(SUBSTITUTE($V134,";",REPT(" ",99)),298,99)),FIND(":",TRIM(MID(SUBSTITUTE($V134,";",REPT(" ",99)),298,99)))+1,99)),0) + IFERROR(VLOOKUP(LEFT(TRIM(MID(SUBSTITUTE($V134,";",REPT(" ",99)),397,99)),FIND(":",TRIM(MID(SUBSTITUTE($V134,";",REPT(" ",99)),397,99)))-1),Materiales!$A$2:$E$502,5,FALSE)*VALUE(MID(TRIM(MID(SUBSTITUTE($V134,";",REPT(" ",99)),397,99)),FIND(":",TRIM(MID(SUBSTITUTE($V134,";",REPT(" ",99)),397,99)))+1,99)),0) + IFERROR(VLOOKUP(LEFT(TRIM(MID(SUBSTITUTE($V134,";",REPT(" ",99)),496,99)),FIND(":",TRIM(MID(SUBSTITUTE($V134,";",REPT(" ",99)),496,99)))-1),Materiales!$A$2:$E$502,5,FALSE)*VALUE(MID(TRIM(MID(SUBSTITUTE($V134,";",REPT(" ",99)),496,99)),FIND(":",TRIM(MID(SUBSTITUTE($V134,";",REPT(" ",99)),496,99)))+1,99)),0) + IFERROR(VLOOKUP(LEFT(TRIM(MID(SUBSTITUTE($V134,";",REPT(" ",99)),595,99)),FIND(":",TRIM(MID(SUBSTITUTE($V134,";",REPT(" ",99)),595,99)))-1),Materiales!$A$2:$E$502,5,FALSE)*VALUE(MID(TRIM(MID(SUBSTITUTE($V134,";",REPT(" ",99)),595,99)),FIND(":",TRIM(MID(SUBSTITUTE($V134,";",REPT(" ",99)),595,99)))+1,99)),0) + IFERROR(VLOOKUP(LEFT(TRIM(MID(SUBSTITUTE($V134,";",REPT(" ",99)),694,99)),FIND(":",TRIM(MID(SUBSTITUTE($V134,";",REPT(" ",99)),694,99)))-1),Materiales!$A$2:$E$502,5,FALSE)*VALUE(MID(TRIM(MID(SUBSTITUTE($V134,";",REPT(" ",99)),694,99)),FIND(":",TRIM(MID(SUBSTITUTE($V134,";",REPT(" ",99)),694,99)))+1,99)),0) + IFERROR(VLOOKUP(LEFT(TRIM(MID(SUBSTITUTE($V134,";",REPT(" ",99)),793,99)),FIND(":",TRIM(MID(SUBSTITUTE($V134,";",REPT(" ",99)),793,99)))-1),Materiales!$A$2:$E$502,5,FALSE)*VALUE(MID(TRIM(MID(SUBSTITUTE($V134,";",REPT(" ",99)),793,99)),FIND(":",TRIM(MID(SUBSTITUTE($V134,";",REPT(" ",99)),793,99)))+1,99)),0) + IFERROR(VLOOKUP(LEFT(TRIM(MID(SUBSTITUTE($V134,";",REPT(" ",99)),892,99)),FIND(":",TRIM(MID(SUBSTITUTE($V134,";",REPT(" ",99)),892,99)))-1),Materiales!$A$2:$E$502,5,FALSE)*VALUE(MID(TRIM(MID(SUBSTITUTE($V134,";",REPT(" ",99)),892,99)),FIND(":",TRIM(MID(SUBSTITUTE($V134,";",REPT(" ",99)),892,99)))+1,99)),0)))</f>
        <v/>
      </c>
      <c r="X134" s="39" t="str">
        <f t="shared" si="13"/>
        <v/>
      </c>
      <c r="Y134" s="64"/>
      <c r="Z134" s="41"/>
      <c r="AA134" s="65"/>
      <c r="AB134" s="14"/>
      <c r="AC134" s="66"/>
      <c r="AD134" s="65"/>
      <c r="AE134" s="44">
        <f t="shared" si="17"/>
        <v>0</v>
      </c>
      <c r="AF134" s="45" t="str">
        <f t="shared" si="20"/>
        <v>#DIV/0!</v>
      </c>
    </row>
    <row r="135" ht="15.75" customHeight="1">
      <c r="A135" s="3"/>
      <c r="B135" s="3"/>
      <c r="C135" s="38"/>
      <c r="D135" s="38"/>
      <c r="E135" s="38"/>
      <c r="F135" s="14"/>
      <c r="G135" s="5" t="str">
        <f t="array" ref="G135">IF($A135="","",IFERROR($F135*(N($C135)*XLOOKUP($B135,Ceras!$A$2:$A$500,Ceras!$G$2:$G$500,0)+IF($D135="",0,N($E135)*XLOOKUP($D135,Ceras!$A$2:$A$500,Ceras!$G$2:$G$500,0))),"Revisar cera"))</f>
        <v/>
      </c>
      <c r="H135" s="5"/>
      <c r="I135" s="3"/>
      <c r="J135" s="14"/>
      <c r="K135" s="5" t="str">
        <f t="array" ref="K135">IF($A135="","",IFERROR($J135*XLOOKUP($I135,Pabilos!$A$2:$A$500,Pabilos!$H$2:$H$500,0),"Revisar pabilo"))</f>
        <v/>
      </c>
      <c r="L135" s="3"/>
      <c r="M135" s="14"/>
      <c r="N135" s="5" t="str">
        <f t="array" ref="N135">IF($A135="","",IFERROR($M135*XLOOKUP($L135,Esencias!$A$2:$A$501,Esencias!$G$2:$G$501,0),"Revisar esencia"))</f>
        <v/>
      </c>
      <c r="O135" s="3"/>
      <c r="P135" s="14"/>
      <c r="Q135" s="5" t="str">
        <f t="array" ref="Q135">IF($A135="","",IFERROR(IF($P135="",1,$P135)*XLOOKUP($O135,Colores!$A$2:$A$500,Colores!$H$2:$H$500,0),"Revisar color"))</f>
        <v/>
      </c>
      <c r="R135" s="3"/>
      <c r="S135" s="5" t="str">
        <f t="array" ref="S135">IF($A135="","",IF($R135="",0,IFERROR(VLOOKUP(LEFT(TRIM(MID(SUBSTITUTE($R135,";",REPT(" ",99)),1,99)),FIND(":",TRIM(MID(SUBSTITUTE($R135,";",REPT(" ",99)),1,99)))-1),Materiales!$A$2:$E$502,5,FALSE)*VALUE(MID(TRIM(MID(SUBSTITUTE($R135,";",REPT(" ",99)),1,99)),FIND(":",TRIM(MID(SUBSTITUTE($R135,";",REPT(" ",99)),1,99)))+1,99)),0) + IFERROR(VLOOKUP(LEFT(TRIM(MID(SUBSTITUTE($R135,";",REPT(" ",99)),100,99)),FIND(":",TRIM(MID(SUBSTITUTE($R135,";",REPT(" ",99)),100,99)))-1),Materiales!$A$2:$E$502,5,FALSE)*VALUE(MID(TRIM(MID(SUBSTITUTE($R135,";",REPT(" ",99)),100,99)),FIND(":",TRIM(MID(SUBSTITUTE($R135,";",REPT(" ",99)),100,99)))+1,99)),0) + IFERROR(VLOOKUP(LEFT(TRIM(MID(SUBSTITUTE($R135,";",REPT(" ",99)),199,99)),FIND(":",TRIM(MID(SUBSTITUTE($R135,";",REPT(" ",99)),199,99)))-1),Materiales!$A$2:$E$502,5,FALSE)*VALUE(MID(TRIM(MID(SUBSTITUTE($R135,";",REPT(" ",99)),199,99)),FIND(":",TRIM(MID(SUBSTITUTE($R135,";",REPT(" ",99)),199,99)))+1,99)),0) + IFERROR(VLOOKUP(LEFT(TRIM(MID(SUBSTITUTE($R135,";",REPT(" ",99)),298,99)),FIND(":",TRIM(MID(SUBSTITUTE($R135,";",REPT(" ",99)),298,99)))-1),Materiales!$A$2:$E$502,5,FALSE)*VALUE(MID(TRIM(MID(SUBSTITUTE($R135,";",REPT(" ",99)),298,99)),FIND(":",TRIM(MID(SUBSTITUTE($R135,";",REPT(" ",99)),298,99)))+1,99)),0) + IFERROR(VLOOKUP(LEFT(TRIM(MID(SUBSTITUTE($R135,";",REPT(" ",99)),397,99)),FIND(":",TRIM(MID(SUBSTITUTE($R135,";",REPT(" ",99)),397,99)))-1),Materiales!$A$2:$E$502,5,FALSE)*VALUE(MID(TRIM(MID(SUBSTITUTE($R135,";",REPT(" ",99)),397,99)),FIND(":",TRIM(MID(SUBSTITUTE($R135,";",REPT(" ",99)),397,99)))+1,99)),0) + IFERROR(VLOOKUP(LEFT(TRIM(MID(SUBSTITUTE($R135,";",REPT(" ",99)),496,99)),FIND(":",TRIM(MID(SUBSTITUTE($R135,";",REPT(" ",99)),496,99)))-1),Materiales!$A$2:$E$502,5,FALSE)*VALUE(MID(TRIM(MID(SUBSTITUTE($R135,";",REPT(" ",99)),496,99)),FIND(":",TRIM(MID(SUBSTITUTE($R135,";",REPT(" ",99)),496,99)))+1,99)),0) + IFERROR(VLOOKUP(LEFT(TRIM(MID(SUBSTITUTE($R135,";",REPT(" ",99)),595,99)),FIND(":",TRIM(MID(SUBSTITUTE($R135,";",REPT(" ",99)),595,99)))-1),Materiales!$A$2:$E$502,5,FALSE)*VALUE(MID(TRIM(MID(SUBSTITUTE($R135,";",REPT(" ",99)),595,99)),FIND(":",TRIM(MID(SUBSTITUTE($R135,";",REPT(" ",99)),595,99)))+1,99)),0) + IFERROR(VLOOKUP(LEFT(TRIM(MID(SUBSTITUTE($R135,";",REPT(" ",99)),694,99)),FIND(":",TRIM(MID(SUBSTITUTE($R135,";",REPT(" ",99)),694,99)))-1),Materiales!$A$2:$E$502,5,FALSE)*VALUE(MID(TRIM(MID(SUBSTITUTE($R135,";",REPT(" ",99)),694,99)),FIND(":",TRIM(MID(SUBSTITUTE($R135,";",REPT(" ",99)),694,99)))+1,99)),0) + IFERROR(VLOOKUP(LEFT(TRIM(MID(SUBSTITUTE($R135,";",REPT(" ",99)),793,99)),FIND(":",TRIM(MID(SUBSTITUTE($R135,";",REPT(" ",99)),793,99)))-1),Materiales!$A$2:$E$502,5,FALSE)*VALUE(MID(TRIM(MID(SUBSTITUTE($R135,";",REPT(" ",99)),793,99)),FIND(":",TRIM(MID(SUBSTITUTE($R135,";",REPT(" ",99)),793,99)))+1,99)),0) + IFERROR(VLOOKUP(LEFT(TRIM(MID(SUBSTITUTE($R135,";",REPT(" ",99)),892,99)),FIND(":",TRIM(MID(SUBSTITUTE($R135,";",REPT(" ",99)),892,99)))-1),Materiales!$A$2:$E$502,5,FALSE)*VALUE(MID(TRIM(MID(SUBSTITUTE($R135,";",REPT(" ",99)),892,99)),FIND(":",TRIM(MID(SUBSTITUTE($R135,";",REPT(" ",99)),892,99)))+1,99)),0)))</f>
        <v/>
      </c>
      <c r="T135" s="3"/>
      <c r="U135" s="5" t="str">
        <f t="array" ref="U135">IF($A135="","",IF($T135="",0,IFERROR(VLOOKUP(LEFT(TRIM(MID(SUBSTITUTE($T135,";",REPT(" ",99)),1,99)),FIND(":",TRIM(MID(SUBSTITUTE($T135,";",REPT(" ",99)),1,99)))-1),Materiales!$A$2:$E$502,5,FALSE)*VALUE(MID(TRIM(MID(SUBSTITUTE($T135,";",REPT(" ",99)),1,99)),FIND(":",TRIM(MID(SUBSTITUTE($T135,";",REPT(" ",99)),1,99)))+1,99)),0) + IFERROR(VLOOKUP(LEFT(TRIM(MID(SUBSTITUTE($T135,";",REPT(" ",99)),100,99)),FIND(":",TRIM(MID(SUBSTITUTE($T135,";",REPT(" ",99)),100,99)))-1),Materiales!$A$2:$E$502,5,FALSE)*VALUE(MID(TRIM(MID(SUBSTITUTE($T135,";",REPT(" ",99)),100,99)),FIND(":",TRIM(MID(SUBSTITUTE($T135,";",REPT(" ",99)),100,99)))+1,99)),0) + IFERROR(VLOOKUP(LEFT(TRIM(MID(SUBSTITUTE($T135,";",REPT(" ",99)),199,99)),FIND(":",TRIM(MID(SUBSTITUTE($T135,";",REPT(" ",99)),199,99)))-1),Materiales!$A$2:$E$502,5,FALSE)*VALUE(MID(TRIM(MID(SUBSTITUTE($T135,";",REPT(" ",99)),199,99)),FIND(":",TRIM(MID(SUBSTITUTE($T135,";",REPT(" ",99)),199,99)))+1,99)),0) + IFERROR(VLOOKUP(LEFT(TRIM(MID(SUBSTITUTE($T135,";",REPT(" ",99)),298,99)),FIND(":",TRIM(MID(SUBSTITUTE($T135,";",REPT(" ",99)),298,99)))-1),Materiales!$A$2:$E$502,5,FALSE)*VALUE(MID(TRIM(MID(SUBSTITUTE($T135,";",REPT(" ",99)),298,99)),FIND(":",TRIM(MID(SUBSTITUTE($T135,";",REPT(" ",99)),298,99)))+1,99)),0) + IFERROR(VLOOKUP(LEFT(TRIM(MID(SUBSTITUTE($T135,";",REPT(" ",99)),397,99)),FIND(":",TRIM(MID(SUBSTITUTE($T135,";",REPT(" ",99)),397,99)))-1),Materiales!$A$2:$E$502,5,FALSE)*VALUE(MID(TRIM(MID(SUBSTITUTE($T135,";",REPT(" ",99)),397,99)),FIND(":",TRIM(MID(SUBSTITUTE($T135,";",REPT(" ",99)),397,99)))+1,99)),0) + IFERROR(VLOOKUP(LEFT(TRIM(MID(SUBSTITUTE($T135,";",REPT(" ",99)),496,99)),FIND(":",TRIM(MID(SUBSTITUTE($T135,";",REPT(" ",99)),496,99)))-1),Materiales!$A$2:$E$502,5,FALSE)*VALUE(MID(TRIM(MID(SUBSTITUTE($T135,";",REPT(" ",99)),496,99)),FIND(":",TRIM(MID(SUBSTITUTE($T135,";",REPT(" ",99)),496,99)))+1,99)),0) + IFERROR(VLOOKUP(LEFT(TRIM(MID(SUBSTITUTE($T135,";",REPT(" ",99)),595,99)),FIND(":",TRIM(MID(SUBSTITUTE($T135,";",REPT(" ",99)),595,99)))-1),Materiales!$A$2:$E$502,5,FALSE)*VALUE(MID(TRIM(MID(SUBSTITUTE($T135,";",REPT(" ",99)),595,99)),FIND(":",TRIM(MID(SUBSTITUTE($T135,";",REPT(" ",99)),595,99)))+1,99)),0) + IFERROR(VLOOKUP(LEFT(TRIM(MID(SUBSTITUTE($T135,";",REPT(" ",99)),694,99)),FIND(":",TRIM(MID(SUBSTITUTE($T135,";",REPT(" ",99)),694,99)))-1),Materiales!$A$2:$E$502,5,FALSE)*VALUE(MID(TRIM(MID(SUBSTITUTE($T135,";",REPT(" ",99)),694,99)),FIND(":",TRIM(MID(SUBSTITUTE($T135,";",REPT(" ",99)),694,99)))+1,99)),0) + IFERROR(VLOOKUP(LEFT(TRIM(MID(SUBSTITUTE($T135,";",REPT(" ",99)),793,99)),FIND(":",TRIM(MID(SUBSTITUTE($T135,";",REPT(" ",99)),793,99)))-1),Materiales!$A$2:$E$502,5,FALSE)*VALUE(MID(TRIM(MID(SUBSTITUTE($T135,";",REPT(" ",99)),793,99)),FIND(":",TRIM(MID(SUBSTITUTE($T135,";",REPT(" ",99)),793,99)))+1,99)),0) + IFERROR(VLOOKUP(LEFT(TRIM(MID(SUBSTITUTE($T135,";",REPT(" ",99)),892,99)),FIND(":",TRIM(MID(SUBSTITUTE($T135,";",REPT(" ",99)),892,99)))-1),Materiales!$A$2:$E$502,5,FALSE)*VALUE(MID(TRIM(MID(SUBSTITUTE($T135,";",REPT(" ",99)),892,99)),FIND(":",TRIM(MID(SUBSTITUTE($T135,";",REPT(" ",99)),892,99)))+1,99)),0)))</f>
        <v/>
      </c>
      <c r="V135" s="3"/>
      <c r="W135" s="5" t="str">
        <f t="array" ref="W135">IF($A135="","",IF($V135="",0,IFERROR(VLOOKUP(LEFT(TRIM(MID(SUBSTITUTE($V135,";",REPT(" ",99)),1,99)),FIND(":",TRIM(MID(SUBSTITUTE($V135,";",REPT(" ",99)),1,99)))-1),Materiales!$A$2:$E$502,5,FALSE)*VALUE(MID(TRIM(MID(SUBSTITUTE($V135,";",REPT(" ",99)),1,99)),FIND(":",TRIM(MID(SUBSTITUTE($V135,";",REPT(" ",99)),1,99)))+1,99)),0) + IFERROR(VLOOKUP(LEFT(TRIM(MID(SUBSTITUTE($V135,";",REPT(" ",99)),100,99)),FIND(":",TRIM(MID(SUBSTITUTE($V135,";",REPT(" ",99)),100,99)))-1),Materiales!$A$2:$E$502,5,FALSE)*VALUE(MID(TRIM(MID(SUBSTITUTE($V135,";",REPT(" ",99)),100,99)),FIND(":",TRIM(MID(SUBSTITUTE($V135,";",REPT(" ",99)),100,99)))+1,99)),0) + IFERROR(VLOOKUP(LEFT(TRIM(MID(SUBSTITUTE($V135,";",REPT(" ",99)),199,99)),FIND(":",TRIM(MID(SUBSTITUTE($V135,";",REPT(" ",99)),199,99)))-1),Materiales!$A$2:$E$502,5,FALSE)*VALUE(MID(TRIM(MID(SUBSTITUTE($V135,";",REPT(" ",99)),199,99)),FIND(":",TRIM(MID(SUBSTITUTE($V135,";",REPT(" ",99)),199,99)))+1,99)),0) + IFERROR(VLOOKUP(LEFT(TRIM(MID(SUBSTITUTE($V135,";",REPT(" ",99)),298,99)),FIND(":",TRIM(MID(SUBSTITUTE($V135,";",REPT(" ",99)),298,99)))-1),Materiales!$A$2:$E$502,5,FALSE)*VALUE(MID(TRIM(MID(SUBSTITUTE($V135,";",REPT(" ",99)),298,99)),FIND(":",TRIM(MID(SUBSTITUTE($V135,";",REPT(" ",99)),298,99)))+1,99)),0) + IFERROR(VLOOKUP(LEFT(TRIM(MID(SUBSTITUTE($V135,";",REPT(" ",99)),397,99)),FIND(":",TRIM(MID(SUBSTITUTE($V135,";",REPT(" ",99)),397,99)))-1),Materiales!$A$2:$E$502,5,FALSE)*VALUE(MID(TRIM(MID(SUBSTITUTE($V135,";",REPT(" ",99)),397,99)),FIND(":",TRIM(MID(SUBSTITUTE($V135,";",REPT(" ",99)),397,99)))+1,99)),0) + IFERROR(VLOOKUP(LEFT(TRIM(MID(SUBSTITUTE($V135,";",REPT(" ",99)),496,99)),FIND(":",TRIM(MID(SUBSTITUTE($V135,";",REPT(" ",99)),496,99)))-1),Materiales!$A$2:$E$502,5,FALSE)*VALUE(MID(TRIM(MID(SUBSTITUTE($V135,";",REPT(" ",99)),496,99)),FIND(":",TRIM(MID(SUBSTITUTE($V135,";",REPT(" ",99)),496,99)))+1,99)),0) + IFERROR(VLOOKUP(LEFT(TRIM(MID(SUBSTITUTE($V135,";",REPT(" ",99)),595,99)),FIND(":",TRIM(MID(SUBSTITUTE($V135,";",REPT(" ",99)),595,99)))-1),Materiales!$A$2:$E$502,5,FALSE)*VALUE(MID(TRIM(MID(SUBSTITUTE($V135,";",REPT(" ",99)),595,99)),FIND(":",TRIM(MID(SUBSTITUTE($V135,";",REPT(" ",99)),595,99)))+1,99)),0) + IFERROR(VLOOKUP(LEFT(TRIM(MID(SUBSTITUTE($V135,";",REPT(" ",99)),694,99)),FIND(":",TRIM(MID(SUBSTITUTE($V135,";",REPT(" ",99)),694,99)))-1),Materiales!$A$2:$E$502,5,FALSE)*VALUE(MID(TRIM(MID(SUBSTITUTE($V135,";",REPT(" ",99)),694,99)),FIND(":",TRIM(MID(SUBSTITUTE($V135,";",REPT(" ",99)),694,99)))+1,99)),0) + IFERROR(VLOOKUP(LEFT(TRIM(MID(SUBSTITUTE($V135,";",REPT(" ",99)),793,99)),FIND(":",TRIM(MID(SUBSTITUTE($V135,";",REPT(" ",99)),793,99)))-1),Materiales!$A$2:$E$502,5,FALSE)*VALUE(MID(TRIM(MID(SUBSTITUTE($V135,";",REPT(" ",99)),793,99)),FIND(":",TRIM(MID(SUBSTITUTE($V135,";",REPT(" ",99)),793,99)))+1,99)),0) + IFERROR(VLOOKUP(LEFT(TRIM(MID(SUBSTITUTE($V135,";",REPT(" ",99)),892,99)),FIND(":",TRIM(MID(SUBSTITUTE($V135,";",REPT(" ",99)),892,99)))-1),Materiales!$A$2:$E$502,5,FALSE)*VALUE(MID(TRIM(MID(SUBSTITUTE($V135,";",REPT(" ",99)),892,99)),FIND(":",TRIM(MID(SUBSTITUTE($V135,";",REPT(" ",99)),892,99)))+1,99)),0)))</f>
        <v/>
      </c>
      <c r="X135" s="39" t="str">
        <f t="shared" si="13"/>
        <v/>
      </c>
      <c r="Y135" s="64"/>
      <c r="Z135" s="41"/>
      <c r="AA135" s="65"/>
      <c r="AB135" s="14"/>
      <c r="AC135" s="66"/>
      <c r="AD135" s="65"/>
      <c r="AE135" s="44">
        <f t="shared" si="17"/>
        <v>0</v>
      </c>
      <c r="AF135" s="45" t="str">
        <f t="shared" si="20"/>
        <v>#DIV/0!</v>
      </c>
    </row>
    <row r="136" ht="15.75" customHeight="1">
      <c r="A136" s="3"/>
      <c r="B136" s="3"/>
      <c r="C136" s="38"/>
      <c r="D136" s="38"/>
      <c r="E136" s="38"/>
      <c r="F136" s="14"/>
      <c r="G136" s="5" t="str">
        <f t="array" ref="G136">IF($A136="","",IFERROR($F136*(N($C136)*XLOOKUP($B136,Ceras!$A$2:$A$500,Ceras!$G$2:$G$500,0)+IF($D136="",0,N($E136)*XLOOKUP($D136,Ceras!$A$2:$A$500,Ceras!$G$2:$G$500,0))),"Revisar cera"))</f>
        <v/>
      </c>
      <c r="H136" s="5"/>
      <c r="I136" s="3"/>
      <c r="J136" s="14"/>
      <c r="K136" s="5" t="str">
        <f t="array" ref="K136">IF($A136="","",IFERROR($J136*XLOOKUP($I136,Pabilos!$A$2:$A$500,Pabilos!$H$2:$H$500,0),"Revisar pabilo"))</f>
        <v/>
      </c>
      <c r="L136" s="3"/>
      <c r="M136" s="14"/>
      <c r="N136" s="5" t="str">
        <f t="array" ref="N136">IF($A136="","",IFERROR($M136*XLOOKUP($L136,Esencias!$A$2:$A$501,Esencias!$G$2:$G$501,0),"Revisar esencia"))</f>
        <v/>
      </c>
      <c r="O136" s="3"/>
      <c r="P136" s="14"/>
      <c r="Q136" s="5" t="str">
        <f t="array" ref="Q136">IF($A136="","",IFERROR(IF($P136="",1,$P136)*XLOOKUP($O136,Colores!$A$2:$A$500,Colores!$H$2:$H$500,0),"Revisar color"))</f>
        <v/>
      </c>
      <c r="R136" s="3"/>
      <c r="S136" s="5" t="str">
        <f t="array" ref="S136">IF($A136="","",IF($R136="",0,IFERROR(VLOOKUP(LEFT(TRIM(MID(SUBSTITUTE($R136,";",REPT(" ",99)),1,99)),FIND(":",TRIM(MID(SUBSTITUTE($R136,";",REPT(" ",99)),1,99)))-1),Materiales!$A$2:$E$502,5,FALSE)*VALUE(MID(TRIM(MID(SUBSTITUTE($R136,";",REPT(" ",99)),1,99)),FIND(":",TRIM(MID(SUBSTITUTE($R136,";",REPT(" ",99)),1,99)))+1,99)),0) + IFERROR(VLOOKUP(LEFT(TRIM(MID(SUBSTITUTE($R136,";",REPT(" ",99)),100,99)),FIND(":",TRIM(MID(SUBSTITUTE($R136,";",REPT(" ",99)),100,99)))-1),Materiales!$A$2:$E$502,5,FALSE)*VALUE(MID(TRIM(MID(SUBSTITUTE($R136,";",REPT(" ",99)),100,99)),FIND(":",TRIM(MID(SUBSTITUTE($R136,";",REPT(" ",99)),100,99)))+1,99)),0) + IFERROR(VLOOKUP(LEFT(TRIM(MID(SUBSTITUTE($R136,";",REPT(" ",99)),199,99)),FIND(":",TRIM(MID(SUBSTITUTE($R136,";",REPT(" ",99)),199,99)))-1),Materiales!$A$2:$E$502,5,FALSE)*VALUE(MID(TRIM(MID(SUBSTITUTE($R136,";",REPT(" ",99)),199,99)),FIND(":",TRIM(MID(SUBSTITUTE($R136,";",REPT(" ",99)),199,99)))+1,99)),0) + IFERROR(VLOOKUP(LEFT(TRIM(MID(SUBSTITUTE($R136,";",REPT(" ",99)),298,99)),FIND(":",TRIM(MID(SUBSTITUTE($R136,";",REPT(" ",99)),298,99)))-1),Materiales!$A$2:$E$502,5,FALSE)*VALUE(MID(TRIM(MID(SUBSTITUTE($R136,";",REPT(" ",99)),298,99)),FIND(":",TRIM(MID(SUBSTITUTE($R136,";",REPT(" ",99)),298,99)))+1,99)),0) + IFERROR(VLOOKUP(LEFT(TRIM(MID(SUBSTITUTE($R136,";",REPT(" ",99)),397,99)),FIND(":",TRIM(MID(SUBSTITUTE($R136,";",REPT(" ",99)),397,99)))-1),Materiales!$A$2:$E$502,5,FALSE)*VALUE(MID(TRIM(MID(SUBSTITUTE($R136,";",REPT(" ",99)),397,99)),FIND(":",TRIM(MID(SUBSTITUTE($R136,";",REPT(" ",99)),397,99)))+1,99)),0) + IFERROR(VLOOKUP(LEFT(TRIM(MID(SUBSTITUTE($R136,";",REPT(" ",99)),496,99)),FIND(":",TRIM(MID(SUBSTITUTE($R136,";",REPT(" ",99)),496,99)))-1),Materiales!$A$2:$E$502,5,FALSE)*VALUE(MID(TRIM(MID(SUBSTITUTE($R136,";",REPT(" ",99)),496,99)),FIND(":",TRIM(MID(SUBSTITUTE($R136,";",REPT(" ",99)),496,99)))+1,99)),0) + IFERROR(VLOOKUP(LEFT(TRIM(MID(SUBSTITUTE($R136,";",REPT(" ",99)),595,99)),FIND(":",TRIM(MID(SUBSTITUTE($R136,";",REPT(" ",99)),595,99)))-1),Materiales!$A$2:$E$502,5,FALSE)*VALUE(MID(TRIM(MID(SUBSTITUTE($R136,";",REPT(" ",99)),595,99)),FIND(":",TRIM(MID(SUBSTITUTE($R136,";",REPT(" ",99)),595,99)))+1,99)),0) + IFERROR(VLOOKUP(LEFT(TRIM(MID(SUBSTITUTE($R136,";",REPT(" ",99)),694,99)),FIND(":",TRIM(MID(SUBSTITUTE($R136,";",REPT(" ",99)),694,99)))-1),Materiales!$A$2:$E$502,5,FALSE)*VALUE(MID(TRIM(MID(SUBSTITUTE($R136,";",REPT(" ",99)),694,99)),FIND(":",TRIM(MID(SUBSTITUTE($R136,";",REPT(" ",99)),694,99)))+1,99)),0) + IFERROR(VLOOKUP(LEFT(TRIM(MID(SUBSTITUTE($R136,";",REPT(" ",99)),793,99)),FIND(":",TRIM(MID(SUBSTITUTE($R136,";",REPT(" ",99)),793,99)))-1),Materiales!$A$2:$E$502,5,FALSE)*VALUE(MID(TRIM(MID(SUBSTITUTE($R136,";",REPT(" ",99)),793,99)),FIND(":",TRIM(MID(SUBSTITUTE($R136,";",REPT(" ",99)),793,99)))+1,99)),0) + IFERROR(VLOOKUP(LEFT(TRIM(MID(SUBSTITUTE($R136,";",REPT(" ",99)),892,99)),FIND(":",TRIM(MID(SUBSTITUTE($R136,";",REPT(" ",99)),892,99)))-1),Materiales!$A$2:$E$502,5,FALSE)*VALUE(MID(TRIM(MID(SUBSTITUTE($R136,";",REPT(" ",99)),892,99)),FIND(":",TRIM(MID(SUBSTITUTE($R136,";",REPT(" ",99)),892,99)))+1,99)),0)))</f>
        <v/>
      </c>
      <c r="T136" s="3"/>
      <c r="U136" s="5" t="str">
        <f t="array" ref="U136">IF($A136="","",IF($T136="",0,IFERROR(VLOOKUP(LEFT(TRIM(MID(SUBSTITUTE($T136,";",REPT(" ",99)),1,99)),FIND(":",TRIM(MID(SUBSTITUTE($T136,";",REPT(" ",99)),1,99)))-1),Materiales!$A$2:$E$502,5,FALSE)*VALUE(MID(TRIM(MID(SUBSTITUTE($T136,";",REPT(" ",99)),1,99)),FIND(":",TRIM(MID(SUBSTITUTE($T136,";",REPT(" ",99)),1,99)))+1,99)),0) + IFERROR(VLOOKUP(LEFT(TRIM(MID(SUBSTITUTE($T136,";",REPT(" ",99)),100,99)),FIND(":",TRIM(MID(SUBSTITUTE($T136,";",REPT(" ",99)),100,99)))-1),Materiales!$A$2:$E$502,5,FALSE)*VALUE(MID(TRIM(MID(SUBSTITUTE($T136,";",REPT(" ",99)),100,99)),FIND(":",TRIM(MID(SUBSTITUTE($T136,";",REPT(" ",99)),100,99)))+1,99)),0) + IFERROR(VLOOKUP(LEFT(TRIM(MID(SUBSTITUTE($T136,";",REPT(" ",99)),199,99)),FIND(":",TRIM(MID(SUBSTITUTE($T136,";",REPT(" ",99)),199,99)))-1),Materiales!$A$2:$E$502,5,FALSE)*VALUE(MID(TRIM(MID(SUBSTITUTE($T136,";",REPT(" ",99)),199,99)),FIND(":",TRIM(MID(SUBSTITUTE($T136,";",REPT(" ",99)),199,99)))+1,99)),0) + IFERROR(VLOOKUP(LEFT(TRIM(MID(SUBSTITUTE($T136,";",REPT(" ",99)),298,99)),FIND(":",TRIM(MID(SUBSTITUTE($T136,";",REPT(" ",99)),298,99)))-1),Materiales!$A$2:$E$502,5,FALSE)*VALUE(MID(TRIM(MID(SUBSTITUTE($T136,";",REPT(" ",99)),298,99)),FIND(":",TRIM(MID(SUBSTITUTE($T136,";",REPT(" ",99)),298,99)))+1,99)),0) + IFERROR(VLOOKUP(LEFT(TRIM(MID(SUBSTITUTE($T136,";",REPT(" ",99)),397,99)),FIND(":",TRIM(MID(SUBSTITUTE($T136,";",REPT(" ",99)),397,99)))-1),Materiales!$A$2:$E$502,5,FALSE)*VALUE(MID(TRIM(MID(SUBSTITUTE($T136,";",REPT(" ",99)),397,99)),FIND(":",TRIM(MID(SUBSTITUTE($T136,";",REPT(" ",99)),397,99)))+1,99)),0) + IFERROR(VLOOKUP(LEFT(TRIM(MID(SUBSTITUTE($T136,";",REPT(" ",99)),496,99)),FIND(":",TRIM(MID(SUBSTITUTE($T136,";",REPT(" ",99)),496,99)))-1),Materiales!$A$2:$E$502,5,FALSE)*VALUE(MID(TRIM(MID(SUBSTITUTE($T136,";",REPT(" ",99)),496,99)),FIND(":",TRIM(MID(SUBSTITUTE($T136,";",REPT(" ",99)),496,99)))+1,99)),0) + IFERROR(VLOOKUP(LEFT(TRIM(MID(SUBSTITUTE($T136,";",REPT(" ",99)),595,99)),FIND(":",TRIM(MID(SUBSTITUTE($T136,";",REPT(" ",99)),595,99)))-1),Materiales!$A$2:$E$502,5,FALSE)*VALUE(MID(TRIM(MID(SUBSTITUTE($T136,";",REPT(" ",99)),595,99)),FIND(":",TRIM(MID(SUBSTITUTE($T136,";",REPT(" ",99)),595,99)))+1,99)),0) + IFERROR(VLOOKUP(LEFT(TRIM(MID(SUBSTITUTE($T136,";",REPT(" ",99)),694,99)),FIND(":",TRIM(MID(SUBSTITUTE($T136,";",REPT(" ",99)),694,99)))-1),Materiales!$A$2:$E$502,5,FALSE)*VALUE(MID(TRIM(MID(SUBSTITUTE($T136,";",REPT(" ",99)),694,99)),FIND(":",TRIM(MID(SUBSTITUTE($T136,";",REPT(" ",99)),694,99)))+1,99)),0) + IFERROR(VLOOKUP(LEFT(TRIM(MID(SUBSTITUTE($T136,";",REPT(" ",99)),793,99)),FIND(":",TRIM(MID(SUBSTITUTE($T136,";",REPT(" ",99)),793,99)))-1),Materiales!$A$2:$E$502,5,FALSE)*VALUE(MID(TRIM(MID(SUBSTITUTE($T136,";",REPT(" ",99)),793,99)),FIND(":",TRIM(MID(SUBSTITUTE($T136,";",REPT(" ",99)),793,99)))+1,99)),0) + IFERROR(VLOOKUP(LEFT(TRIM(MID(SUBSTITUTE($T136,";",REPT(" ",99)),892,99)),FIND(":",TRIM(MID(SUBSTITUTE($T136,";",REPT(" ",99)),892,99)))-1),Materiales!$A$2:$E$502,5,FALSE)*VALUE(MID(TRIM(MID(SUBSTITUTE($T136,";",REPT(" ",99)),892,99)),FIND(":",TRIM(MID(SUBSTITUTE($T136,";",REPT(" ",99)),892,99)))+1,99)),0)))</f>
        <v/>
      </c>
      <c r="V136" s="3"/>
      <c r="W136" s="5" t="str">
        <f t="array" ref="W136">IF($A136="","",IF($V136="",0,IFERROR(VLOOKUP(LEFT(TRIM(MID(SUBSTITUTE($V136,";",REPT(" ",99)),1,99)),FIND(":",TRIM(MID(SUBSTITUTE($V136,";",REPT(" ",99)),1,99)))-1),Materiales!$A$2:$E$502,5,FALSE)*VALUE(MID(TRIM(MID(SUBSTITUTE($V136,";",REPT(" ",99)),1,99)),FIND(":",TRIM(MID(SUBSTITUTE($V136,";",REPT(" ",99)),1,99)))+1,99)),0) + IFERROR(VLOOKUP(LEFT(TRIM(MID(SUBSTITUTE($V136,";",REPT(" ",99)),100,99)),FIND(":",TRIM(MID(SUBSTITUTE($V136,";",REPT(" ",99)),100,99)))-1),Materiales!$A$2:$E$502,5,FALSE)*VALUE(MID(TRIM(MID(SUBSTITUTE($V136,";",REPT(" ",99)),100,99)),FIND(":",TRIM(MID(SUBSTITUTE($V136,";",REPT(" ",99)),100,99)))+1,99)),0) + IFERROR(VLOOKUP(LEFT(TRIM(MID(SUBSTITUTE($V136,";",REPT(" ",99)),199,99)),FIND(":",TRIM(MID(SUBSTITUTE($V136,";",REPT(" ",99)),199,99)))-1),Materiales!$A$2:$E$502,5,FALSE)*VALUE(MID(TRIM(MID(SUBSTITUTE($V136,";",REPT(" ",99)),199,99)),FIND(":",TRIM(MID(SUBSTITUTE($V136,";",REPT(" ",99)),199,99)))+1,99)),0) + IFERROR(VLOOKUP(LEFT(TRIM(MID(SUBSTITUTE($V136,";",REPT(" ",99)),298,99)),FIND(":",TRIM(MID(SUBSTITUTE($V136,";",REPT(" ",99)),298,99)))-1),Materiales!$A$2:$E$502,5,FALSE)*VALUE(MID(TRIM(MID(SUBSTITUTE($V136,";",REPT(" ",99)),298,99)),FIND(":",TRIM(MID(SUBSTITUTE($V136,";",REPT(" ",99)),298,99)))+1,99)),0) + IFERROR(VLOOKUP(LEFT(TRIM(MID(SUBSTITUTE($V136,";",REPT(" ",99)),397,99)),FIND(":",TRIM(MID(SUBSTITUTE($V136,";",REPT(" ",99)),397,99)))-1),Materiales!$A$2:$E$502,5,FALSE)*VALUE(MID(TRIM(MID(SUBSTITUTE($V136,";",REPT(" ",99)),397,99)),FIND(":",TRIM(MID(SUBSTITUTE($V136,";",REPT(" ",99)),397,99)))+1,99)),0) + IFERROR(VLOOKUP(LEFT(TRIM(MID(SUBSTITUTE($V136,";",REPT(" ",99)),496,99)),FIND(":",TRIM(MID(SUBSTITUTE($V136,";",REPT(" ",99)),496,99)))-1),Materiales!$A$2:$E$502,5,FALSE)*VALUE(MID(TRIM(MID(SUBSTITUTE($V136,";",REPT(" ",99)),496,99)),FIND(":",TRIM(MID(SUBSTITUTE($V136,";",REPT(" ",99)),496,99)))+1,99)),0) + IFERROR(VLOOKUP(LEFT(TRIM(MID(SUBSTITUTE($V136,";",REPT(" ",99)),595,99)),FIND(":",TRIM(MID(SUBSTITUTE($V136,";",REPT(" ",99)),595,99)))-1),Materiales!$A$2:$E$502,5,FALSE)*VALUE(MID(TRIM(MID(SUBSTITUTE($V136,";",REPT(" ",99)),595,99)),FIND(":",TRIM(MID(SUBSTITUTE($V136,";",REPT(" ",99)),595,99)))+1,99)),0) + IFERROR(VLOOKUP(LEFT(TRIM(MID(SUBSTITUTE($V136,";",REPT(" ",99)),694,99)),FIND(":",TRIM(MID(SUBSTITUTE($V136,";",REPT(" ",99)),694,99)))-1),Materiales!$A$2:$E$502,5,FALSE)*VALUE(MID(TRIM(MID(SUBSTITUTE($V136,";",REPT(" ",99)),694,99)),FIND(":",TRIM(MID(SUBSTITUTE($V136,";",REPT(" ",99)),694,99)))+1,99)),0) + IFERROR(VLOOKUP(LEFT(TRIM(MID(SUBSTITUTE($V136,";",REPT(" ",99)),793,99)),FIND(":",TRIM(MID(SUBSTITUTE($V136,";",REPT(" ",99)),793,99)))-1),Materiales!$A$2:$E$502,5,FALSE)*VALUE(MID(TRIM(MID(SUBSTITUTE($V136,";",REPT(" ",99)),793,99)),FIND(":",TRIM(MID(SUBSTITUTE($V136,";",REPT(" ",99)),793,99)))+1,99)),0) + IFERROR(VLOOKUP(LEFT(TRIM(MID(SUBSTITUTE($V136,";",REPT(" ",99)),892,99)),FIND(":",TRIM(MID(SUBSTITUTE($V136,";",REPT(" ",99)),892,99)))-1),Materiales!$A$2:$E$502,5,FALSE)*VALUE(MID(TRIM(MID(SUBSTITUTE($V136,";",REPT(" ",99)),892,99)),FIND(":",TRIM(MID(SUBSTITUTE($V136,";",REPT(" ",99)),892,99)))+1,99)),0)))</f>
        <v/>
      </c>
      <c r="X136" s="39" t="str">
        <f t="shared" si="13"/>
        <v/>
      </c>
      <c r="Y136" s="64"/>
      <c r="Z136" s="41"/>
      <c r="AA136" s="65"/>
      <c r="AB136" s="14"/>
      <c r="AC136" s="66"/>
      <c r="AD136" s="65"/>
      <c r="AE136" s="44">
        <f t="shared" si="17"/>
        <v>0</v>
      </c>
      <c r="AF136" s="45" t="str">
        <f t="shared" si="20"/>
        <v>#DIV/0!</v>
      </c>
    </row>
    <row r="137" ht="15.75" customHeight="1">
      <c r="A137" s="3"/>
      <c r="B137" s="3"/>
      <c r="C137" s="38"/>
      <c r="D137" s="38"/>
      <c r="E137" s="38"/>
      <c r="F137" s="14"/>
      <c r="G137" s="5" t="str">
        <f t="array" ref="G137">IF($A137="","",IFERROR($F137*(N($C137)*XLOOKUP($B137,Ceras!$A$2:$A$500,Ceras!$G$2:$G$500,0)+IF($D137="",0,N($E137)*XLOOKUP($D137,Ceras!$A$2:$A$500,Ceras!$G$2:$G$500,0))),"Revisar cera"))</f>
        <v/>
      </c>
      <c r="H137" s="5"/>
      <c r="I137" s="3"/>
      <c r="J137" s="14"/>
      <c r="K137" s="5" t="str">
        <f t="array" ref="K137">IF($A137="","",IFERROR($J137*XLOOKUP($I137,Pabilos!$A$2:$A$500,Pabilos!$H$2:$H$500,0),"Revisar pabilo"))</f>
        <v/>
      </c>
      <c r="L137" s="3"/>
      <c r="M137" s="14"/>
      <c r="N137" s="5" t="str">
        <f t="array" ref="N137">IF($A137="","",IFERROR($M137*XLOOKUP($L137,Esencias!$A$2:$A$501,Esencias!$G$2:$G$501,0),"Revisar esencia"))</f>
        <v/>
      </c>
      <c r="O137" s="3"/>
      <c r="P137" s="14"/>
      <c r="Q137" s="5" t="str">
        <f t="array" ref="Q137">IF($A137="","",IFERROR(IF($P137="",1,$P137)*XLOOKUP($O137,Colores!$A$2:$A$500,Colores!$H$2:$H$500,0),"Revisar color"))</f>
        <v/>
      </c>
      <c r="R137" s="3"/>
      <c r="S137" s="5" t="str">
        <f t="array" ref="S137">IF($A137="","",IF($R137="",0,IFERROR(VLOOKUP(LEFT(TRIM(MID(SUBSTITUTE($R137,";",REPT(" ",99)),1,99)),FIND(":",TRIM(MID(SUBSTITUTE($R137,";",REPT(" ",99)),1,99)))-1),Materiales!$A$2:$E$502,5,FALSE)*VALUE(MID(TRIM(MID(SUBSTITUTE($R137,";",REPT(" ",99)),1,99)),FIND(":",TRIM(MID(SUBSTITUTE($R137,";",REPT(" ",99)),1,99)))+1,99)),0) + IFERROR(VLOOKUP(LEFT(TRIM(MID(SUBSTITUTE($R137,";",REPT(" ",99)),100,99)),FIND(":",TRIM(MID(SUBSTITUTE($R137,";",REPT(" ",99)),100,99)))-1),Materiales!$A$2:$E$502,5,FALSE)*VALUE(MID(TRIM(MID(SUBSTITUTE($R137,";",REPT(" ",99)),100,99)),FIND(":",TRIM(MID(SUBSTITUTE($R137,";",REPT(" ",99)),100,99)))+1,99)),0) + IFERROR(VLOOKUP(LEFT(TRIM(MID(SUBSTITUTE($R137,";",REPT(" ",99)),199,99)),FIND(":",TRIM(MID(SUBSTITUTE($R137,";",REPT(" ",99)),199,99)))-1),Materiales!$A$2:$E$502,5,FALSE)*VALUE(MID(TRIM(MID(SUBSTITUTE($R137,";",REPT(" ",99)),199,99)),FIND(":",TRIM(MID(SUBSTITUTE($R137,";",REPT(" ",99)),199,99)))+1,99)),0) + IFERROR(VLOOKUP(LEFT(TRIM(MID(SUBSTITUTE($R137,";",REPT(" ",99)),298,99)),FIND(":",TRIM(MID(SUBSTITUTE($R137,";",REPT(" ",99)),298,99)))-1),Materiales!$A$2:$E$502,5,FALSE)*VALUE(MID(TRIM(MID(SUBSTITUTE($R137,";",REPT(" ",99)),298,99)),FIND(":",TRIM(MID(SUBSTITUTE($R137,";",REPT(" ",99)),298,99)))+1,99)),0) + IFERROR(VLOOKUP(LEFT(TRIM(MID(SUBSTITUTE($R137,";",REPT(" ",99)),397,99)),FIND(":",TRIM(MID(SUBSTITUTE($R137,";",REPT(" ",99)),397,99)))-1),Materiales!$A$2:$E$502,5,FALSE)*VALUE(MID(TRIM(MID(SUBSTITUTE($R137,";",REPT(" ",99)),397,99)),FIND(":",TRIM(MID(SUBSTITUTE($R137,";",REPT(" ",99)),397,99)))+1,99)),0) + IFERROR(VLOOKUP(LEFT(TRIM(MID(SUBSTITUTE($R137,";",REPT(" ",99)),496,99)),FIND(":",TRIM(MID(SUBSTITUTE($R137,";",REPT(" ",99)),496,99)))-1),Materiales!$A$2:$E$502,5,FALSE)*VALUE(MID(TRIM(MID(SUBSTITUTE($R137,";",REPT(" ",99)),496,99)),FIND(":",TRIM(MID(SUBSTITUTE($R137,";",REPT(" ",99)),496,99)))+1,99)),0) + IFERROR(VLOOKUP(LEFT(TRIM(MID(SUBSTITUTE($R137,";",REPT(" ",99)),595,99)),FIND(":",TRIM(MID(SUBSTITUTE($R137,";",REPT(" ",99)),595,99)))-1),Materiales!$A$2:$E$502,5,FALSE)*VALUE(MID(TRIM(MID(SUBSTITUTE($R137,";",REPT(" ",99)),595,99)),FIND(":",TRIM(MID(SUBSTITUTE($R137,";",REPT(" ",99)),595,99)))+1,99)),0) + IFERROR(VLOOKUP(LEFT(TRIM(MID(SUBSTITUTE($R137,";",REPT(" ",99)),694,99)),FIND(":",TRIM(MID(SUBSTITUTE($R137,";",REPT(" ",99)),694,99)))-1),Materiales!$A$2:$E$502,5,FALSE)*VALUE(MID(TRIM(MID(SUBSTITUTE($R137,";",REPT(" ",99)),694,99)),FIND(":",TRIM(MID(SUBSTITUTE($R137,";",REPT(" ",99)),694,99)))+1,99)),0) + IFERROR(VLOOKUP(LEFT(TRIM(MID(SUBSTITUTE($R137,";",REPT(" ",99)),793,99)),FIND(":",TRIM(MID(SUBSTITUTE($R137,";",REPT(" ",99)),793,99)))-1),Materiales!$A$2:$E$502,5,FALSE)*VALUE(MID(TRIM(MID(SUBSTITUTE($R137,";",REPT(" ",99)),793,99)),FIND(":",TRIM(MID(SUBSTITUTE($R137,";",REPT(" ",99)),793,99)))+1,99)),0) + IFERROR(VLOOKUP(LEFT(TRIM(MID(SUBSTITUTE($R137,";",REPT(" ",99)),892,99)),FIND(":",TRIM(MID(SUBSTITUTE($R137,";",REPT(" ",99)),892,99)))-1),Materiales!$A$2:$E$502,5,FALSE)*VALUE(MID(TRIM(MID(SUBSTITUTE($R137,";",REPT(" ",99)),892,99)),FIND(":",TRIM(MID(SUBSTITUTE($R137,";",REPT(" ",99)),892,99)))+1,99)),0)))</f>
        <v/>
      </c>
      <c r="T137" s="3"/>
      <c r="U137" s="5" t="str">
        <f t="array" ref="U137">IF($A137="","",IF($T137="",0,IFERROR(VLOOKUP(LEFT(TRIM(MID(SUBSTITUTE($T137,";",REPT(" ",99)),1,99)),FIND(":",TRIM(MID(SUBSTITUTE($T137,";",REPT(" ",99)),1,99)))-1),Materiales!$A$2:$E$502,5,FALSE)*VALUE(MID(TRIM(MID(SUBSTITUTE($T137,";",REPT(" ",99)),1,99)),FIND(":",TRIM(MID(SUBSTITUTE($T137,";",REPT(" ",99)),1,99)))+1,99)),0) + IFERROR(VLOOKUP(LEFT(TRIM(MID(SUBSTITUTE($T137,";",REPT(" ",99)),100,99)),FIND(":",TRIM(MID(SUBSTITUTE($T137,";",REPT(" ",99)),100,99)))-1),Materiales!$A$2:$E$502,5,FALSE)*VALUE(MID(TRIM(MID(SUBSTITUTE($T137,";",REPT(" ",99)),100,99)),FIND(":",TRIM(MID(SUBSTITUTE($T137,";",REPT(" ",99)),100,99)))+1,99)),0) + IFERROR(VLOOKUP(LEFT(TRIM(MID(SUBSTITUTE($T137,";",REPT(" ",99)),199,99)),FIND(":",TRIM(MID(SUBSTITUTE($T137,";",REPT(" ",99)),199,99)))-1),Materiales!$A$2:$E$502,5,FALSE)*VALUE(MID(TRIM(MID(SUBSTITUTE($T137,";",REPT(" ",99)),199,99)),FIND(":",TRIM(MID(SUBSTITUTE($T137,";",REPT(" ",99)),199,99)))+1,99)),0) + IFERROR(VLOOKUP(LEFT(TRIM(MID(SUBSTITUTE($T137,";",REPT(" ",99)),298,99)),FIND(":",TRIM(MID(SUBSTITUTE($T137,";",REPT(" ",99)),298,99)))-1),Materiales!$A$2:$E$502,5,FALSE)*VALUE(MID(TRIM(MID(SUBSTITUTE($T137,";",REPT(" ",99)),298,99)),FIND(":",TRIM(MID(SUBSTITUTE($T137,";",REPT(" ",99)),298,99)))+1,99)),0) + IFERROR(VLOOKUP(LEFT(TRIM(MID(SUBSTITUTE($T137,";",REPT(" ",99)),397,99)),FIND(":",TRIM(MID(SUBSTITUTE($T137,";",REPT(" ",99)),397,99)))-1),Materiales!$A$2:$E$502,5,FALSE)*VALUE(MID(TRIM(MID(SUBSTITUTE($T137,";",REPT(" ",99)),397,99)),FIND(":",TRIM(MID(SUBSTITUTE($T137,";",REPT(" ",99)),397,99)))+1,99)),0) + IFERROR(VLOOKUP(LEFT(TRIM(MID(SUBSTITUTE($T137,";",REPT(" ",99)),496,99)),FIND(":",TRIM(MID(SUBSTITUTE($T137,";",REPT(" ",99)),496,99)))-1),Materiales!$A$2:$E$502,5,FALSE)*VALUE(MID(TRIM(MID(SUBSTITUTE($T137,";",REPT(" ",99)),496,99)),FIND(":",TRIM(MID(SUBSTITUTE($T137,";",REPT(" ",99)),496,99)))+1,99)),0) + IFERROR(VLOOKUP(LEFT(TRIM(MID(SUBSTITUTE($T137,";",REPT(" ",99)),595,99)),FIND(":",TRIM(MID(SUBSTITUTE($T137,";",REPT(" ",99)),595,99)))-1),Materiales!$A$2:$E$502,5,FALSE)*VALUE(MID(TRIM(MID(SUBSTITUTE($T137,";",REPT(" ",99)),595,99)),FIND(":",TRIM(MID(SUBSTITUTE($T137,";",REPT(" ",99)),595,99)))+1,99)),0) + IFERROR(VLOOKUP(LEFT(TRIM(MID(SUBSTITUTE($T137,";",REPT(" ",99)),694,99)),FIND(":",TRIM(MID(SUBSTITUTE($T137,";",REPT(" ",99)),694,99)))-1),Materiales!$A$2:$E$502,5,FALSE)*VALUE(MID(TRIM(MID(SUBSTITUTE($T137,";",REPT(" ",99)),694,99)),FIND(":",TRIM(MID(SUBSTITUTE($T137,";",REPT(" ",99)),694,99)))+1,99)),0) + IFERROR(VLOOKUP(LEFT(TRIM(MID(SUBSTITUTE($T137,";",REPT(" ",99)),793,99)),FIND(":",TRIM(MID(SUBSTITUTE($T137,";",REPT(" ",99)),793,99)))-1),Materiales!$A$2:$E$502,5,FALSE)*VALUE(MID(TRIM(MID(SUBSTITUTE($T137,";",REPT(" ",99)),793,99)),FIND(":",TRIM(MID(SUBSTITUTE($T137,";",REPT(" ",99)),793,99)))+1,99)),0) + IFERROR(VLOOKUP(LEFT(TRIM(MID(SUBSTITUTE($T137,";",REPT(" ",99)),892,99)),FIND(":",TRIM(MID(SUBSTITUTE($T137,";",REPT(" ",99)),892,99)))-1),Materiales!$A$2:$E$502,5,FALSE)*VALUE(MID(TRIM(MID(SUBSTITUTE($T137,";",REPT(" ",99)),892,99)),FIND(":",TRIM(MID(SUBSTITUTE($T137,";",REPT(" ",99)),892,99)))+1,99)),0)))</f>
        <v/>
      </c>
      <c r="V137" s="3"/>
      <c r="W137" s="5" t="str">
        <f t="array" ref="W137">IF($A137="","",IF($V137="",0,IFERROR(VLOOKUP(LEFT(TRIM(MID(SUBSTITUTE($V137,";",REPT(" ",99)),1,99)),FIND(":",TRIM(MID(SUBSTITUTE($V137,";",REPT(" ",99)),1,99)))-1),Materiales!$A$2:$E$502,5,FALSE)*VALUE(MID(TRIM(MID(SUBSTITUTE($V137,";",REPT(" ",99)),1,99)),FIND(":",TRIM(MID(SUBSTITUTE($V137,";",REPT(" ",99)),1,99)))+1,99)),0) + IFERROR(VLOOKUP(LEFT(TRIM(MID(SUBSTITUTE($V137,";",REPT(" ",99)),100,99)),FIND(":",TRIM(MID(SUBSTITUTE($V137,";",REPT(" ",99)),100,99)))-1),Materiales!$A$2:$E$502,5,FALSE)*VALUE(MID(TRIM(MID(SUBSTITUTE($V137,";",REPT(" ",99)),100,99)),FIND(":",TRIM(MID(SUBSTITUTE($V137,";",REPT(" ",99)),100,99)))+1,99)),0) + IFERROR(VLOOKUP(LEFT(TRIM(MID(SUBSTITUTE($V137,";",REPT(" ",99)),199,99)),FIND(":",TRIM(MID(SUBSTITUTE($V137,";",REPT(" ",99)),199,99)))-1),Materiales!$A$2:$E$502,5,FALSE)*VALUE(MID(TRIM(MID(SUBSTITUTE($V137,";",REPT(" ",99)),199,99)),FIND(":",TRIM(MID(SUBSTITUTE($V137,";",REPT(" ",99)),199,99)))+1,99)),0) + IFERROR(VLOOKUP(LEFT(TRIM(MID(SUBSTITUTE($V137,";",REPT(" ",99)),298,99)),FIND(":",TRIM(MID(SUBSTITUTE($V137,";",REPT(" ",99)),298,99)))-1),Materiales!$A$2:$E$502,5,FALSE)*VALUE(MID(TRIM(MID(SUBSTITUTE($V137,";",REPT(" ",99)),298,99)),FIND(":",TRIM(MID(SUBSTITUTE($V137,";",REPT(" ",99)),298,99)))+1,99)),0) + IFERROR(VLOOKUP(LEFT(TRIM(MID(SUBSTITUTE($V137,";",REPT(" ",99)),397,99)),FIND(":",TRIM(MID(SUBSTITUTE($V137,";",REPT(" ",99)),397,99)))-1),Materiales!$A$2:$E$502,5,FALSE)*VALUE(MID(TRIM(MID(SUBSTITUTE($V137,";",REPT(" ",99)),397,99)),FIND(":",TRIM(MID(SUBSTITUTE($V137,";",REPT(" ",99)),397,99)))+1,99)),0) + IFERROR(VLOOKUP(LEFT(TRIM(MID(SUBSTITUTE($V137,";",REPT(" ",99)),496,99)),FIND(":",TRIM(MID(SUBSTITUTE($V137,";",REPT(" ",99)),496,99)))-1),Materiales!$A$2:$E$502,5,FALSE)*VALUE(MID(TRIM(MID(SUBSTITUTE($V137,";",REPT(" ",99)),496,99)),FIND(":",TRIM(MID(SUBSTITUTE($V137,";",REPT(" ",99)),496,99)))+1,99)),0) + IFERROR(VLOOKUP(LEFT(TRIM(MID(SUBSTITUTE($V137,";",REPT(" ",99)),595,99)),FIND(":",TRIM(MID(SUBSTITUTE($V137,";",REPT(" ",99)),595,99)))-1),Materiales!$A$2:$E$502,5,FALSE)*VALUE(MID(TRIM(MID(SUBSTITUTE($V137,";",REPT(" ",99)),595,99)),FIND(":",TRIM(MID(SUBSTITUTE($V137,";",REPT(" ",99)),595,99)))+1,99)),0) + IFERROR(VLOOKUP(LEFT(TRIM(MID(SUBSTITUTE($V137,";",REPT(" ",99)),694,99)),FIND(":",TRIM(MID(SUBSTITUTE($V137,";",REPT(" ",99)),694,99)))-1),Materiales!$A$2:$E$502,5,FALSE)*VALUE(MID(TRIM(MID(SUBSTITUTE($V137,";",REPT(" ",99)),694,99)),FIND(":",TRIM(MID(SUBSTITUTE($V137,";",REPT(" ",99)),694,99)))+1,99)),0) + IFERROR(VLOOKUP(LEFT(TRIM(MID(SUBSTITUTE($V137,";",REPT(" ",99)),793,99)),FIND(":",TRIM(MID(SUBSTITUTE($V137,";",REPT(" ",99)),793,99)))-1),Materiales!$A$2:$E$502,5,FALSE)*VALUE(MID(TRIM(MID(SUBSTITUTE($V137,";",REPT(" ",99)),793,99)),FIND(":",TRIM(MID(SUBSTITUTE($V137,";",REPT(" ",99)),793,99)))+1,99)),0) + IFERROR(VLOOKUP(LEFT(TRIM(MID(SUBSTITUTE($V137,";",REPT(" ",99)),892,99)),FIND(":",TRIM(MID(SUBSTITUTE($V137,";",REPT(" ",99)),892,99)))-1),Materiales!$A$2:$E$502,5,FALSE)*VALUE(MID(TRIM(MID(SUBSTITUTE($V137,";",REPT(" ",99)),892,99)),FIND(":",TRIM(MID(SUBSTITUTE($V137,";",REPT(" ",99)),892,99)))+1,99)),0)))</f>
        <v/>
      </c>
      <c r="X137" s="39" t="str">
        <f t="shared" si="13"/>
        <v/>
      </c>
      <c r="Y137" s="64"/>
      <c r="Z137" s="41"/>
      <c r="AA137" s="65"/>
      <c r="AB137" s="14"/>
      <c r="AC137" s="66"/>
      <c r="AD137" s="65"/>
      <c r="AE137" s="44">
        <f t="shared" si="17"/>
        <v>0</v>
      </c>
      <c r="AF137" s="45" t="str">
        <f t="shared" si="20"/>
        <v>#DIV/0!</v>
      </c>
    </row>
    <row r="138" ht="15.75" customHeight="1">
      <c r="A138" s="3"/>
      <c r="B138" s="3"/>
      <c r="C138" s="38"/>
      <c r="D138" s="38"/>
      <c r="E138" s="38"/>
      <c r="F138" s="14"/>
      <c r="G138" s="5" t="str">
        <f t="array" ref="G138">IF($A138="","",IFERROR($F138*(N($C138)*XLOOKUP($B138,Ceras!$A$2:$A$500,Ceras!$G$2:$G$500,0)+IF($D138="",0,N($E138)*XLOOKUP($D138,Ceras!$A$2:$A$500,Ceras!$G$2:$G$500,0))),"Revisar cera"))</f>
        <v/>
      </c>
      <c r="H138" s="5"/>
      <c r="I138" s="3"/>
      <c r="J138" s="14"/>
      <c r="K138" s="5" t="str">
        <f t="array" ref="K138">IF($A138="","",IFERROR($J138*XLOOKUP($I138,Pabilos!$A$2:$A$500,Pabilos!$H$2:$H$500,0),"Revisar pabilo"))</f>
        <v/>
      </c>
      <c r="L138" s="3"/>
      <c r="M138" s="14"/>
      <c r="N138" s="5" t="str">
        <f t="array" ref="N138">IF($A138="","",IFERROR($M138*XLOOKUP($L138,Esencias!$A$2:$A$501,Esencias!$G$2:$G$501,0),"Revisar esencia"))</f>
        <v/>
      </c>
      <c r="O138" s="3"/>
      <c r="P138" s="14"/>
      <c r="Q138" s="5" t="str">
        <f t="array" ref="Q138">IF($A138="","",IFERROR(IF($P138="",1,$P138)*XLOOKUP($O138,Colores!$A$2:$A$500,Colores!$H$2:$H$500,0),"Revisar color"))</f>
        <v/>
      </c>
      <c r="R138" s="3"/>
      <c r="S138" s="5" t="str">
        <f t="array" ref="S138">IF($A138="","",IF($R138="",0,IFERROR(VLOOKUP(LEFT(TRIM(MID(SUBSTITUTE($R138,";",REPT(" ",99)),1,99)),FIND(":",TRIM(MID(SUBSTITUTE($R138,";",REPT(" ",99)),1,99)))-1),Materiales!$A$2:$E$502,5,FALSE)*VALUE(MID(TRIM(MID(SUBSTITUTE($R138,";",REPT(" ",99)),1,99)),FIND(":",TRIM(MID(SUBSTITUTE($R138,";",REPT(" ",99)),1,99)))+1,99)),0) + IFERROR(VLOOKUP(LEFT(TRIM(MID(SUBSTITUTE($R138,";",REPT(" ",99)),100,99)),FIND(":",TRIM(MID(SUBSTITUTE($R138,";",REPT(" ",99)),100,99)))-1),Materiales!$A$2:$E$502,5,FALSE)*VALUE(MID(TRIM(MID(SUBSTITUTE($R138,";",REPT(" ",99)),100,99)),FIND(":",TRIM(MID(SUBSTITUTE($R138,";",REPT(" ",99)),100,99)))+1,99)),0) + IFERROR(VLOOKUP(LEFT(TRIM(MID(SUBSTITUTE($R138,";",REPT(" ",99)),199,99)),FIND(":",TRIM(MID(SUBSTITUTE($R138,";",REPT(" ",99)),199,99)))-1),Materiales!$A$2:$E$502,5,FALSE)*VALUE(MID(TRIM(MID(SUBSTITUTE($R138,";",REPT(" ",99)),199,99)),FIND(":",TRIM(MID(SUBSTITUTE($R138,";",REPT(" ",99)),199,99)))+1,99)),0) + IFERROR(VLOOKUP(LEFT(TRIM(MID(SUBSTITUTE($R138,";",REPT(" ",99)),298,99)),FIND(":",TRIM(MID(SUBSTITUTE($R138,";",REPT(" ",99)),298,99)))-1),Materiales!$A$2:$E$502,5,FALSE)*VALUE(MID(TRIM(MID(SUBSTITUTE($R138,";",REPT(" ",99)),298,99)),FIND(":",TRIM(MID(SUBSTITUTE($R138,";",REPT(" ",99)),298,99)))+1,99)),0) + IFERROR(VLOOKUP(LEFT(TRIM(MID(SUBSTITUTE($R138,";",REPT(" ",99)),397,99)),FIND(":",TRIM(MID(SUBSTITUTE($R138,";",REPT(" ",99)),397,99)))-1),Materiales!$A$2:$E$502,5,FALSE)*VALUE(MID(TRIM(MID(SUBSTITUTE($R138,";",REPT(" ",99)),397,99)),FIND(":",TRIM(MID(SUBSTITUTE($R138,";",REPT(" ",99)),397,99)))+1,99)),0) + IFERROR(VLOOKUP(LEFT(TRIM(MID(SUBSTITUTE($R138,";",REPT(" ",99)),496,99)),FIND(":",TRIM(MID(SUBSTITUTE($R138,";",REPT(" ",99)),496,99)))-1),Materiales!$A$2:$E$502,5,FALSE)*VALUE(MID(TRIM(MID(SUBSTITUTE($R138,";",REPT(" ",99)),496,99)),FIND(":",TRIM(MID(SUBSTITUTE($R138,";",REPT(" ",99)),496,99)))+1,99)),0) + IFERROR(VLOOKUP(LEFT(TRIM(MID(SUBSTITUTE($R138,";",REPT(" ",99)),595,99)),FIND(":",TRIM(MID(SUBSTITUTE($R138,";",REPT(" ",99)),595,99)))-1),Materiales!$A$2:$E$502,5,FALSE)*VALUE(MID(TRIM(MID(SUBSTITUTE($R138,";",REPT(" ",99)),595,99)),FIND(":",TRIM(MID(SUBSTITUTE($R138,";",REPT(" ",99)),595,99)))+1,99)),0) + IFERROR(VLOOKUP(LEFT(TRIM(MID(SUBSTITUTE($R138,";",REPT(" ",99)),694,99)),FIND(":",TRIM(MID(SUBSTITUTE($R138,";",REPT(" ",99)),694,99)))-1),Materiales!$A$2:$E$502,5,FALSE)*VALUE(MID(TRIM(MID(SUBSTITUTE($R138,";",REPT(" ",99)),694,99)),FIND(":",TRIM(MID(SUBSTITUTE($R138,";",REPT(" ",99)),694,99)))+1,99)),0) + IFERROR(VLOOKUP(LEFT(TRIM(MID(SUBSTITUTE($R138,";",REPT(" ",99)),793,99)),FIND(":",TRIM(MID(SUBSTITUTE($R138,";",REPT(" ",99)),793,99)))-1),Materiales!$A$2:$E$502,5,FALSE)*VALUE(MID(TRIM(MID(SUBSTITUTE($R138,";",REPT(" ",99)),793,99)),FIND(":",TRIM(MID(SUBSTITUTE($R138,";",REPT(" ",99)),793,99)))+1,99)),0) + IFERROR(VLOOKUP(LEFT(TRIM(MID(SUBSTITUTE($R138,";",REPT(" ",99)),892,99)),FIND(":",TRIM(MID(SUBSTITUTE($R138,";",REPT(" ",99)),892,99)))-1),Materiales!$A$2:$E$502,5,FALSE)*VALUE(MID(TRIM(MID(SUBSTITUTE($R138,";",REPT(" ",99)),892,99)),FIND(":",TRIM(MID(SUBSTITUTE($R138,";",REPT(" ",99)),892,99)))+1,99)),0)))</f>
        <v/>
      </c>
      <c r="T138" s="3"/>
      <c r="U138" s="5" t="str">
        <f t="array" ref="U138">IF($A138="","",IF($T138="",0,IFERROR(VLOOKUP(LEFT(TRIM(MID(SUBSTITUTE($T138,";",REPT(" ",99)),1,99)),FIND(":",TRIM(MID(SUBSTITUTE($T138,";",REPT(" ",99)),1,99)))-1),Materiales!$A$2:$E$502,5,FALSE)*VALUE(MID(TRIM(MID(SUBSTITUTE($T138,";",REPT(" ",99)),1,99)),FIND(":",TRIM(MID(SUBSTITUTE($T138,";",REPT(" ",99)),1,99)))+1,99)),0) + IFERROR(VLOOKUP(LEFT(TRIM(MID(SUBSTITUTE($T138,";",REPT(" ",99)),100,99)),FIND(":",TRIM(MID(SUBSTITUTE($T138,";",REPT(" ",99)),100,99)))-1),Materiales!$A$2:$E$502,5,FALSE)*VALUE(MID(TRIM(MID(SUBSTITUTE($T138,";",REPT(" ",99)),100,99)),FIND(":",TRIM(MID(SUBSTITUTE($T138,";",REPT(" ",99)),100,99)))+1,99)),0) + IFERROR(VLOOKUP(LEFT(TRIM(MID(SUBSTITUTE($T138,";",REPT(" ",99)),199,99)),FIND(":",TRIM(MID(SUBSTITUTE($T138,";",REPT(" ",99)),199,99)))-1),Materiales!$A$2:$E$502,5,FALSE)*VALUE(MID(TRIM(MID(SUBSTITUTE($T138,";",REPT(" ",99)),199,99)),FIND(":",TRIM(MID(SUBSTITUTE($T138,";",REPT(" ",99)),199,99)))+1,99)),0) + IFERROR(VLOOKUP(LEFT(TRIM(MID(SUBSTITUTE($T138,";",REPT(" ",99)),298,99)),FIND(":",TRIM(MID(SUBSTITUTE($T138,";",REPT(" ",99)),298,99)))-1),Materiales!$A$2:$E$502,5,FALSE)*VALUE(MID(TRIM(MID(SUBSTITUTE($T138,";",REPT(" ",99)),298,99)),FIND(":",TRIM(MID(SUBSTITUTE($T138,";",REPT(" ",99)),298,99)))+1,99)),0) + IFERROR(VLOOKUP(LEFT(TRIM(MID(SUBSTITUTE($T138,";",REPT(" ",99)),397,99)),FIND(":",TRIM(MID(SUBSTITUTE($T138,";",REPT(" ",99)),397,99)))-1),Materiales!$A$2:$E$502,5,FALSE)*VALUE(MID(TRIM(MID(SUBSTITUTE($T138,";",REPT(" ",99)),397,99)),FIND(":",TRIM(MID(SUBSTITUTE($T138,";",REPT(" ",99)),397,99)))+1,99)),0) + IFERROR(VLOOKUP(LEFT(TRIM(MID(SUBSTITUTE($T138,";",REPT(" ",99)),496,99)),FIND(":",TRIM(MID(SUBSTITUTE($T138,";",REPT(" ",99)),496,99)))-1),Materiales!$A$2:$E$502,5,FALSE)*VALUE(MID(TRIM(MID(SUBSTITUTE($T138,";",REPT(" ",99)),496,99)),FIND(":",TRIM(MID(SUBSTITUTE($T138,";",REPT(" ",99)),496,99)))+1,99)),0) + IFERROR(VLOOKUP(LEFT(TRIM(MID(SUBSTITUTE($T138,";",REPT(" ",99)),595,99)),FIND(":",TRIM(MID(SUBSTITUTE($T138,";",REPT(" ",99)),595,99)))-1),Materiales!$A$2:$E$502,5,FALSE)*VALUE(MID(TRIM(MID(SUBSTITUTE($T138,";",REPT(" ",99)),595,99)),FIND(":",TRIM(MID(SUBSTITUTE($T138,";",REPT(" ",99)),595,99)))+1,99)),0) + IFERROR(VLOOKUP(LEFT(TRIM(MID(SUBSTITUTE($T138,";",REPT(" ",99)),694,99)),FIND(":",TRIM(MID(SUBSTITUTE($T138,";",REPT(" ",99)),694,99)))-1),Materiales!$A$2:$E$502,5,FALSE)*VALUE(MID(TRIM(MID(SUBSTITUTE($T138,";",REPT(" ",99)),694,99)),FIND(":",TRIM(MID(SUBSTITUTE($T138,";",REPT(" ",99)),694,99)))+1,99)),0) + IFERROR(VLOOKUP(LEFT(TRIM(MID(SUBSTITUTE($T138,";",REPT(" ",99)),793,99)),FIND(":",TRIM(MID(SUBSTITUTE($T138,";",REPT(" ",99)),793,99)))-1),Materiales!$A$2:$E$502,5,FALSE)*VALUE(MID(TRIM(MID(SUBSTITUTE($T138,";",REPT(" ",99)),793,99)),FIND(":",TRIM(MID(SUBSTITUTE($T138,";",REPT(" ",99)),793,99)))+1,99)),0) + IFERROR(VLOOKUP(LEFT(TRIM(MID(SUBSTITUTE($T138,";",REPT(" ",99)),892,99)),FIND(":",TRIM(MID(SUBSTITUTE($T138,";",REPT(" ",99)),892,99)))-1),Materiales!$A$2:$E$502,5,FALSE)*VALUE(MID(TRIM(MID(SUBSTITUTE($T138,";",REPT(" ",99)),892,99)),FIND(":",TRIM(MID(SUBSTITUTE($T138,";",REPT(" ",99)),892,99)))+1,99)),0)))</f>
        <v/>
      </c>
      <c r="V138" s="3"/>
      <c r="W138" s="5" t="str">
        <f t="array" ref="W138">IF($A138="","",IF($V138="",0,IFERROR(VLOOKUP(LEFT(TRIM(MID(SUBSTITUTE($V138,";",REPT(" ",99)),1,99)),FIND(":",TRIM(MID(SUBSTITUTE($V138,";",REPT(" ",99)),1,99)))-1),Materiales!$A$2:$E$502,5,FALSE)*VALUE(MID(TRIM(MID(SUBSTITUTE($V138,";",REPT(" ",99)),1,99)),FIND(":",TRIM(MID(SUBSTITUTE($V138,";",REPT(" ",99)),1,99)))+1,99)),0) + IFERROR(VLOOKUP(LEFT(TRIM(MID(SUBSTITUTE($V138,";",REPT(" ",99)),100,99)),FIND(":",TRIM(MID(SUBSTITUTE($V138,";",REPT(" ",99)),100,99)))-1),Materiales!$A$2:$E$502,5,FALSE)*VALUE(MID(TRIM(MID(SUBSTITUTE($V138,";",REPT(" ",99)),100,99)),FIND(":",TRIM(MID(SUBSTITUTE($V138,";",REPT(" ",99)),100,99)))+1,99)),0) + IFERROR(VLOOKUP(LEFT(TRIM(MID(SUBSTITUTE($V138,";",REPT(" ",99)),199,99)),FIND(":",TRIM(MID(SUBSTITUTE($V138,";",REPT(" ",99)),199,99)))-1),Materiales!$A$2:$E$502,5,FALSE)*VALUE(MID(TRIM(MID(SUBSTITUTE($V138,";",REPT(" ",99)),199,99)),FIND(":",TRIM(MID(SUBSTITUTE($V138,";",REPT(" ",99)),199,99)))+1,99)),0) + IFERROR(VLOOKUP(LEFT(TRIM(MID(SUBSTITUTE($V138,";",REPT(" ",99)),298,99)),FIND(":",TRIM(MID(SUBSTITUTE($V138,";",REPT(" ",99)),298,99)))-1),Materiales!$A$2:$E$502,5,FALSE)*VALUE(MID(TRIM(MID(SUBSTITUTE($V138,";",REPT(" ",99)),298,99)),FIND(":",TRIM(MID(SUBSTITUTE($V138,";",REPT(" ",99)),298,99)))+1,99)),0) + IFERROR(VLOOKUP(LEFT(TRIM(MID(SUBSTITUTE($V138,";",REPT(" ",99)),397,99)),FIND(":",TRIM(MID(SUBSTITUTE($V138,";",REPT(" ",99)),397,99)))-1),Materiales!$A$2:$E$502,5,FALSE)*VALUE(MID(TRIM(MID(SUBSTITUTE($V138,";",REPT(" ",99)),397,99)),FIND(":",TRIM(MID(SUBSTITUTE($V138,";",REPT(" ",99)),397,99)))+1,99)),0) + IFERROR(VLOOKUP(LEFT(TRIM(MID(SUBSTITUTE($V138,";",REPT(" ",99)),496,99)),FIND(":",TRIM(MID(SUBSTITUTE($V138,";",REPT(" ",99)),496,99)))-1),Materiales!$A$2:$E$502,5,FALSE)*VALUE(MID(TRIM(MID(SUBSTITUTE($V138,";",REPT(" ",99)),496,99)),FIND(":",TRIM(MID(SUBSTITUTE($V138,";",REPT(" ",99)),496,99)))+1,99)),0) + IFERROR(VLOOKUP(LEFT(TRIM(MID(SUBSTITUTE($V138,";",REPT(" ",99)),595,99)),FIND(":",TRIM(MID(SUBSTITUTE($V138,";",REPT(" ",99)),595,99)))-1),Materiales!$A$2:$E$502,5,FALSE)*VALUE(MID(TRIM(MID(SUBSTITUTE($V138,";",REPT(" ",99)),595,99)),FIND(":",TRIM(MID(SUBSTITUTE($V138,";",REPT(" ",99)),595,99)))+1,99)),0) + IFERROR(VLOOKUP(LEFT(TRIM(MID(SUBSTITUTE($V138,";",REPT(" ",99)),694,99)),FIND(":",TRIM(MID(SUBSTITUTE($V138,";",REPT(" ",99)),694,99)))-1),Materiales!$A$2:$E$502,5,FALSE)*VALUE(MID(TRIM(MID(SUBSTITUTE($V138,";",REPT(" ",99)),694,99)),FIND(":",TRIM(MID(SUBSTITUTE($V138,";",REPT(" ",99)),694,99)))+1,99)),0) + IFERROR(VLOOKUP(LEFT(TRIM(MID(SUBSTITUTE($V138,";",REPT(" ",99)),793,99)),FIND(":",TRIM(MID(SUBSTITUTE($V138,";",REPT(" ",99)),793,99)))-1),Materiales!$A$2:$E$502,5,FALSE)*VALUE(MID(TRIM(MID(SUBSTITUTE($V138,";",REPT(" ",99)),793,99)),FIND(":",TRIM(MID(SUBSTITUTE($V138,";",REPT(" ",99)),793,99)))+1,99)),0) + IFERROR(VLOOKUP(LEFT(TRIM(MID(SUBSTITUTE($V138,";",REPT(" ",99)),892,99)),FIND(":",TRIM(MID(SUBSTITUTE($V138,";",REPT(" ",99)),892,99)))-1),Materiales!$A$2:$E$502,5,FALSE)*VALUE(MID(TRIM(MID(SUBSTITUTE($V138,";",REPT(" ",99)),892,99)),FIND(":",TRIM(MID(SUBSTITUTE($V138,";",REPT(" ",99)),892,99)))+1,99)),0)))</f>
        <v/>
      </c>
      <c r="X138" s="39" t="str">
        <f t="shared" si="13"/>
        <v/>
      </c>
      <c r="Y138" s="64"/>
      <c r="Z138" s="41"/>
      <c r="AA138" s="65"/>
      <c r="AB138" s="14"/>
      <c r="AC138" s="66"/>
      <c r="AD138" s="65"/>
      <c r="AE138" s="44">
        <f t="shared" si="17"/>
        <v>0</v>
      </c>
      <c r="AF138" s="45" t="str">
        <f t="shared" si="20"/>
        <v>#DIV/0!</v>
      </c>
    </row>
    <row r="139" ht="15.75" customHeight="1">
      <c r="A139" s="3"/>
      <c r="B139" s="3"/>
      <c r="C139" s="38"/>
      <c r="D139" s="38"/>
      <c r="E139" s="38"/>
      <c r="F139" s="14"/>
      <c r="G139" s="5" t="str">
        <f t="array" ref="G139">IF($A139="","",IFERROR($F139*(N($C139)*XLOOKUP($B139,Ceras!$A$2:$A$500,Ceras!$G$2:$G$500,0)+IF($D139="",0,N($E139)*XLOOKUP($D139,Ceras!$A$2:$A$500,Ceras!$G$2:$G$500,0))),"Revisar cera"))</f>
        <v/>
      </c>
      <c r="H139" s="5"/>
      <c r="I139" s="3"/>
      <c r="J139" s="14"/>
      <c r="K139" s="5" t="str">
        <f t="array" ref="K139">IF($A139="","",IFERROR($J139*XLOOKUP($I139,Pabilos!$A$2:$A$500,Pabilos!$H$2:$H$500,0),"Revisar pabilo"))</f>
        <v/>
      </c>
      <c r="L139" s="3"/>
      <c r="M139" s="14"/>
      <c r="N139" s="5" t="str">
        <f t="array" ref="N139">IF($A139="","",IFERROR($M139*XLOOKUP($L139,Esencias!$A$2:$A$501,Esencias!$G$2:$G$501,0),"Revisar esencia"))</f>
        <v/>
      </c>
      <c r="O139" s="3"/>
      <c r="P139" s="14"/>
      <c r="Q139" s="5" t="str">
        <f t="array" ref="Q139">IF($A139="","",IFERROR(IF($P139="",1,$P139)*XLOOKUP($O139,Colores!$A$2:$A$500,Colores!$H$2:$H$500,0),"Revisar color"))</f>
        <v/>
      </c>
      <c r="R139" s="3"/>
      <c r="S139" s="5" t="str">
        <f t="array" ref="S139">IF($A139="","",IF($R139="",0,IFERROR(VLOOKUP(LEFT(TRIM(MID(SUBSTITUTE($R139,";",REPT(" ",99)),1,99)),FIND(":",TRIM(MID(SUBSTITUTE($R139,";",REPT(" ",99)),1,99)))-1),Materiales!$A$2:$E$502,5,FALSE)*VALUE(MID(TRIM(MID(SUBSTITUTE($R139,";",REPT(" ",99)),1,99)),FIND(":",TRIM(MID(SUBSTITUTE($R139,";",REPT(" ",99)),1,99)))+1,99)),0) + IFERROR(VLOOKUP(LEFT(TRIM(MID(SUBSTITUTE($R139,";",REPT(" ",99)),100,99)),FIND(":",TRIM(MID(SUBSTITUTE($R139,";",REPT(" ",99)),100,99)))-1),Materiales!$A$2:$E$502,5,FALSE)*VALUE(MID(TRIM(MID(SUBSTITUTE($R139,";",REPT(" ",99)),100,99)),FIND(":",TRIM(MID(SUBSTITUTE($R139,";",REPT(" ",99)),100,99)))+1,99)),0) + IFERROR(VLOOKUP(LEFT(TRIM(MID(SUBSTITUTE($R139,";",REPT(" ",99)),199,99)),FIND(":",TRIM(MID(SUBSTITUTE($R139,";",REPT(" ",99)),199,99)))-1),Materiales!$A$2:$E$502,5,FALSE)*VALUE(MID(TRIM(MID(SUBSTITUTE($R139,";",REPT(" ",99)),199,99)),FIND(":",TRIM(MID(SUBSTITUTE($R139,";",REPT(" ",99)),199,99)))+1,99)),0) + IFERROR(VLOOKUP(LEFT(TRIM(MID(SUBSTITUTE($R139,";",REPT(" ",99)),298,99)),FIND(":",TRIM(MID(SUBSTITUTE($R139,";",REPT(" ",99)),298,99)))-1),Materiales!$A$2:$E$502,5,FALSE)*VALUE(MID(TRIM(MID(SUBSTITUTE($R139,";",REPT(" ",99)),298,99)),FIND(":",TRIM(MID(SUBSTITUTE($R139,";",REPT(" ",99)),298,99)))+1,99)),0) + IFERROR(VLOOKUP(LEFT(TRIM(MID(SUBSTITUTE($R139,";",REPT(" ",99)),397,99)),FIND(":",TRIM(MID(SUBSTITUTE($R139,";",REPT(" ",99)),397,99)))-1),Materiales!$A$2:$E$502,5,FALSE)*VALUE(MID(TRIM(MID(SUBSTITUTE($R139,";",REPT(" ",99)),397,99)),FIND(":",TRIM(MID(SUBSTITUTE($R139,";",REPT(" ",99)),397,99)))+1,99)),0) + IFERROR(VLOOKUP(LEFT(TRIM(MID(SUBSTITUTE($R139,";",REPT(" ",99)),496,99)),FIND(":",TRIM(MID(SUBSTITUTE($R139,";",REPT(" ",99)),496,99)))-1),Materiales!$A$2:$E$502,5,FALSE)*VALUE(MID(TRIM(MID(SUBSTITUTE($R139,";",REPT(" ",99)),496,99)),FIND(":",TRIM(MID(SUBSTITUTE($R139,";",REPT(" ",99)),496,99)))+1,99)),0) + IFERROR(VLOOKUP(LEFT(TRIM(MID(SUBSTITUTE($R139,";",REPT(" ",99)),595,99)),FIND(":",TRIM(MID(SUBSTITUTE($R139,";",REPT(" ",99)),595,99)))-1),Materiales!$A$2:$E$502,5,FALSE)*VALUE(MID(TRIM(MID(SUBSTITUTE($R139,";",REPT(" ",99)),595,99)),FIND(":",TRIM(MID(SUBSTITUTE($R139,";",REPT(" ",99)),595,99)))+1,99)),0) + IFERROR(VLOOKUP(LEFT(TRIM(MID(SUBSTITUTE($R139,";",REPT(" ",99)),694,99)),FIND(":",TRIM(MID(SUBSTITUTE($R139,";",REPT(" ",99)),694,99)))-1),Materiales!$A$2:$E$502,5,FALSE)*VALUE(MID(TRIM(MID(SUBSTITUTE($R139,";",REPT(" ",99)),694,99)),FIND(":",TRIM(MID(SUBSTITUTE($R139,";",REPT(" ",99)),694,99)))+1,99)),0) + IFERROR(VLOOKUP(LEFT(TRIM(MID(SUBSTITUTE($R139,";",REPT(" ",99)),793,99)),FIND(":",TRIM(MID(SUBSTITUTE($R139,";",REPT(" ",99)),793,99)))-1),Materiales!$A$2:$E$502,5,FALSE)*VALUE(MID(TRIM(MID(SUBSTITUTE($R139,";",REPT(" ",99)),793,99)),FIND(":",TRIM(MID(SUBSTITUTE($R139,";",REPT(" ",99)),793,99)))+1,99)),0) + IFERROR(VLOOKUP(LEFT(TRIM(MID(SUBSTITUTE($R139,";",REPT(" ",99)),892,99)),FIND(":",TRIM(MID(SUBSTITUTE($R139,";",REPT(" ",99)),892,99)))-1),Materiales!$A$2:$E$502,5,FALSE)*VALUE(MID(TRIM(MID(SUBSTITUTE($R139,";",REPT(" ",99)),892,99)),FIND(":",TRIM(MID(SUBSTITUTE($R139,";",REPT(" ",99)),892,99)))+1,99)),0)))</f>
        <v/>
      </c>
      <c r="T139" s="3"/>
      <c r="U139" s="5" t="str">
        <f t="array" ref="U139">IF($A139="","",IF($T139="",0,IFERROR(VLOOKUP(LEFT(TRIM(MID(SUBSTITUTE($T139,";",REPT(" ",99)),1,99)),FIND(":",TRIM(MID(SUBSTITUTE($T139,";",REPT(" ",99)),1,99)))-1),Materiales!$A$2:$E$502,5,FALSE)*VALUE(MID(TRIM(MID(SUBSTITUTE($T139,";",REPT(" ",99)),1,99)),FIND(":",TRIM(MID(SUBSTITUTE($T139,";",REPT(" ",99)),1,99)))+1,99)),0) + IFERROR(VLOOKUP(LEFT(TRIM(MID(SUBSTITUTE($T139,";",REPT(" ",99)),100,99)),FIND(":",TRIM(MID(SUBSTITUTE($T139,";",REPT(" ",99)),100,99)))-1),Materiales!$A$2:$E$502,5,FALSE)*VALUE(MID(TRIM(MID(SUBSTITUTE($T139,";",REPT(" ",99)),100,99)),FIND(":",TRIM(MID(SUBSTITUTE($T139,";",REPT(" ",99)),100,99)))+1,99)),0) + IFERROR(VLOOKUP(LEFT(TRIM(MID(SUBSTITUTE($T139,";",REPT(" ",99)),199,99)),FIND(":",TRIM(MID(SUBSTITUTE($T139,";",REPT(" ",99)),199,99)))-1),Materiales!$A$2:$E$502,5,FALSE)*VALUE(MID(TRIM(MID(SUBSTITUTE($T139,";",REPT(" ",99)),199,99)),FIND(":",TRIM(MID(SUBSTITUTE($T139,";",REPT(" ",99)),199,99)))+1,99)),0) + IFERROR(VLOOKUP(LEFT(TRIM(MID(SUBSTITUTE($T139,";",REPT(" ",99)),298,99)),FIND(":",TRIM(MID(SUBSTITUTE($T139,";",REPT(" ",99)),298,99)))-1),Materiales!$A$2:$E$502,5,FALSE)*VALUE(MID(TRIM(MID(SUBSTITUTE($T139,";",REPT(" ",99)),298,99)),FIND(":",TRIM(MID(SUBSTITUTE($T139,";",REPT(" ",99)),298,99)))+1,99)),0) + IFERROR(VLOOKUP(LEFT(TRIM(MID(SUBSTITUTE($T139,";",REPT(" ",99)),397,99)),FIND(":",TRIM(MID(SUBSTITUTE($T139,";",REPT(" ",99)),397,99)))-1),Materiales!$A$2:$E$502,5,FALSE)*VALUE(MID(TRIM(MID(SUBSTITUTE($T139,";",REPT(" ",99)),397,99)),FIND(":",TRIM(MID(SUBSTITUTE($T139,";",REPT(" ",99)),397,99)))+1,99)),0) + IFERROR(VLOOKUP(LEFT(TRIM(MID(SUBSTITUTE($T139,";",REPT(" ",99)),496,99)),FIND(":",TRIM(MID(SUBSTITUTE($T139,";",REPT(" ",99)),496,99)))-1),Materiales!$A$2:$E$502,5,FALSE)*VALUE(MID(TRIM(MID(SUBSTITUTE($T139,";",REPT(" ",99)),496,99)),FIND(":",TRIM(MID(SUBSTITUTE($T139,";",REPT(" ",99)),496,99)))+1,99)),0) + IFERROR(VLOOKUP(LEFT(TRIM(MID(SUBSTITUTE($T139,";",REPT(" ",99)),595,99)),FIND(":",TRIM(MID(SUBSTITUTE($T139,";",REPT(" ",99)),595,99)))-1),Materiales!$A$2:$E$502,5,FALSE)*VALUE(MID(TRIM(MID(SUBSTITUTE($T139,";",REPT(" ",99)),595,99)),FIND(":",TRIM(MID(SUBSTITUTE($T139,";",REPT(" ",99)),595,99)))+1,99)),0) + IFERROR(VLOOKUP(LEFT(TRIM(MID(SUBSTITUTE($T139,";",REPT(" ",99)),694,99)),FIND(":",TRIM(MID(SUBSTITUTE($T139,";",REPT(" ",99)),694,99)))-1),Materiales!$A$2:$E$502,5,FALSE)*VALUE(MID(TRIM(MID(SUBSTITUTE($T139,";",REPT(" ",99)),694,99)),FIND(":",TRIM(MID(SUBSTITUTE($T139,";",REPT(" ",99)),694,99)))+1,99)),0) + IFERROR(VLOOKUP(LEFT(TRIM(MID(SUBSTITUTE($T139,";",REPT(" ",99)),793,99)),FIND(":",TRIM(MID(SUBSTITUTE($T139,";",REPT(" ",99)),793,99)))-1),Materiales!$A$2:$E$502,5,FALSE)*VALUE(MID(TRIM(MID(SUBSTITUTE($T139,";",REPT(" ",99)),793,99)),FIND(":",TRIM(MID(SUBSTITUTE($T139,";",REPT(" ",99)),793,99)))+1,99)),0) + IFERROR(VLOOKUP(LEFT(TRIM(MID(SUBSTITUTE($T139,";",REPT(" ",99)),892,99)),FIND(":",TRIM(MID(SUBSTITUTE($T139,";",REPT(" ",99)),892,99)))-1),Materiales!$A$2:$E$502,5,FALSE)*VALUE(MID(TRIM(MID(SUBSTITUTE($T139,";",REPT(" ",99)),892,99)),FIND(":",TRIM(MID(SUBSTITUTE($T139,";",REPT(" ",99)),892,99)))+1,99)),0)))</f>
        <v/>
      </c>
      <c r="V139" s="3"/>
      <c r="W139" s="5" t="str">
        <f t="array" ref="W139">IF($A139="","",IF($V139="",0,IFERROR(VLOOKUP(LEFT(TRIM(MID(SUBSTITUTE($V139,";",REPT(" ",99)),1,99)),FIND(":",TRIM(MID(SUBSTITUTE($V139,";",REPT(" ",99)),1,99)))-1),Materiales!$A$2:$E$502,5,FALSE)*VALUE(MID(TRIM(MID(SUBSTITUTE($V139,";",REPT(" ",99)),1,99)),FIND(":",TRIM(MID(SUBSTITUTE($V139,";",REPT(" ",99)),1,99)))+1,99)),0) + IFERROR(VLOOKUP(LEFT(TRIM(MID(SUBSTITUTE($V139,";",REPT(" ",99)),100,99)),FIND(":",TRIM(MID(SUBSTITUTE($V139,";",REPT(" ",99)),100,99)))-1),Materiales!$A$2:$E$502,5,FALSE)*VALUE(MID(TRIM(MID(SUBSTITUTE($V139,";",REPT(" ",99)),100,99)),FIND(":",TRIM(MID(SUBSTITUTE($V139,";",REPT(" ",99)),100,99)))+1,99)),0) + IFERROR(VLOOKUP(LEFT(TRIM(MID(SUBSTITUTE($V139,";",REPT(" ",99)),199,99)),FIND(":",TRIM(MID(SUBSTITUTE($V139,";",REPT(" ",99)),199,99)))-1),Materiales!$A$2:$E$502,5,FALSE)*VALUE(MID(TRIM(MID(SUBSTITUTE($V139,";",REPT(" ",99)),199,99)),FIND(":",TRIM(MID(SUBSTITUTE($V139,";",REPT(" ",99)),199,99)))+1,99)),0) + IFERROR(VLOOKUP(LEFT(TRIM(MID(SUBSTITUTE($V139,";",REPT(" ",99)),298,99)),FIND(":",TRIM(MID(SUBSTITUTE($V139,";",REPT(" ",99)),298,99)))-1),Materiales!$A$2:$E$502,5,FALSE)*VALUE(MID(TRIM(MID(SUBSTITUTE($V139,";",REPT(" ",99)),298,99)),FIND(":",TRIM(MID(SUBSTITUTE($V139,";",REPT(" ",99)),298,99)))+1,99)),0) + IFERROR(VLOOKUP(LEFT(TRIM(MID(SUBSTITUTE($V139,";",REPT(" ",99)),397,99)),FIND(":",TRIM(MID(SUBSTITUTE($V139,";",REPT(" ",99)),397,99)))-1),Materiales!$A$2:$E$502,5,FALSE)*VALUE(MID(TRIM(MID(SUBSTITUTE($V139,";",REPT(" ",99)),397,99)),FIND(":",TRIM(MID(SUBSTITUTE($V139,";",REPT(" ",99)),397,99)))+1,99)),0) + IFERROR(VLOOKUP(LEFT(TRIM(MID(SUBSTITUTE($V139,";",REPT(" ",99)),496,99)),FIND(":",TRIM(MID(SUBSTITUTE($V139,";",REPT(" ",99)),496,99)))-1),Materiales!$A$2:$E$502,5,FALSE)*VALUE(MID(TRIM(MID(SUBSTITUTE($V139,";",REPT(" ",99)),496,99)),FIND(":",TRIM(MID(SUBSTITUTE($V139,";",REPT(" ",99)),496,99)))+1,99)),0) + IFERROR(VLOOKUP(LEFT(TRIM(MID(SUBSTITUTE($V139,";",REPT(" ",99)),595,99)),FIND(":",TRIM(MID(SUBSTITUTE($V139,";",REPT(" ",99)),595,99)))-1),Materiales!$A$2:$E$502,5,FALSE)*VALUE(MID(TRIM(MID(SUBSTITUTE($V139,";",REPT(" ",99)),595,99)),FIND(":",TRIM(MID(SUBSTITUTE($V139,";",REPT(" ",99)),595,99)))+1,99)),0) + IFERROR(VLOOKUP(LEFT(TRIM(MID(SUBSTITUTE($V139,";",REPT(" ",99)),694,99)),FIND(":",TRIM(MID(SUBSTITUTE($V139,";",REPT(" ",99)),694,99)))-1),Materiales!$A$2:$E$502,5,FALSE)*VALUE(MID(TRIM(MID(SUBSTITUTE($V139,";",REPT(" ",99)),694,99)),FIND(":",TRIM(MID(SUBSTITUTE($V139,";",REPT(" ",99)),694,99)))+1,99)),0) + IFERROR(VLOOKUP(LEFT(TRIM(MID(SUBSTITUTE($V139,";",REPT(" ",99)),793,99)),FIND(":",TRIM(MID(SUBSTITUTE($V139,";",REPT(" ",99)),793,99)))-1),Materiales!$A$2:$E$502,5,FALSE)*VALUE(MID(TRIM(MID(SUBSTITUTE($V139,";",REPT(" ",99)),793,99)),FIND(":",TRIM(MID(SUBSTITUTE($V139,";",REPT(" ",99)),793,99)))+1,99)),0) + IFERROR(VLOOKUP(LEFT(TRIM(MID(SUBSTITUTE($V139,";",REPT(" ",99)),892,99)),FIND(":",TRIM(MID(SUBSTITUTE($V139,";",REPT(" ",99)),892,99)))-1),Materiales!$A$2:$E$502,5,FALSE)*VALUE(MID(TRIM(MID(SUBSTITUTE($V139,";",REPT(" ",99)),892,99)),FIND(":",TRIM(MID(SUBSTITUTE($V139,";",REPT(" ",99)),892,99)))+1,99)),0)))</f>
        <v/>
      </c>
      <c r="X139" s="39" t="str">
        <f t="shared" si="13"/>
        <v/>
      </c>
      <c r="Y139" s="64"/>
      <c r="Z139" s="67"/>
      <c r="AA139" s="65"/>
      <c r="AB139" s="14"/>
      <c r="AC139" s="66"/>
      <c r="AD139" s="65"/>
      <c r="AE139" s="44">
        <f t="shared" si="17"/>
        <v>0</v>
      </c>
      <c r="AF139" s="45" t="str">
        <f t="shared" si="20"/>
        <v>#DIV/0!</v>
      </c>
    </row>
    <row r="140" ht="15.75" customHeight="1">
      <c r="A140" s="3"/>
      <c r="B140" s="3"/>
      <c r="C140" s="38"/>
      <c r="D140" s="38"/>
      <c r="E140" s="38"/>
      <c r="F140" s="14"/>
      <c r="G140" s="5" t="str">
        <f t="array" ref="G140">IF($A140="","",IFERROR($F140*(N($C140)*XLOOKUP($B140,Ceras!$A$2:$A$500,Ceras!$G$2:$G$500,0)+IF($D140="",0,N($E140)*XLOOKUP($D140,Ceras!$A$2:$A$500,Ceras!$G$2:$G$500,0))),"Revisar cera"))</f>
        <v/>
      </c>
      <c r="H140" s="5"/>
      <c r="I140" s="3"/>
      <c r="J140" s="14"/>
      <c r="K140" s="5" t="str">
        <f t="array" ref="K140">IF($A140="","",IFERROR($J140*XLOOKUP($I140,Pabilos!$A$2:$A$500,Pabilos!$H$2:$H$500,0),"Revisar pabilo"))</f>
        <v/>
      </c>
      <c r="L140" s="3"/>
      <c r="M140" s="14"/>
      <c r="N140" s="5" t="str">
        <f t="array" ref="N140">IF($A140="","",IFERROR($M140*XLOOKUP($L140,Esencias!$A$2:$A$501,Esencias!$G$2:$G$501,0),"Revisar esencia"))</f>
        <v/>
      </c>
      <c r="O140" s="3"/>
      <c r="P140" s="14"/>
      <c r="Q140" s="5" t="str">
        <f t="array" ref="Q140">IF($A140="","",IFERROR(IF($P140="",1,$P140)*XLOOKUP($O140,Colores!$A$2:$A$500,Colores!$H$2:$H$500,0),"Revisar color"))</f>
        <v/>
      </c>
      <c r="R140" s="3"/>
      <c r="S140" s="5" t="str">
        <f t="array" ref="S140">IF($A140="","",IF($R140="",0,IFERROR(VLOOKUP(LEFT(TRIM(MID(SUBSTITUTE($R140,";",REPT(" ",99)),1,99)),FIND(":",TRIM(MID(SUBSTITUTE($R140,";",REPT(" ",99)),1,99)))-1),Materiales!$A$2:$E$502,5,FALSE)*VALUE(MID(TRIM(MID(SUBSTITUTE($R140,";",REPT(" ",99)),1,99)),FIND(":",TRIM(MID(SUBSTITUTE($R140,";",REPT(" ",99)),1,99)))+1,99)),0) + IFERROR(VLOOKUP(LEFT(TRIM(MID(SUBSTITUTE($R140,";",REPT(" ",99)),100,99)),FIND(":",TRIM(MID(SUBSTITUTE($R140,";",REPT(" ",99)),100,99)))-1),Materiales!$A$2:$E$502,5,FALSE)*VALUE(MID(TRIM(MID(SUBSTITUTE($R140,";",REPT(" ",99)),100,99)),FIND(":",TRIM(MID(SUBSTITUTE($R140,";",REPT(" ",99)),100,99)))+1,99)),0) + IFERROR(VLOOKUP(LEFT(TRIM(MID(SUBSTITUTE($R140,";",REPT(" ",99)),199,99)),FIND(":",TRIM(MID(SUBSTITUTE($R140,";",REPT(" ",99)),199,99)))-1),Materiales!$A$2:$E$502,5,FALSE)*VALUE(MID(TRIM(MID(SUBSTITUTE($R140,";",REPT(" ",99)),199,99)),FIND(":",TRIM(MID(SUBSTITUTE($R140,";",REPT(" ",99)),199,99)))+1,99)),0) + IFERROR(VLOOKUP(LEFT(TRIM(MID(SUBSTITUTE($R140,";",REPT(" ",99)),298,99)),FIND(":",TRIM(MID(SUBSTITUTE($R140,";",REPT(" ",99)),298,99)))-1),Materiales!$A$2:$E$502,5,FALSE)*VALUE(MID(TRIM(MID(SUBSTITUTE($R140,";",REPT(" ",99)),298,99)),FIND(":",TRIM(MID(SUBSTITUTE($R140,";",REPT(" ",99)),298,99)))+1,99)),0) + IFERROR(VLOOKUP(LEFT(TRIM(MID(SUBSTITUTE($R140,";",REPT(" ",99)),397,99)),FIND(":",TRIM(MID(SUBSTITUTE($R140,";",REPT(" ",99)),397,99)))-1),Materiales!$A$2:$E$502,5,FALSE)*VALUE(MID(TRIM(MID(SUBSTITUTE($R140,";",REPT(" ",99)),397,99)),FIND(":",TRIM(MID(SUBSTITUTE($R140,";",REPT(" ",99)),397,99)))+1,99)),0) + IFERROR(VLOOKUP(LEFT(TRIM(MID(SUBSTITUTE($R140,";",REPT(" ",99)),496,99)),FIND(":",TRIM(MID(SUBSTITUTE($R140,";",REPT(" ",99)),496,99)))-1),Materiales!$A$2:$E$502,5,FALSE)*VALUE(MID(TRIM(MID(SUBSTITUTE($R140,";",REPT(" ",99)),496,99)),FIND(":",TRIM(MID(SUBSTITUTE($R140,";",REPT(" ",99)),496,99)))+1,99)),0) + IFERROR(VLOOKUP(LEFT(TRIM(MID(SUBSTITUTE($R140,";",REPT(" ",99)),595,99)),FIND(":",TRIM(MID(SUBSTITUTE($R140,";",REPT(" ",99)),595,99)))-1),Materiales!$A$2:$E$502,5,FALSE)*VALUE(MID(TRIM(MID(SUBSTITUTE($R140,";",REPT(" ",99)),595,99)),FIND(":",TRIM(MID(SUBSTITUTE($R140,";",REPT(" ",99)),595,99)))+1,99)),0) + IFERROR(VLOOKUP(LEFT(TRIM(MID(SUBSTITUTE($R140,";",REPT(" ",99)),694,99)),FIND(":",TRIM(MID(SUBSTITUTE($R140,";",REPT(" ",99)),694,99)))-1),Materiales!$A$2:$E$502,5,FALSE)*VALUE(MID(TRIM(MID(SUBSTITUTE($R140,";",REPT(" ",99)),694,99)),FIND(":",TRIM(MID(SUBSTITUTE($R140,";",REPT(" ",99)),694,99)))+1,99)),0) + IFERROR(VLOOKUP(LEFT(TRIM(MID(SUBSTITUTE($R140,";",REPT(" ",99)),793,99)),FIND(":",TRIM(MID(SUBSTITUTE($R140,";",REPT(" ",99)),793,99)))-1),Materiales!$A$2:$E$502,5,FALSE)*VALUE(MID(TRIM(MID(SUBSTITUTE($R140,";",REPT(" ",99)),793,99)),FIND(":",TRIM(MID(SUBSTITUTE($R140,";",REPT(" ",99)),793,99)))+1,99)),0) + IFERROR(VLOOKUP(LEFT(TRIM(MID(SUBSTITUTE($R140,";",REPT(" ",99)),892,99)),FIND(":",TRIM(MID(SUBSTITUTE($R140,";",REPT(" ",99)),892,99)))-1),Materiales!$A$2:$E$502,5,FALSE)*VALUE(MID(TRIM(MID(SUBSTITUTE($R140,";",REPT(" ",99)),892,99)),FIND(":",TRIM(MID(SUBSTITUTE($R140,";",REPT(" ",99)),892,99)))+1,99)),0)))</f>
        <v/>
      </c>
      <c r="T140" s="3"/>
      <c r="U140" s="5" t="str">
        <f t="array" ref="U140">IF($A140="","",IF($T140="",0,IFERROR(VLOOKUP(LEFT(TRIM(MID(SUBSTITUTE($T140,";",REPT(" ",99)),1,99)),FIND(":",TRIM(MID(SUBSTITUTE($T140,";",REPT(" ",99)),1,99)))-1),Materiales!$A$2:$E$502,5,FALSE)*VALUE(MID(TRIM(MID(SUBSTITUTE($T140,";",REPT(" ",99)),1,99)),FIND(":",TRIM(MID(SUBSTITUTE($T140,";",REPT(" ",99)),1,99)))+1,99)),0) + IFERROR(VLOOKUP(LEFT(TRIM(MID(SUBSTITUTE($T140,";",REPT(" ",99)),100,99)),FIND(":",TRIM(MID(SUBSTITUTE($T140,";",REPT(" ",99)),100,99)))-1),Materiales!$A$2:$E$502,5,FALSE)*VALUE(MID(TRIM(MID(SUBSTITUTE($T140,";",REPT(" ",99)),100,99)),FIND(":",TRIM(MID(SUBSTITUTE($T140,";",REPT(" ",99)),100,99)))+1,99)),0) + IFERROR(VLOOKUP(LEFT(TRIM(MID(SUBSTITUTE($T140,";",REPT(" ",99)),199,99)),FIND(":",TRIM(MID(SUBSTITUTE($T140,";",REPT(" ",99)),199,99)))-1),Materiales!$A$2:$E$502,5,FALSE)*VALUE(MID(TRIM(MID(SUBSTITUTE($T140,";",REPT(" ",99)),199,99)),FIND(":",TRIM(MID(SUBSTITUTE($T140,";",REPT(" ",99)),199,99)))+1,99)),0) + IFERROR(VLOOKUP(LEFT(TRIM(MID(SUBSTITUTE($T140,";",REPT(" ",99)),298,99)),FIND(":",TRIM(MID(SUBSTITUTE($T140,";",REPT(" ",99)),298,99)))-1),Materiales!$A$2:$E$502,5,FALSE)*VALUE(MID(TRIM(MID(SUBSTITUTE($T140,";",REPT(" ",99)),298,99)),FIND(":",TRIM(MID(SUBSTITUTE($T140,";",REPT(" ",99)),298,99)))+1,99)),0) + IFERROR(VLOOKUP(LEFT(TRIM(MID(SUBSTITUTE($T140,";",REPT(" ",99)),397,99)),FIND(":",TRIM(MID(SUBSTITUTE($T140,";",REPT(" ",99)),397,99)))-1),Materiales!$A$2:$E$502,5,FALSE)*VALUE(MID(TRIM(MID(SUBSTITUTE($T140,";",REPT(" ",99)),397,99)),FIND(":",TRIM(MID(SUBSTITUTE($T140,";",REPT(" ",99)),397,99)))+1,99)),0) + IFERROR(VLOOKUP(LEFT(TRIM(MID(SUBSTITUTE($T140,";",REPT(" ",99)),496,99)),FIND(":",TRIM(MID(SUBSTITUTE($T140,";",REPT(" ",99)),496,99)))-1),Materiales!$A$2:$E$502,5,FALSE)*VALUE(MID(TRIM(MID(SUBSTITUTE($T140,";",REPT(" ",99)),496,99)),FIND(":",TRIM(MID(SUBSTITUTE($T140,";",REPT(" ",99)),496,99)))+1,99)),0) + IFERROR(VLOOKUP(LEFT(TRIM(MID(SUBSTITUTE($T140,";",REPT(" ",99)),595,99)),FIND(":",TRIM(MID(SUBSTITUTE($T140,";",REPT(" ",99)),595,99)))-1),Materiales!$A$2:$E$502,5,FALSE)*VALUE(MID(TRIM(MID(SUBSTITUTE($T140,";",REPT(" ",99)),595,99)),FIND(":",TRIM(MID(SUBSTITUTE($T140,";",REPT(" ",99)),595,99)))+1,99)),0) + IFERROR(VLOOKUP(LEFT(TRIM(MID(SUBSTITUTE($T140,";",REPT(" ",99)),694,99)),FIND(":",TRIM(MID(SUBSTITUTE($T140,";",REPT(" ",99)),694,99)))-1),Materiales!$A$2:$E$502,5,FALSE)*VALUE(MID(TRIM(MID(SUBSTITUTE($T140,";",REPT(" ",99)),694,99)),FIND(":",TRIM(MID(SUBSTITUTE($T140,";",REPT(" ",99)),694,99)))+1,99)),0) + IFERROR(VLOOKUP(LEFT(TRIM(MID(SUBSTITUTE($T140,";",REPT(" ",99)),793,99)),FIND(":",TRIM(MID(SUBSTITUTE($T140,";",REPT(" ",99)),793,99)))-1),Materiales!$A$2:$E$502,5,FALSE)*VALUE(MID(TRIM(MID(SUBSTITUTE($T140,";",REPT(" ",99)),793,99)),FIND(":",TRIM(MID(SUBSTITUTE($T140,";",REPT(" ",99)),793,99)))+1,99)),0) + IFERROR(VLOOKUP(LEFT(TRIM(MID(SUBSTITUTE($T140,";",REPT(" ",99)),892,99)),FIND(":",TRIM(MID(SUBSTITUTE($T140,";",REPT(" ",99)),892,99)))-1),Materiales!$A$2:$E$502,5,FALSE)*VALUE(MID(TRIM(MID(SUBSTITUTE($T140,";",REPT(" ",99)),892,99)),FIND(":",TRIM(MID(SUBSTITUTE($T140,";",REPT(" ",99)),892,99)))+1,99)),0)))</f>
        <v/>
      </c>
      <c r="V140" s="3"/>
      <c r="W140" s="5" t="str">
        <f t="array" ref="W140">IF($A140="","",IF($V140="",0,IFERROR(VLOOKUP(LEFT(TRIM(MID(SUBSTITUTE($V140,";",REPT(" ",99)),1,99)),FIND(":",TRIM(MID(SUBSTITUTE($V140,";",REPT(" ",99)),1,99)))-1),Materiales!$A$2:$E$502,5,FALSE)*VALUE(MID(TRIM(MID(SUBSTITUTE($V140,";",REPT(" ",99)),1,99)),FIND(":",TRIM(MID(SUBSTITUTE($V140,";",REPT(" ",99)),1,99)))+1,99)),0) + IFERROR(VLOOKUP(LEFT(TRIM(MID(SUBSTITUTE($V140,";",REPT(" ",99)),100,99)),FIND(":",TRIM(MID(SUBSTITUTE($V140,";",REPT(" ",99)),100,99)))-1),Materiales!$A$2:$E$502,5,FALSE)*VALUE(MID(TRIM(MID(SUBSTITUTE($V140,";",REPT(" ",99)),100,99)),FIND(":",TRIM(MID(SUBSTITUTE($V140,";",REPT(" ",99)),100,99)))+1,99)),0) + IFERROR(VLOOKUP(LEFT(TRIM(MID(SUBSTITUTE($V140,";",REPT(" ",99)),199,99)),FIND(":",TRIM(MID(SUBSTITUTE($V140,";",REPT(" ",99)),199,99)))-1),Materiales!$A$2:$E$502,5,FALSE)*VALUE(MID(TRIM(MID(SUBSTITUTE($V140,";",REPT(" ",99)),199,99)),FIND(":",TRIM(MID(SUBSTITUTE($V140,";",REPT(" ",99)),199,99)))+1,99)),0) + IFERROR(VLOOKUP(LEFT(TRIM(MID(SUBSTITUTE($V140,";",REPT(" ",99)),298,99)),FIND(":",TRIM(MID(SUBSTITUTE($V140,";",REPT(" ",99)),298,99)))-1),Materiales!$A$2:$E$502,5,FALSE)*VALUE(MID(TRIM(MID(SUBSTITUTE($V140,";",REPT(" ",99)),298,99)),FIND(":",TRIM(MID(SUBSTITUTE($V140,";",REPT(" ",99)),298,99)))+1,99)),0) + IFERROR(VLOOKUP(LEFT(TRIM(MID(SUBSTITUTE($V140,";",REPT(" ",99)),397,99)),FIND(":",TRIM(MID(SUBSTITUTE($V140,";",REPT(" ",99)),397,99)))-1),Materiales!$A$2:$E$502,5,FALSE)*VALUE(MID(TRIM(MID(SUBSTITUTE($V140,";",REPT(" ",99)),397,99)),FIND(":",TRIM(MID(SUBSTITUTE($V140,";",REPT(" ",99)),397,99)))+1,99)),0) + IFERROR(VLOOKUP(LEFT(TRIM(MID(SUBSTITUTE($V140,";",REPT(" ",99)),496,99)),FIND(":",TRIM(MID(SUBSTITUTE($V140,";",REPT(" ",99)),496,99)))-1),Materiales!$A$2:$E$502,5,FALSE)*VALUE(MID(TRIM(MID(SUBSTITUTE($V140,";",REPT(" ",99)),496,99)),FIND(":",TRIM(MID(SUBSTITUTE($V140,";",REPT(" ",99)),496,99)))+1,99)),0) + IFERROR(VLOOKUP(LEFT(TRIM(MID(SUBSTITUTE($V140,";",REPT(" ",99)),595,99)),FIND(":",TRIM(MID(SUBSTITUTE($V140,";",REPT(" ",99)),595,99)))-1),Materiales!$A$2:$E$502,5,FALSE)*VALUE(MID(TRIM(MID(SUBSTITUTE($V140,";",REPT(" ",99)),595,99)),FIND(":",TRIM(MID(SUBSTITUTE($V140,";",REPT(" ",99)),595,99)))+1,99)),0) + IFERROR(VLOOKUP(LEFT(TRIM(MID(SUBSTITUTE($V140,";",REPT(" ",99)),694,99)),FIND(":",TRIM(MID(SUBSTITUTE($V140,";",REPT(" ",99)),694,99)))-1),Materiales!$A$2:$E$502,5,FALSE)*VALUE(MID(TRIM(MID(SUBSTITUTE($V140,";",REPT(" ",99)),694,99)),FIND(":",TRIM(MID(SUBSTITUTE($V140,";",REPT(" ",99)),694,99)))+1,99)),0) + IFERROR(VLOOKUP(LEFT(TRIM(MID(SUBSTITUTE($V140,";",REPT(" ",99)),793,99)),FIND(":",TRIM(MID(SUBSTITUTE($V140,";",REPT(" ",99)),793,99)))-1),Materiales!$A$2:$E$502,5,FALSE)*VALUE(MID(TRIM(MID(SUBSTITUTE($V140,";",REPT(" ",99)),793,99)),FIND(":",TRIM(MID(SUBSTITUTE($V140,";",REPT(" ",99)),793,99)))+1,99)),0) + IFERROR(VLOOKUP(LEFT(TRIM(MID(SUBSTITUTE($V140,";",REPT(" ",99)),892,99)),FIND(":",TRIM(MID(SUBSTITUTE($V140,";",REPT(" ",99)),892,99)))-1),Materiales!$A$2:$E$502,5,FALSE)*VALUE(MID(TRIM(MID(SUBSTITUTE($V140,";",REPT(" ",99)),892,99)),FIND(":",TRIM(MID(SUBSTITUTE($V140,";",REPT(" ",99)),892,99)))+1,99)),0)))</f>
        <v/>
      </c>
      <c r="X140" s="39" t="str">
        <f t="shared" si="13"/>
        <v/>
      </c>
      <c r="Y140" s="64"/>
      <c r="Z140" s="67"/>
      <c r="AA140" s="65"/>
      <c r="AB140" s="14"/>
      <c r="AC140" s="66"/>
      <c r="AD140" s="65"/>
      <c r="AE140" s="44">
        <f t="shared" si="17"/>
        <v>0</v>
      </c>
      <c r="AF140" s="45" t="str">
        <f t="shared" si="20"/>
        <v>#DIV/0!</v>
      </c>
    </row>
    <row r="141" ht="15.75" customHeight="1">
      <c r="A141" s="3"/>
      <c r="B141" s="3"/>
      <c r="C141" s="38"/>
      <c r="D141" s="38"/>
      <c r="E141" s="38"/>
      <c r="F141" s="14"/>
      <c r="G141" s="5" t="str">
        <f t="array" ref="G141">IF($A141="","",IFERROR($F141*(N($C141)*XLOOKUP($B141,Ceras!$A$2:$A$500,Ceras!$G$2:$G$500,0)+IF($D141="",0,N($E141)*XLOOKUP($D141,Ceras!$A$2:$A$500,Ceras!$G$2:$G$500,0))),"Revisar cera"))</f>
        <v/>
      </c>
      <c r="H141" s="5"/>
      <c r="I141" s="3"/>
      <c r="J141" s="14"/>
      <c r="K141" s="5" t="str">
        <f t="array" ref="K141">IF($A141="","",IFERROR($J141*XLOOKUP($I141,Pabilos!$A$2:$A$500,Pabilos!$H$2:$H$500,0),"Revisar pabilo"))</f>
        <v/>
      </c>
      <c r="L141" s="3"/>
      <c r="M141" s="14"/>
      <c r="N141" s="5" t="str">
        <f t="array" ref="N141">IF($A141="","",IFERROR($M141*XLOOKUP($L141,Esencias!$A$2:$A$501,Esencias!$G$2:$G$501,0),"Revisar esencia"))</f>
        <v/>
      </c>
      <c r="O141" s="3"/>
      <c r="P141" s="14"/>
      <c r="Q141" s="5" t="str">
        <f t="array" ref="Q141">IF($A141="","",IFERROR(IF($P141="",1,$P141)*XLOOKUP($O141,Colores!$A$2:$A$500,Colores!$H$2:$H$500,0),"Revisar color"))</f>
        <v/>
      </c>
      <c r="R141" s="3"/>
      <c r="S141" s="5" t="str">
        <f t="array" ref="S141">IF($A141="","",IF($R141="",0,IFERROR(VLOOKUP(LEFT(TRIM(MID(SUBSTITUTE($R141,";",REPT(" ",99)),1,99)),FIND(":",TRIM(MID(SUBSTITUTE($R141,";",REPT(" ",99)),1,99)))-1),Materiales!$A$2:$E$502,5,FALSE)*VALUE(MID(TRIM(MID(SUBSTITUTE($R141,";",REPT(" ",99)),1,99)),FIND(":",TRIM(MID(SUBSTITUTE($R141,";",REPT(" ",99)),1,99)))+1,99)),0) + IFERROR(VLOOKUP(LEFT(TRIM(MID(SUBSTITUTE($R141,";",REPT(" ",99)),100,99)),FIND(":",TRIM(MID(SUBSTITUTE($R141,";",REPT(" ",99)),100,99)))-1),Materiales!$A$2:$E$502,5,FALSE)*VALUE(MID(TRIM(MID(SUBSTITUTE($R141,";",REPT(" ",99)),100,99)),FIND(":",TRIM(MID(SUBSTITUTE($R141,";",REPT(" ",99)),100,99)))+1,99)),0) + IFERROR(VLOOKUP(LEFT(TRIM(MID(SUBSTITUTE($R141,";",REPT(" ",99)),199,99)),FIND(":",TRIM(MID(SUBSTITUTE($R141,";",REPT(" ",99)),199,99)))-1),Materiales!$A$2:$E$502,5,FALSE)*VALUE(MID(TRIM(MID(SUBSTITUTE($R141,";",REPT(" ",99)),199,99)),FIND(":",TRIM(MID(SUBSTITUTE($R141,";",REPT(" ",99)),199,99)))+1,99)),0) + IFERROR(VLOOKUP(LEFT(TRIM(MID(SUBSTITUTE($R141,";",REPT(" ",99)),298,99)),FIND(":",TRIM(MID(SUBSTITUTE($R141,";",REPT(" ",99)),298,99)))-1),Materiales!$A$2:$E$502,5,FALSE)*VALUE(MID(TRIM(MID(SUBSTITUTE($R141,";",REPT(" ",99)),298,99)),FIND(":",TRIM(MID(SUBSTITUTE($R141,";",REPT(" ",99)),298,99)))+1,99)),0) + IFERROR(VLOOKUP(LEFT(TRIM(MID(SUBSTITUTE($R141,";",REPT(" ",99)),397,99)),FIND(":",TRIM(MID(SUBSTITUTE($R141,";",REPT(" ",99)),397,99)))-1),Materiales!$A$2:$E$502,5,FALSE)*VALUE(MID(TRIM(MID(SUBSTITUTE($R141,";",REPT(" ",99)),397,99)),FIND(":",TRIM(MID(SUBSTITUTE($R141,";",REPT(" ",99)),397,99)))+1,99)),0) + IFERROR(VLOOKUP(LEFT(TRIM(MID(SUBSTITUTE($R141,";",REPT(" ",99)),496,99)),FIND(":",TRIM(MID(SUBSTITUTE($R141,";",REPT(" ",99)),496,99)))-1),Materiales!$A$2:$E$502,5,FALSE)*VALUE(MID(TRIM(MID(SUBSTITUTE($R141,";",REPT(" ",99)),496,99)),FIND(":",TRIM(MID(SUBSTITUTE($R141,";",REPT(" ",99)),496,99)))+1,99)),0) + IFERROR(VLOOKUP(LEFT(TRIM(MID(SUBSTITUTE($R141,";",REPT(" ",99)),595,99)),FIND(":",TRIM(MID(SUBSTITUTE($R141,";",REPT(" ",99)),595,99)))-1),Materiales!$A$2:$E$502,5,FALSE)*VALUE(MID(TRIM(MID(SUBSTITUTE($R141,";",REPT(" ",99)),595,99)),FIND(":",TRIM(MID(SUBSTITUTE($R141,";",REPT(" ",99)),595,99)))+1,99)),0) + IFERROR(VLOOKUP(LEFT(TRIM(MID(SUBSTITUTE($R141,";",REPT(" ",99)),694,99)),FIND(":",TRIM(MID(SUBSTITUTE($R141,";",REPT(" ",99)),694,99)))-1),Materiales!$A$2:$E$502,5,FALSE)*VALUE(MID(TRIM(MID(SUBSTITUTE($R141,";",REPT(" ",99)),694,99)),FIND(":",TRIM(MID(SUBSTITUTE($R141,";",REPT(" ",99)),694,99)))+1,99)),0) + IFERROR(VLOOKUP(LEFT(TRIM(MID(SUBSTITUTE($R141,";",REPT(" ",99)),793,99)),FIND(":",TRIM(MID(SUBSTITUTE($R141,";",REPT(" ",99)),793,99)))-1),Materiales!$A$2:$E$502,5,FALSE)*VALUE(MID(TRIM(MID(SUBSTITUTE($R141,";",REPT(" ",99)),793,99)),FIND(":",TRIM(MID(SUBSTITUTE($R141,";",REPT(" ",99)),793,99)))+1,99)),0) + IFERROR(VLOOKUP(LEFT(TRIM(MID(SUBSTITUTE($R141,";",REPT(" ",99)),892,99)),FIND(":",TRIM(MID(SUBSTITUTE($R141,";",REPT(" ",99)),892,99)))-1),Materiales!$A$2:$E$502,5,FALSE)*VALUE(MID(TRIM(MID(SUBSTITUTE($R141,";",REPT(" ",99)),892,99)),FIND(":",TRIM(MID(SUBSTITUTE($R141,";",REPT(" ",99)),892,99)))+1,99)),0)))</f>
        <v/>
      </c>
      <c r="T141" s="3"/>
      <c r="U141" s="5" t="str">
        <f t="array" ref="U141">IF($A141="","",IF($T141="",0,IFERROR(VLOOKUP(LEFT(TRIM(MID(SUBSTITUTE($T141,";",REPT(" ",99)),1,99)),FIND(":",TRIM(MID(SUBSTITUTE($T141,";",REPT(" ",99)),1,99)))-1),Materiales!$A$2:$E$502,5,FALSE)*VALUE(MID(TRIM(MID(SUBSTITUTE($T141,";",REPT(" ",99)),1,99)),FIND(":",TRIM(MID(SUBSTITUTE($T141,";",REPT(" ",99)),1,99)))+1,99)),0) + IFERROR(VLOOKUP(LEFT(TRIM(MID(SUBSTITUTE($T141,";",REPT(" ",99)),100,99)),FIND(":",TRIM(MID(SUBSTITUTE($T141,";",REPT(" ",99)),100,99)))-1),Materiales!$A$2:$E$502,5,FALSE)*VALUE(MID(TRIM(MID(SUBSTITUTE($T141,";",REPT(" ",99)),100,99)),FIND(":",TRIM(MID(SUBSTITUTE($T141,";",REPT(" ",99)),100,99)))+1,99)),0) + IFERROR(VLOOKUP(LEFT(TRIM(MID(SUBSTITUTE($T141,";",REPT(" ",99)),199,99)),FIND(":",TRIM(MID(SUBSTITUTE($T141,";",REPT(" ",99)),199,99)))-1),Materiales!$A$2:$E$502,5,FALSE)*VALUE(MID(TRIM(MID(SUBSTITUTE($T141,";",REPT(" ",99)),199,99)),FIND(":",TRIM(MID(SUBSTITUTE($T141,";",REPT(" ",99)),199,99)))+1,99)),0) + IFERROR(VLOOKUP(LEFT(TRIM(MID(SUBSTITUTE($T141,";",REPT(" ",99)),298,99)),FIND(":",TRIM(MID(SUBSTITUTE($T141,";",REPT(" ",99)),298,99)))-1),Materiales!$A$2:$E$502,5,FALSE)*VALUE(MID(TRIM(MID(SUBSTITUTE($T141,";",REPT(" ",99)),298,99)),FIND(":",TRIM(MID(SUBSTITUTE($T141,";",REPT(" ",99)),298,99)))+1,99)),0) + IFERROR(VLOOKUP(LEFT(TRIM(MID(SUBSTITUTE($T141,";",REPT(" ",99)),397,99)),FIND(":",TRIM(MID(SUBSTITUTE($T141,";",REPT(" ",99)),397,99)))-1),Materiales!$A$2:$E$502,5,FALSE)*VALUE(MID(TRIM(MID(SUBSTITUTE($T141,";",REPT(" ",99)),397,99)),FIND(":",TRIM(MID(SUBSTITUTE($T141,";",REPT(" ",99)),397,99)))+1,99)),0) + IFERROR(VLOOKUP(LEFT(TRIM(MID(SUBSTITUTE($T141,";",REPT(" ",99)),496,99)),FIND(":",TRIM(MID(SUBSTITUTE($T141,";",REPT(" ",99)),496,99)))-1),Materiales!$A$2:$E$502,5,FALSE)*VALUE(MID(TRIM(MID(SUBSTITUTE($T141,";",REPT(" ",99)),496,99)),FIND(":",TRIM(MID(SUBSTITUTE($T141,";",REPT(" ",99)),496,99)))+1,99)),0) + IFERROR(VLOOKUP(LEFT(TRIM(MID(SUBSTITUTE($T141,";",REPT(" ",99)),595,99)),FIND(":",TRIM(MID(SUBSTITUTE($T141,";",REPT(" ",99)),595,99)))-1),Materiales!$A$2:$E$502,5,FALSE)*VALUE(MID(TRIM(MID(SUBSTITUTE($T141,";",REPT(" ",99)),595,99)),FIND(":",TRIM(MID(SUBSTITUTE($T141,";",REPT(" ",99)),595,99)))+1,99)),0) + IFERROR(VLOOKUP(LEFT(TRIM(MID(SUBSTITUTE($T141,";",REPT(" ",99)),694,99)),FIND(":",TRIM(MID(SUBSTITUTE($T141,";",REPT(" ",99)),694,99)))-1),Materiales!$A$2:$E$502,5,FALSE)*VALUE(MID(TRIM(MID(SUBSTITUTE($T141,";",REPT(" ",99)),694,99)),FIND(":",TRIM(MID(SUBSTITUTE($T141,";",REPT(" ",99)),694,99)))+1,99)),0) + IFERROR(VLOOKUP(LEFT(TRIM(MID(SUBSTITUTE($T141,";",REPT(" ",99)),793,99)),FIND(":",TRIM(MID(SUBSTITUTE($T141,";",REPT(" ",99)),793,99)))-1),Materiales!$A$2:$E$502,5,FALSE)*VALUE(MID(TRIM(MID(SUBSTITUTE($T141,";",REPT(" ",99)),793,99)),FIND(":",TRIM(MID(SUBSTITUTE($T141,";",REPT(" ",99)),793,99)))+1,99)),0) + IFERROR(VLOOKUP(LEFT(TRIM(MID(SUBSTITUTE($T141,";",REPT(" ",99)),892,99)),FIND(":",TRIM(MID(SUBSTITUTE($T141,";",REPT(" ",99)),892,99)))-1),Materiales!$A$2:$E$502,5,FALSE)*VALUE(MID(TRIM(MID(SUBSTITUTE($T141,";",REPT(" ",99)),892,99)),FIND(":",TRIM(MID(SUBSTITUTE($T141,";",REPT(" ",99)),892,99)))+1,99)),0)))</f>
        <v/>
      </c>
      <c r="V141" s="3"/>
      <c r="W141" s="5" t="str">
        <f t="array" ref="W141">IF($A141="","",IF($V141="",0,IFERROR(VLOOKUP(LEFT(TRIM(MID(SUBSTITUTE($V141,";",REPT(" ",99)),1,99)),FIND(":",TRIM(MID(SUBSTITUTE($V141,";",REPT(" ",99)),1,99)))-1),Materiales!$A$2:$E$502,5,FALSE)*VALUE(MID(TRIM(MID(SUBSTITUTE($V141,";",REPT(" ",99)),1,99)),FIND(":",TRIM(MID(SUBSTITUTE($V141,";",REPT(" ",99)),1,99)))+1,99)),0) + IFERROR(VLOOKUP(LEFT(TRIM(MID(SUBSTITUTE($V141,";",REPT(" ",99)),100,99)),FIND(":",TRIM(MID(SUBSTITUTE($V141,";",REPT(" ",99)),100,99)))-1),Materiales!$A$2:$E$502,5,FALSE)*VALUE(MID(TRIM(MID(SUBSTITUTE($V141,";",REPT(" ",99)),100,99)),FIND(":",TRIM(MID(SUBSTITUTE($V141,";",REPT(" ",99)),100,99)))+1,99)),0) + IFERROR(VLOOKUP(LEFT(TRIM(MID(SUBSTITUTE($V141,";",REPT(" ",99)),199,99)),FIND(":",TRIM(MID(SUBSTITUTE($V141,";",REPT(" ",99)),199,99)))-1),Materiales!$A$2:$E$502,5,FALSE)*VALUE(MID(TRIM(MID(SUBSTITUTE($V141,";",REPT(" ",99)),199,99)),FIND(":",TRIM(MID(SUBSTITUTE($V141,";",REPT(" ",99)),199,99)))+1,99)),0) + IFERROR(VLOOKUP(LEFT(TRIM(MID(SUBSTITUTE($V141,";",REPT(" ",99)),298,99)),FIND(":",TRIM(MID(SUBSTITUTE($V141,";",REPT(" ",99)),298,99)))-1),Materiales!$A$2:$E$502,5,FALSE)*VALUE(MID(TRIM(MID(SUBSTITUTE($V141,";",REPT(" ",99)),298,99)),FIND(":",TRIM(MID(SUBSTITUTE($V141,";",REPT(" ",99)),298,99)))+1,99)),0) + IFERROR(VLOOKUP(LEFT(TRIM(MID(SUBSTITUTE($V141,";",REPT(" ",99)),397,99)),FIND(":",TRIM(MID(SUBSTITUTE($V141,";",REPT(" ",99)),397,99)))-1),Materiales!$A$2:$E$502,5,FALSE)*VALUE(MID(TRIM(MID(SUBSTITUTE($V141,";",REPT(" ",99)),397,99)),FIND(":",TRIM(MID(SUBSTITUTE($V141,";",REPT(" ",99)),397,99)))+1,99)),0) + IFERROR(VLOOKUP(LEFT(TRIM(MID(SUBSTITUTE($V141,";",REPT(" ",99)),496,99)),FIND(":",TRIM(MID(SUBSTITUTE($V141,";",REPT(" ",99)),496,99)))-1),Materiales!$A$2:$E$502,5,FALSE)*VALUE(MID(TRIM(MID(SUBSTITUTE($V141,";",REPT(" ",99)),496,99)),FIND(":",TRIM(MID(SUBSTITUTE($V141,";",REPT(" ",99)),496,99)))+1,99)),0) + IFERROR(VLOOKUP(LEFT(TRIM(MID(SUBSTITUTE($V141,";",REPT(" ",99)),595,99)),FIND(":",TRIM(MID(SUBSTITUTE($V141,";",REPT(" ",99)),595,99)))-1),Materiales!$A$2:$E$502,5,FALSE)*VALUE(MID(TRIM(MID(SUBSTITUTE($V141,";",REPT(" ",99)),595,99)),FIND(":",TRIM(MID(SUBSTITUTE($V141,";",REPT(" ",99)),595,99)))+1,99)),0) + IFERROR(VLOOKUP(LEFT(TRIM(MID(SUBSTITUTE($V141,";",REPT(" ",99)),694,99)),FIND(":",TRIM(MID(SUBSTITUTE($V141,";",REPT(" ",99)),694,99)))-1),Materiales!$A$2:$E$502,5,FALSE)*VALUE(MID(TRIM(MID(SUBSTITUTE($V141,";",REPT(" ",99)),694,99)),FIND(":",TRIM(MID(SUBSTITUTE($V141,";",REPT(" ",99)),694,99)))+1,99)),0) + IFERROR(VLOOKUP(LEFT(TRIM(MID(SUBSTITUTE($V141,";",REPT(" ",99)),793,99)),FIND(":",TRIM(MID(SUBSTITUTE($V141,";",REPT(" ",99)),793,99)))-1),Materiales!$A$2:$E$502,5,FALSE)*VALUE(MID(TRIM(MID(SUBSTITUTE($V141,";",REPT(" ",99)),793,99)),FIND(":",TRIM(MID(SUBSTITUTE($V141,";",REPT(" ",99)),793,99)))+1,99)),0) + IFERROR(VLOOKUP(LEFT(TRIM(MID(SUBSTITUTE($V141,";",REPT(" ",99)),892,99)),FIND(":",TRIM(MID(SUBSTITUTE($V141,";",REPT(" ",99)),892,99)))-1),Materiales!$A$2:$E$502,5,FALSE)*VALUE(MID(TRIM(MID(SUBSTITUTE($V141,";",REPT(" ",99)),892,99)),FIND(":",TRIM(MID(SUBSTITUTE($V141,";",REPT(" ",99)),892,99)))+1,99)),0)))</f>
        <v/>
      </c>
      <c r="X141" s="39" t="str">
        <f t="shared" si="13"/>
        <v/>
      </c>
      <c r="Y141" s="64"/>
      <c r="Z141" s="67"/>
      <c r="AA141" s="65"/>
      <c r="AB141" s="14"/>
      <c r="AC141" s="66"/>
      <c r="AD141" s="65"/>
      <c r="AE141" s="44">
        <f t="shared" si="17"/>
        <v>0</v>
      </c>
      <c r="AF141" s="45" t="str">
        <f t="shared" si="20"/>
        <v>#DIV/0!</v>
      </c>
    </row>
    <row r="142" ht="15.75" customHeight="1">
      <c r="A142" s="3"/>
      <c r="B142" s="3"/>
      <c r="C142" s="38"/>
      <c r="D142" s="38"/>
      <c r="E142" s="38"/>
      <c r="F142" s="14"/>
      <c r="G142" s="5" t="str">
        <f t="array" ref="G142">IF($A142="","",IFERROR($F142*(N($C142)*XLOOKUP($B142,Ceras!$A$2:$A$500,Ceras!$G$2:$G$500,0)+IF($D142="",0,N($E142)*XLOOKUP($D142,Ceras!$A$2:$A$500,Ceras!$G$2:$G$500,0))),"Revisar cera"))</f>
        <v/>
      </c>
      <c r="H142" s="5"/>
      <c r="I142" s="3"/>
      <c r="J142" s="14"/>
      <c r="K142" s="5" t="str">
        <f t="array" ref="K142">IF($A142="","",IFERROR($J142*XLOOKUP($I142,Pabilos!$A$2:$A$500,Pabilos!$H$2:$H$500,0),"Revisar pabilo"))</f>
        <v/>
      </c>
      <c r="L142" s="3"/>
      <c r="M142" s="14"/>
      <c r="N142" s="5" t="str">
        <f t="array" ref="N142">IF($A142="","",IFERROR($M142*XLOOKUP($L142,Esencias!$A$2:$A$501,Esencias!$G$2:$G$501,0),"Revisar esencia"))</f>
        <v/>
      </c>
      <c r="O142" s="3"/>
      <c r="P142" s="14"/>
      <c r="Q142" s="5" t="str">
        <f t="array" ref="Q142">IF($A142="","",IFERROR(IF($P142="",1,$P142)*XLOOKUP($O142,Colores!$A$2:$A$500,Colores!$H$2:$H$500,0),"Revisar color"))</f>
        <v/>
      </c>
      <c r="R142" s="3"/>
      <c r="S142" s="5" t="str">
        <f t="array" ref="S142">IF($A142="","",IF($R142="",0,IFERROR(VLOOKUP(LEFT(TRIM(MID(SUBSTITUTE($R142,";",REPT(" ",99)),1,99)),FIND(":",TRIM(MID(SUBSTITUTE($R142,";",REPT(" ",99)),1,99)))-1),Materiales!$A$2:$E$502,5,FALSE)*VALUE(MID(TRIM(MID(SUBSTITUTE($R142,";",REPT(" ",99)),1,99)),FIND(":",TRIM(MID(SUBSTITUTE($R142,";",REPT(" ",99)),1,99)))+1,99)),0) + IFERROR(VLOOKUP(LEFT(TRIM(MID(SUBSTITUTE($R142,";",REPT(" ",99)),100,99)),FIND(":",TRIM(MID(SUBSTITUTE($R142,";",REPT(" ",99)),100,99)))-1),Materiales!$A$2:$E$502,5,FALSE)*VALUE(MID(TRIM(MID(SUBSTITUTE($R142,";",REPT(" ",99)),100,99)),FIND(":",TRIM(MID(SUBSTITUTE($R142,";",REPT(" ",99)),100,99)))+1,99)),0) + IFERROR(VLOOKUP(LEFT(TRIM(MID(SUBSTITUTE($R142,";",REPT(" ",99)),199,99)),FIND(":",TRIM(MID(SUBSTITUTE($R142,";",REPT(" ",99)),199,99)))-1),Materiales!$A$2:$E$502,5,FALSE)*VALUE(MID(TRIM(MID(SUBSTITUTE($R142,";",REPT(" ",99)),199,99)),FIND(":",TRIM(MID(SUBSTITUTE($R142,";",REPT(" ",99)),199,99)))+1,99)),0) + IFERROR(VLOOKUP(LEFT(TRIM(MID(SUBSTITUTE($R142,";",REPT(" ",99)),298,99)),FIND(":",TRIM(MID(SUBSTITUTE($R142,";",REPT(" ",99)),298,99)))-1),Materiales!$A$2:$E$502,5,FALSE)*VALUE(MID(TRIM(MID(SUBSTITUTE($R142,";",REPT(" ",99)),298,99)),FIND(":",TRIM(MID(SUBSTITUTE($R142,";",REPT(" ",99)),298,99)))+1,99)),0) + IFERROR(VLOOKUP(LEFT(TRIM(MID(SUBSTITUTE($R142,";",REPT(" ",99)),397,99)),FIND(":",TRIM(MID(SUBSTITUTE($R142,";",REPT(" ",99)),397,99)))-1),Materiales!$A$2:$E$502,5,FALSE)*VALUE(MID(TRIM(MID(SUBSTITUTE($R142,";",REPT(" ",99)),397,99)),FIND(":",TRIM(MID(SUBSTITUTE($R142,";",REPT(" ",99)),397,99)))+1,99)),0) + IFERROR(VLOOKUP(LEFT(TRIM(MID(SUBSTITUTE($R142,";",REPT(" ",99)),496,99)),FIND(":",TRIM(MID(SUBSTITUTE($R142,";",REPT(" ",99)),496,99)))-1),Materiales!$A$2:$E$502,5,FALSE)*VALUE(MID(TRIM(MID(SUBSTITUTE($R142,";",REPT(" ",99)),496,99)),FIND(":",TRIM(MID(SUBSTITUTE($R142,";",REPT(" ",99)),496,99)))+1,99)),0) + IFERROR(VLOOKUP(LEFT(TRIM(MID(SUBSTITUTE($R142,";",REPT(" ",99)),595,99)),FIND(":",TRIM(MID(SUBSTITUTE($R142,";",REPT(" ",99)),595,99)))-1),Materiales!$A$2:$E$502,5,FALSE)*VALUE(MID(TRIM(MID(SUBSTITUTE($R142,";",REPT(" ",99)),595,99)),FIND(":",TRIM(MID(SUBSTITUTE($R142,";",REPT(" ",99)),595,99)))+1,99)),0) + IFERROR(VLOOKUP(LEFT(TRIM(MID(SUBSTITUTE($R142,";",REPT(" ",99)),694,99)),FIND(":",TRIM(MID(SUBSTITUTE($R142,";",REPT(" ",99)),694,99)))-1),Materiales!$A$2:$E$502,5,FALSE)*VALUE(MID(TRIM(MID(SUBSTITUTE($R142,";",REPT(" ",99)),694,99)),FIND(":",TRIM(MID(SUBSTITUTE($R142,";",REPT(" ",99)),694,99)))+1,99)),0) + IFERROR(VLOOKUP(LEFT(TRIM(MID(SUBSTITUTE($R142,";",REPT(" ",99)),793,99)),FIND(":",TRIM(MID(SUBSTITUTE($R142,";",REPT(" ",99)),793,99)))-1),Materiales!$A$2:$E$502,5,FALSE)*VALUE(MID(TRIM(MID(SUBSTITUTE($R142,";",REPT(" ",99)),793,99)),FIND(":",TRIM(MID(SUBSTITUTE($R142,";",REPT(" ",99)),793,99)))+1,99)),0) + IFERROR(VLOOKUP(LEFT(TRIM(MID(SUBSTITUTE($R142,";",REPT(" ",99)),892,99)),FIND(":",TRIM(MID(SUBSTITUTE($R142,";",REPT(" ",99)),892,99)))-1),Materiales!$A$2:$E$502,5,FALSE)*VALUE(MID(TRIM(MID(SUBSTITUTE($R142,";",REPT(" ",99)),892,99)),FIND(":",TRIM(MID(SUBSTITUTE($R142,";",REPT(" ",99)),892,99)))+1,99)),0)))</f>
        <v/>
      </c>
      <c r="T142" s="3"/>
      <c r="U142" s="5" t="str">
        <f t="array" ref="U142">IF($A142="","",IF($T142="",0,IFERROR(VLOOKUP(LEFT(TRIM(MID(SUBSTITUTE($T142,";",REPT(" ",99)),1,99)),FIND(":",TRIM(MID(SUBSTITUTE($T142,";",REPT(" ",99)),1,99)))-1),Materiales!$A$2:$E$502,5,FALSE)*VALUE(MID(TRIM(MID(SUBSTITUTE($T142,";",REPT(" ",99)),1,99)),FIND(":",TRIM(MID(SUBSTITUTE($T142,";",REPT(" ",99)),1,99)))+1,99)),0) + IFERROR(VLOOKUP(LEFT(TRIM(MID(SUBSTITUTE($T142,";",REPT(" ",99)),100,99)),FIND(":",TRIM(MID(SUBSTITUTE($T142,";",REPT(" ",99)),100,99)))-1),Materiales!$A$2:$E$502,5,FALSE)*VALUE(MID(TRIM(MID(SUBSTITUTE($T142,";",REPT(" ",99)),100,99)),FIND(":",TRIM(MID(SUBSTITUTE($T142,";",REPT(" ",99)),100,99)))+1,99)),0) + IFERROR(VLOOKUP(LEFT(TRIM(MID(SUBSTITUTE($T142,";",REPT(" ",99)),199,99)),FIND(":",TRIM(MID(SUBSTITUTE($T142,";",REPT(" ",99)),199,99)))-1),Materiales!$A$2:$E$502,5,FALSE)*VALUE(MID(TRIM(MID(SUBSTITUTE($T142,";",REPT(" ",99)),199,99)),FIND(":",TRIM(MID(SUBSTITUTE($T142,";",REPT(" ",99)),199,99)))+1,99)),0) + IFERROR(VLOOKUP(LEFT(TRIM(MID(SUBSTITUTE($T142,";",REPT(" ",99)),298,99)),FIND(":",TRIM(MID(SUBSTITUTE($T142,";",REPT(" ",99)),298,99)))-1),Materiales!$A$2:$E$502,5,FALSE)*VALUE(MID(TRIM(MID(SUBSTITUTE($T142,";",REPT(" ",99)),298,99)),FIND(":",TRIM(MID(SUBSTITUTE($T142,";",REPT(" ",99)),298,99)))+1,99)),0) + IFERROR(VLOOKUP(LEFT(TRIM(MID(SUBSTITUTE($T142,";",REPT(" ",99)),397,99)),FIND(":",TRIM(MID(SUBSTITUTE($T142,";",REPT(" ",99)),397,99)))-1),Materiales!$A$2:$E$502,5,FALSE)*VALUE(MID(TRIM(MID(SUBSTITUTE($T142,";",REPT(" ",99)),397,99)),FIND(":",TRIM(MID(SUBSTITUTE($T142,";",REPT(" ",99)),397,99)))+1,99)),0) + IFERROR(VLOOKUP(LEFT(TRIM(MID(SUBSTITUTE($T142,";",REPT(" ",99)),496,99)),FIND(":",TRIM(MID(SUBSTITUTE($T142,";",REPT(" ",99)),496,99)))-1),Materiales!$A$2:$E$502,5,FALSE)*VALUE(MID(TRIM(MID(SUBSTITUTE($T142,";",REPT(" ",99)),496,99)),FIND(":",TRIM(MID(SUBSTITUTE($T142,";",REPT(" ",99)),496,99)))+1,99)),0) + IFERROR(VLOOKUP(LEFT(TRIM(MID(SUBSTITUTE($T142,";",REPT(" ",99)),595,99)),FIND(":",TRIM(MID(SUBSTITUTE($T142,";",REPT(" ",99)),595,99)))-1),Materiales!$A$2:$E$502,5,FALSE)*VALUE(MID(TRIM(MID(SUBSTITUTE($T142,";",REPT(" ",99)),595,99)),FIND(":",TRIM(MID(SUBSTITUTE($T142,";",REPT(" ",99)),595,99)))+1,99)),0) + IFERROR(VLOOKUP(LEFT(TRIM(MID(SUBSTITUTE($T142,";",REPT(" ",99)),694,99)),FIND(":",TRIM(MID(SUBSTITUTE($T142,";",REPT(" ",99)),694,99)))-1),Materiales!$A$2:$E$502,5,FALSE)*VALUE(MID(TRIM(MID(SUBSTITUTE($T142,";",REPT(" ",99)),694,99)),FIND(":",TRIM(MID(SUBSTITUTE($T142,";",REPT(" ",99)),694,99)))+1,99)),0) + IFERROR(VLOOKUP(LEFT(TRIM(MID(SUBSTITUTE($T142,";",REPT(" ",99)),793,99)),FIND(":",TRIM(MID(SUBSTITUTE($T142,";",REPT(" ",99)),793,99)))-1),Materiales!$A$2:$E$502,5,FALSE)*VALUE(MID(TRIM(MID(SUBSTITUTE($T142,";",REPT(" ",99)),793,99)),FIND(":",TRIM(MID(SUBSTITUTE($T142,";",REPT(" ",99)),793,99)))+1,99)),0) + IFERROR(VLOOKUP(LEFT(TRIM(MID(SUBSTITUTE($T142,";",REPT(" ",99)),892,99)),FIND(":",TRIM(MID(SUBSTITUTE($T142,";",REPT(" ",99)),892,99)))-1),Materiales!$A$2:$E$502,5,FALSE)*VALUE(MID(TRIM(MID(SUBSTITUTE($T142,";",REPT(" ",99)),892,99)),FIND(":",TRIM(MID(SUBSTITUTE($T142,";",REPT(" ",99)),892,99)))+1,99)),0)))</f>
        <v/>
      </c>
      <c r="V142" s="3"/>
      <c r="W142" s="5" t="str">
        <f t="array" ref="W142">IF($A142="","",IF($V142="",0,IFERROR(VLOOKUP(LEFT(TRIM(MID(SUBSTITUTE($V142,";",REPT(" ",99)),1,99)),FIND(":",TRIM(MID(SUBSTITUTE($V142,";",REPT(" ",99)),1,99)))-1),Materiales!$A$2:$E$502,5,FALSE)*VALUE(MID(TRIM(MID(SUBSTITUTE($V142,";",REPT(" ",99)),1,99)),FIND(":",TRIM(MID(SUBSTITUTE($V142,";",REPT(" ",99)),1,99)))+1,99)),0) + IFERROR(VLOOKUP(LEFT(TRIM(MID(SUBSTITUTE($V142,";",REPT(" ",99)),100,99)),FIND(":",TRIM(MID(SUBSTITUTE($V142,";",REPT(" ",99)),100,99)))-1),Materiales!$A$2:$E$502,5,FALSE)*VALUE(MID(TRIM(MID(SUBSTITUTE($V142,";",REPT(" ",99)),100,99)),FIND(":",TRIM(MID(SUBSTITUTE($V142,";",REPT(" ",99)),100,99)))+1,99)),0) + IFERROR(VLOOKUP(LEFT(TRIM(MID(SUBSTITUTE($V142,";",REPT(" ",99)),199,99)),FIND(":",TRIM(MID(SUBSTITUTE($V142,";",REPT(" ",99)),199,99)))-1),Materiales!$A$2:$E$502,5,FALSE)*VALUE(MID(TRIM(MID(SUBSTITUTE($V142,";",REPT(" ",99)),199,99)),FIND(":",TRIM(MID(SUBSTITUTE($V142,";",REPT(" ",99)),199,99)))+1,99)),0) + IFERROR(VLOOKUP(LEFT(TRIM(MID(SUBSTITUTE($V142,";",REPT(" ",99)),298,99)),FIND(":",TRIM(MID(SUBSTITUTE($V142,";",REPT(" ",99)),298,99)))-1),Materiales!$A$2:$E$502,5,FALSE)*VALUE(MID(TRIM(MID(SUBSTITUTE($V142,";",REPT(" ",99)),298,99)),FIND(":",TRIM(MID(SUBSTITUTE($V142,";",REPT(" ",99)),298,99)))+1,99)),0) + IFERROR(VLOOKUP(LEFT(TRIM(MID(SUBSTITUTE($V142,";",REPT(" ",99)),397,99)),FIND(":",TRIM(MID(SUBSTITUTE($V142,";",REPT(" ",99)),397,99)))-1),Materiales!$A$2:$E$502,5,FALSE)*VALUE(MID(TRIM(MID(SUBSTITUTE($V142,";",REPT(" ",99)),397,99)),FIND(":",TRIM(MID(SUBSTITUTE($V142,";",REPT(" ",99)),397,99)))+1,99)),0) + IFERROR(VLOOKUP(LEFT(TRIM(MID(SUBSTITUTE($V142,";",REPT(" ",99)),496,99)),FIND(":",TRIM(MID(SUBSTITUTE($V142,";",REPT(" ",99)),496,99)))-1),Materiales!$A$2:$E$502,5,FALSE)*VALUE(MID(TRIM(MID(SUBSTITUTE($V142,";",REPT(" ",99)),496,99)),FIND(":",TRIM(MID(SUBSTITUTE($V142,";",REPT(" ",99)),496,99)))+1,99)),0) + IFERROR(VLOOKUP(LEFT(TRIM(MID(SUBSTITUTE($V142,";",REPT(" ",99)),595,99)),FIND(":",TRIM(MID(SUBSTITUTE($V142,";",REPT(" ",99)),595,99)))-1),Materiales!$A$2:$E$502,5,FALSE)*VALUE(MID(TRIM(MID(SUBSTITUTE($V142,";",REPT(" ",99)),595,99)),FIND(":",TRIM(MID(SUBSTITUTE($V142,";",REPT(" ",99)),595,99)))+1,99)),0) + IFERROR(VLOOKUP(LEFT(TRIM(MID(SUBSTITUTE($V142,";",REPT(" ",99)),694,99)),FIND(":",TRIM(MID(SUBSTITUTE($V142,";",REPT(" ",99)),694,99)))-1),Materiales!$A$2:$E$502,5,FALSE)*VALUE(MID(TRIM(MID(SUBSTITUTE($V142,";",REPT(" ",99)),694,99)),FIND(":",TRIM(MID(SUBSTITUTE($V142,";",REPT(" ",99)),694,99)))+1,99)),0) + IFERROR(VLOOKUP(LEFT(TRIM(MID(SUBSTITUTE($V142,";",REPT(" ",99)),793,99)),FIND(":",TRIM(MID(SUBSTITUTE($V142,";",REPT(" ",99)),793,99)))-1),Materiales!$A$2:$E$502,5,FALSE)*VALUE(MID(TRIM(MID(SUBSTITUTE($V142,";",REPT(" ",99)),793,99)),FIND(":",TRIM(MID(SUBSTITUTE($V142,";",REPT(" ",99)),793,99)))+1,99)),0) + IFERROR(VLOOKUP(LEFT(TRIM(MID(SUBSTITUTE($V142,";",REPT(" ",99)),892,99)),FIND(":",TRIM(MID(SUBSTITUTE($V142,";",REPT(" ",99)),892,99)))-1),Materiales!$A$2:$E$502,5,FALSE)*VALUE(MID(TRIM(MID(SUBSTITUTE($V142,";",REPT(" ",99)),892,99)),FIND(":",TRIM(MID(SUBSTITUTE($V142,";",REPT(" ",99)),892,99)))+1,99)),0)))</f>
        <v/>
      </c>
      <c r="X142" s="39" t="str">
        <f t="shared" si="13"/>
        <v/>
      </c>
      <c r="Y142" s="64"/>
      <c r="Z142" s="67"/>
      <c r="AA142" s="65"/>
      <c r="AB142" s="14"/>
      <c r="AC142" s="66"/>
      <c r="AD142" s="65"/>
      <c r="AE142" s="44">
        <f t="shared" si="17"/>
        <v>0</v>
      </c>
      <c r="AF142" s="45" t="str">
        <f t="shared" si="20"/>
        <v>#DIV/0!</v>
      </c>
    </row>
    <row r="143" ht="15.75" customHeight="1">
      <c r="A143" s="3"/>
      <c r="B143" s="3"/>
      <c r="C143" s="38"/>
      <c r="D143" s="38"/>
      <c r="E143" s="38"/>
      <c r="F143" s="14"/>
      <c r="G143" s="5" t="str">
        <f t="array" ref="G143">IF($A143="","",IFERROR($F143*(N($C143)*XLOOKUP($B143,Ceras!$A$2:$A$500,Ceras!$G$2:$G$500,0)+IF($D143="",0,N($E143)*XLOOKUP($D143,Ceras!$A$2:$A$500,Ceras!$G$2:$G$500,0))),"Revisar cera"))</f>
        <v/>
      </c>
      <c r="H143" s="5"/>
      <c r="I143" s="3"/>
      <c r="J143" s="14"/>
      <c r="K143" s="5" t="str">
        <f t="array" ref="K143">IF($A143="","",IFERROR($J143*XLOOKUP($I143,Pabilos!$A$2:$A$500,Pabilos!$H$2:$H$500,0),"Revisar pabilo"))</f>
        <v/>
      </c>
      <c r="L143" s="3"/>
      <c r="M143" s="14"/>
      <c r="N143" s="5" t="str">
        <f t="array" ref="N143">IF($A143="","",IFERROR($M143*XLOOKUP($L143,Esencias!$A$2:$A$501,Esencias!$G$2:$G$501,0),"Revisar esencia"))</f>
        <v/>
      </c>
      <c r="O143" s="3"/>
      <c r="P143" s="14"/>
      <c r="Q143" s="5" t="str">
        <f t="array" ref="Q143">IF($A143="","",IFERROR(IF($P143="",1,$P143)*XLOOKUP($O143,Colores!$A$2:$A$500,Colores!$H$2:$H$500,0),"Revisar color"))</f>
        <v/>
      </c>
      <c r="R143" s="3"/>
      <c r="S143" s="5" t="str">
        <f t="array" ref="S143">IF($A143="","",IF($R143="",0,IFERROR(VLOOKUP(LEFT(TRIM(MID(SUBSTITUTE($R143,";",REPT(" ",99)),1,99)),FIND(":",TRIM(MID(SUBSTITUTE($R143,";",REPT(" ",99)),1,99)))-1),Materiales!$A$2:$E$502,5,FALSE)*VALUE(MID(TRIM(MID(SUBSTITUTE($R143,";",REPT(" ",99)),1,99)),FIND(":",TRIM(MID(SUBSTITUTE($R143,";",REPT(" ",99)),1,99)))+1,99)),0) + IFERROR(VLOOKUP(LEFT(TRIM(MID(SUBSTITUTE($R143,";",REPT(" ",99)),100,99)),FIND(":",TRIM(MID(SUBSTITUTE($R143,";",REPT(" ",99)),100,99)))-1),Materiales!$A$2:$E$502,5,FALSE)*VALUE(MID(TRIM(MID(SUBSTITUTE($R143,";",REPT(" ",99)),100,99)),FIND(":",TRIM(MID(SUBSTITUTE($R143,";",REPT(" ",99)),100,99)))+1,99)),0) + IFERROR(VLOOKUP(LEFT(TRIM(MID(SUBSTITUTE($R143,";",REPT(" ",99)),199,99)),FIND(":",TRIM(MID(SUBSTITUTE($R143,";",REPT(" ",99)),199,99)))-1),Materiales!$A$2:$E$502,5,FALSE)*VALUE(MID(TRIM(MID(SUBSTITUTE($R143,";",REPT(" ",99)),199,99)),FIND(":",TRIM(MID(SUBSTITUTE($R143,";",REPT(" ",99)),199,99)))+1,99)),0) + IFERROR(VLOOKUP(LEFT(TRIM(MID(SUBSTITUTE($R143,";",REPT(" ",99)),298,99)),FIND(":",TRIM(MID(SUBSTITUTE($R143,";",REPT(" ",99)),298,99)))-1),Materiales!$A$2:$E$502,5,FALSE)*VALUE(MID(TRIM(MID(SUBSTITUTE($R143,";",REPT(" ",99)),298,99)),FIND(":",TRIM(MID(SUBSTITUTE($R143,";",REPT(" ",99)),298,99)))+1,99)),0) + IFERROR(VLOOKUP(LEFT(TRIM(MID(SUBSTITUTE($R143,";",REPT(" ",99)),397,99)),FIND(":",TRIM(MID(SUBSTITUTE($R143,";",REPT(" ",99)),397,99)))-1),Materiales!$A$2:$E$502,5,FALSE)*VALUE(MID(TRIM(MID(SUBSTITUTE($R143,";",REPT(" ",99)),397,99)),FIND(":",TRIM(MID(SUBSTITUTE($R143,";",REPT(" ",99)),397,99)))+1,99)),0) + IFERROR(VLOOKUP(LEFT(TRIM(MID(SUBSTITUTE($R143,";",REPT(" ",99)),496,99)),FIND(":",TRIM(MID(SUBSTITUTE($R143,";",REPT(" ",99)),496,99)))-1),Materiales!$A$2:$E$502,5,FALSE)*VALUE(MID(TRIM(MID(SUBSTITUTE($R143,";",REPT(" ",99)),496,99)),FIND(":",TRIM(MID(SUBSTITUTE($R143,";",REPT(" ",99)),496,99)))+1,99)),0) + IFERROR(VLOOKUP(LEFT(TRIM(MID(SUBSTITUTE($R143,";",REPT(" ",99)),595,99)),FIND(":",TRIM(MID(SUBSTITUTE($R143,";",REPT(" ",99)),595,99)))-1),Materiales!$A$2:$E$502,5,FALSE)*VALUE(MID(TRIM(MID(SUBSTITUTE($R143,";",REPT(" ",99)),595,99)),FIND(":",TRIM(MID(SUBSTITUTE($R143,";",REPT(" ",99)),595,99)))+1,99)),0) + IFERROR(VLOOKUP(LEFT(TRIM(MID(SUBSTITUTE($R143,";",REPT(" ",99)),694,99)),FIND(":",TRIM(MID(SUBSTITUTE($R143,";",REPT(" ",99)),694,99)))-1),Materiales!$A$2:$E$502,5,FALSE)*VALUE(MID(TRIM(MID(SUBSTITUTE($R143,";",REPT(" ",99)),694,99)),FIND(":",TRIM(MID(SUBSTITUTE($R143,";",REPT(" ",99)),694,99)))+1,99)),0) + IFERROR(VLOOKUP(LEFT(TRIM(MID(SUBSTITUTE($R143,";",REPT(" ",99)),793,99)),FIND(":",TRIM(MID(SUBSTITUTE($R143,";",REPT(" ",99)),793,99)))-1),Materiales!$A$2:$E$502,5,FALSE)*VALUE(MID(TRIM(MID(SUBSTITUTE($R143,";",REPT(" ",99)),793,99)),FIND(":",TRIM(MID(SUBSTITUTE($R143,";",REPT(" ",99)),793,99)))+1,99)),0) + IFERROR(VLOOKUP(LEFT(TRIM(MID(SUBSTITUTE($R143,";",REPT(" ",99)),892,99)),FIND(":",TRIM(MID(SUBSTITUTE($R143,";",REPT(" ",99)),892,99)))-1),Materiales!$A$2:$E$502,5,FALSE)*VALUE(MID(TRIM(MID(SUBSTITUTE($R143,";",REPT(" ",99)),892,99)),FIND(":",TRIM(MID(SUBSTITUTE($R143,";",REPT(" ",99)),892,99)))+1,99)),0)))</f>
        <v/>
      </c>
      <c r="T143" s="3"/>
      <c r="U143" s="5" t="str">
        <f t="array" ref="U143">IF($A143="","",IF($T143="",0,IFERROR(VLOOKUP(LEFT(TRIM(MID(SUBSTITUTE($T143,";",REPT(" ",99)),1,99)),FIND(":",TRIM(MID(SUBSTITUTE($T143,";",REPT(" ",99)),1,99)))-1),Materiales!$A$2:$E$502,5,FALSE)*VALUE(MID(TRIM(MID(SUBSTITUTE($T143,";",REPT(" ",99)),1,99)),FIND(":",TRIM(MID(SUBSTITUTE($T143,";",REPT(" ",99)),1,99)))+1,99)),0) + IFERROR(VLOOKUP(LEFT(TRIM(MID(SUBSTITUTE($T143,";",REPT(" ",99)),100,99)),FIND(":",TRIM(MID(SUBSTITUTE($T143,";",REPT(" ",99)),100,99)))-1),Materiales!$A$2:$E$502,5,FALSE)*VALUE(MID(TRIM(MID(SUBSTITUTE($T143,";",REPT(" ",99)),100,99)),FIND(":",TRIM(MID(SUBSTITUTE($T143,";",REPT(" ",99)),100,99)))+1,99)),0) + IFERROR(VLOOKUP(LEFT(TRIM(MID(SUBSTITUTE($T143,";",REPT(" ",99)),199,99)),FIND(":",TRIM(MID(SUBSTITUTE($T143,";",REPT(" ",99)),199,99)))-1),Materiales!$A$2:$E$502,5,FALSE)*VALUE(MID(TRIM(MID(SUBSTITUTE($T143,";",REPT(" ",99)),199,99)),FIND(":",TRIM(MID(SUBSTITUTE($T143,";",REPT(" ",99)),199,99)))+1,99)),0) + IFERROR(VLOOKUP(LEFT(TRIM(MID(SUBSTITUTE($T143,";",REPT(" ",99)),298,99)),FIND(":",TRIM(MID(SUBSTITUTE($T143,";",REPT(" ",99)),298,99)))-1),Materiales!$A$2:$E$502,5,FALSE)*VALUE(MID(TRIM(MID(SUBSTITUTE($T143,";",REPT(" ",99)),298,99)),FIND(":",TRIM(MID(SUBSTITUTE($T143,";",REPT(" ",99)),298,99)))+1,99)),0) + IFERROR(VLOOKUP(LEFT(TRIM(MID(SUBSTITUTE($T143,";",REPT(" ",99)),397,99)),FIND(":",TRIM(MID(SUBSTITUTE($T143,";",REPT(" ",99)),397,99)))-1),Materiales!$A$2:$E$502,5,FALSE)*VALUE(MID(TRIM(MID(SUBSTITUTE($T143,";",REPT(" ",99)),397,99)),FIND(":",TRIM(MID(SUBSTITUTE($T143,";",REPT(" ",99)),397,99)))+1,99)),0) + IFERROR(VLOOKUP(LEFT(TRIM(MID(SUBSTITUTE($T143,";",REPT(" ",99)),496,99)),FIND(":",TRIM(MID(SUBSTITUTE($T143,";",REPT(" ",99)),496,99)))-1),Materiales!$A$2:$E$502,5,FALSE)*VALUE(MID(TRIM(MID(SUBSTITUTE($T143,";",REPT(" ",99)),496,99)),FIND(":",TRIM(MID(SUBSTITUTE($T143,";",REPT(" ",99)),496,99)))+1,99)),0) + IFERROR(VLOOKUP(LEFT(TRIM(MID(SUBSTITUTE($T143,";",REPT(" ",99)),595,99)),FIND(":",TRIM(MID(SUBSTITUTE($T143,";",REPT(" ",99)),595,99)))-1),Materiales!$A$2:$E$502,5,FALSE)*VALUE(MID(TRIM(MID(SUBSTITUTE($T143,";",REPT(" ",99)),595,99)),FIND(":",TRIM(MID(SUBSTITUTE($T143,";",REPT(" ",99)),595,99)))+1,99)),0) + IFERROR(VLOOKUP(LEFT(TRIM(MID(SUBSTITUTE($T143,";",REPT(" ",99)),694,99)),FIND(":",TRIM(MID(SUBSTITUTE($T143,";",REPT(" ",99)),694,99)))-1),Materiales!$A$2:$E$502,5,FALSE)*VALUE(MID(TRIM(MID(SUBSTITUTE($T143,";",REPT(" ",99)),694,99)),FIND(":",TRIM(MID(SUBSTITUTE($T143,";",REPT(" ",99)),694,99)))+1,99)),0) + IFERROR(VLOOKUP(LEFT(TRIM(MID(SUBSTITUTE($T143,";",REPT(" ",99)),793,99)),FIND(":",TRIM(MID(SUBSTITUTE($T143,";",REPT(" ",99)),793,99)))-1),Materiales!$A$2:$E$502,5,FALSE)*VALUE(MID(TRIM(MID(SUBSTITUTE($T143,";",REPT(" ",99)),793,99)),FIND(":",TRIM(MID(SUBSTITUTE($T143,";",REPT(" ",99)),793,99)))+1,99)),0) + IFERROR(VLOOKUP(LEFT(TRIM(MID(SUBSTITUTE($T143,";",REPT(" ",99)),892,99)),FIND(":",TRIM(MID(SUBSTITUTE($T143,";",REPT(" ",99)),892,99)))-1),Materiales!$A$2:$E$502,5,FALSE)*VALUE(MID(TRIM(MID(SUBSTITUTE($T143,";",REPT(" ",99)),892,99)),FIND(":",TRIM(MID(SUBSTITUTE($T143,";",REPT(" ",99)),892,99)))+1,99)),0)))</f>
        <v/>
      </c>
      <c r="V143" s="3"/>
      <c r="W143" s="5" t="str">
        <f t="array" ref="W143">IF($A143="","",IF($V143="",0,IFERROR(VLOOKUP(LEFT(TRIM(MID(SUBSTITUTE($V143,";",REPT(" ",99)),1,99)),FIND(":",TRIM(MID(SUBSTITUTE($V143,";",REPT(" ",99)),1,99)))-1),Materiales!$A$2:$E$502,5,FALSE)*VALUE(MID(TRIM(MID(SUBSTITUTE($V143,";",REPT(" ",99)),1,99)),FIND(":",TRIM(MID(SUBSTITUTE($V143,";",REPT(" ",99)),1,99)))+1,99)),0) + IFERROR(VLOOKUP(LEFT(TRIM(MID(SUBSTITUTE($V143,";",REPT(" ",99)),100,99)),FIND(":",TRIM(MID(SUBSTITUTE($V143,";",REPT(" ",99)),100,99)))-1),Materiales!$A$2:$E$502,5,FALSE)*VALUE(MID(TRIM(MID(SUBSTITUTE($V143,";",REPT(" ",99)),100,99)),FIND(":",TRIM(MID(SUBSTITUTE($V143,";",REPT(" ",99)),100,99)))+1,99)),0) + IFERROR(VLOOKUP(LEFT(TRIM(MID(SUBSTITUTE($V143,";",REPT(" ",99)),199,99)),FIND(":",TRIM(MID(SUBSTITUTE($V143,";",REPT(" ",99)),199,99)))-1),Materiales!$A$2:$E$502,5,FALSE)*VALUE(MID(TRIM(MID(SUBSTITUTE($V143,";",REPT(" ",99)),199,99)),FIND(":",TRIM(MID(SUBSTITUTE($V143,";",REPT(" ",99)),199,99)))+1,99)),0) + IFERROR(VLOOKUP(LEFT(TRIM(MID(SUBSTITUTE($V143,";",REPT(" ",99)),298,99)),FIND(":",TRIM(MID(SUBSTITUTE($V143,";",REPT(" ",99)),298,99)))-1),Materiales!$A$2:$E$502,5,FALSE)*VALUE(MID(TRIM(MID(SUBSTITUTE($V143,";",REPT(" ",99)),298,99)),FIND(":",TRIM(MID(SUBSTITUTE($V143,";",REPT(" ",99)),298,99)))+1,99)),0) + IFERROR(VLOOKUP(LEFT(TRIM(MID(SUBSTITUTE($V143,";",REPT(" ",99)),397,99)),FIND(":",TRIM(MID(SUBSTITUTE($V143,";",REPT(" ",99)),397,99)))-1),Materiales!$A$2:$E$502,5,FALSE)*VALUE(MID(TRIM(MID(SUBSTITUTE($V143,";",REPT(" ",99)),397,99)),FIND(":",TRIM(MID(SUBSTITUTE($V143,";",REPT(" ",99)),397,99)))+1,99)),0) + IFERROR(VLOOKUP(LEFT(TRIM(MID(SUBSTITUTE($V143,";",REPT(" ",99)),496,99)),FIND(":",TRIM(MID(SUBSTITUTE($V143,";",REPT(" ",99)),496,99)))-1),Materiales!$A$2:$E$502,5,FALSE)*VALUE(MID(TRIM(MID(SUBSTITUTE($V143,";",REPT(" ",99)),496,99)),FIND(":",TRIM(MID(SUBSTITUTE($V143,";",REPT(" ",99)),496,99)))+1,99)),0) + IFERROR(VLOOKUP(LEFT(TRIM(MID(SUBSTITUTE($V143,";",REPT(" ",99)),595,99)),FIND(":",TRIM(MID(SUBSTITUTE($V143,";",REPT(" ",99)),595,99)))-1),Materiales!$A$2:$E$502,5,FALSE)*VALUE(MID(TRIM(MID(SUBSTITUTE($V143,";",REPT(" ",99)),595,99)),FIND(":",TRIM(MID(SUBSTITUTE($V143,";",REPT(" ",99)),595,99)))+1,99)),0) + IFERROR(VLOOKUP(LEFT(TRIM(MID(SUBSTITUTE($V143,";",REPT(" ",99)),694,99)),FIND(":",TRIM(MID(SUBSTITUTE($V143,";",REPT(" ",99)),694,99)))-1),Materiales!$A$2:$E$502,5,FALSE)*VALUE(MID(TRIM(MID(SUBSTITUTE($V143,";",REPT(" ",99)),694,99)),FIND(":",TRIM(MID(SUBSTITUTE($V143,";",REPT(" ",99)),694,99)))+1,99)),0) + IFERROR(VLOOKUP(LEFT(TRIM(MID(SUBSTITUTE($V143,";",REPT(" ",99)),793,99)),FIND(":",TRIM(MID(SUBSTITUTE($V143,";",REPT(" ",99)),793,99)))-1),Materiales!$A$2:$E$502,5,FALSE)*VALUE(MID(TRIM(MID(SUBSTITUTE($V143,";",REPT(" ",99)),793,99)),FIND(":",TRIM(MID(SUBSTITUTE($V143,";",REPT(" ",99)),793,99)))+1,99)),0) + IFERROR(VLOOKUP(LEFT(TRIM(MID(SUBSTITUTE($V143,";",REPT(" ",99)),892,99)),FIND(":",TRIM(MID(SUBSTITUTE($V143,";",REPT(" ",99)),892,99)))-1),Materiales!$A$2:$E$502,5,FALSE)*VALUE(MID(TRIM(MID(SUBSTITUTE($V143,";",REPT(" ",99)),892,99)),FIND(":",TRIM(MID(SUBSTITUTE($V143,";",REPT(" ",99)),892,99)))+1,99)),0)))</f>
        <v/>
      </c>
      <c r="X143" s="39" t="str">
        <f t="shared" si="13"/>
        <v/>
      </c>
      <c r="Y143" s="64"/>
      <c r="Z143" s="67"/>
      <c r="AA143" s="65"/>
      <c r="AB143" s="14"/>
      <c r="AC143" s="66"/>
      <c r="AD143" s="65"/>
      <c r="AE143" s="44">
        <f t="shared" si="17"/>
        <v>0</v>
      </c>
      <c r="AF143" s="45" t="str">
        <f t="shared" si="20"/>
        <v>#DIV/0!</v>
      </c>
    </row>
    <row r="144" ht="15.75" customHeight="1">
      <c r="A144" s="3"/>
      <c r="B144" s="3"/>
      <c r="C144" s="38"/>
      <c r="D144" s="38"/>
      <c r="E144" s="38"/>
      <c r="F144" s="14"/>
      <c r="G144" s="5" t="str">
        <f t="array" ref="G144">IF($A144="","",IFERROR($F144*(N($C144)*XLOOKUP($B144,Ceras!$A$2:$A$500,Ceras!$G$2:$G$500,0)+IF($D144="",0,N($E144)*XLOOKUP($D144,Ceras!$A$2:$A$500,Ceras!$G$2:$G$500,0))),"Revisar cera"))</f>
        <v/>
      </c>
      <c r="H144" s="5"/>
      <c r="I144" s="3"/>
      <c r="J144" s="14"/>
      <c r="K144" s="5" t="str">
        <f t="array" ref="K144">IF($A144="","",IFERROR($J144*XLOOKUP($I144,Pabilos!$A$2:$A$500,Pabilos!$H$2:$H$500,0),"Revisar pabilo"))</f>
        <v/>
      </c>
      <c r="L144" s="3"/>
      <c r="M144" s="14"/>
      <c r="N144" s="5" t="str">
        <f t="array" ref="N144">IF($A144="","",IFERROR($M144*XLOOKUP($L144,Esencias!$A$2:$A$501,Esencias!$G$2:$G$501,0),"Revisar esencia"))</f>
        <v/>
      </c>
      <c r="O144" s="3"/>
      <c r="P144" s="14"/>
      <c r="Q144" s="5" t="str">
        <f t="array" ref="Q144">IF($A144="","",IFERROR(IF($P144="",1,$P144)*XLOOKUP($O144,Colores!$A$2:$A$500,Colores!$H$2:$H$500,0),"Revisar color"))</f>
        <v/>
      </c>
      <c r="R144" s="3"/>
      <c r="S144" s="5" t="str">
        <f t="array" ref="S144">IF($A144="","",IF($R144="",0,IFERROR(VLOOKUP(LEFT(TRIM(MID(SUBSTITUTE($R144,";",REPT(" ",99)),1,99)),FIND(":",TRIM(MID(SUBSTITUTE($R144,";",REPT(" ",99)),1,99)))-1),Materiales!$A$2:$E$502,5,FALSE)*VALUE(MID(TRIM(MID(SUBSTITUTE($R144,";",REPT(" ",99)),1,99)),FIND(":",TRIM(MID(SUBSTITUTE($R144,";",REPT(" ",99)),1,99)))+1,99)),0) + IFERROR(VLOOKUP(LEFT(TRIM(MID(SUBSTITUTE($R144,";",REPT(" ",99)),100,99)),FIND(":",TRIM(MID(SUBSTITUTE($R144,";",REPT(" ",99)),100,99)))-1),Materiales!$A$2:$E$502,5,FALSE)*VALUE(MID(TRIM(MID(SUBSTITUTE($R144,";",REPT(" ",99)),100,99)),FIND(":",TRIM(MID(SUBSTITUTE($R144,";",REPT(" ",99)),100,99)))+1,99)),0) + IFERROR(VLOOKUP(LEFT(TRIM(MID(SUBSTITUTE($R144,";",REPT(" ",99)),199,99)),FIND(":",TRIM(MID(SUBSTITUTE($R144,";",REPT(" ",99)),199,99)))-1),Materiales!$A$2:$E$502,5,FALSE)*VALUE(MID(TRIM(MID(SUBSTITUTE($R144,";",REPT(" ",99)),199,99)),FIND(":",TRIM(MID(SUBSTITUTE($R144,";",REPT(" ",99)),199,99)))+1,99)),0) + IFERROR(VLOOKUP(LEFT(TRIM(MID(SUBSTITUTE($R144,";",REPT(" ",99)),298,99)),FIND(":",TRIM(MID(SUBSTITUTE($R144,";",REPT(" ",99)),298,99)))-1),Materiales!$A$2:$E$502,5,FALSE)*VALUE(MID(TRIM(MID(SUBSTITUTE($R144,";",REPT(" ",99)),298,99)),FIND(":",TRIM(MID(SUBSTITUTE($R144,";",REPT(" ",99)),298,99)))+1,99)),0) + IFERROR(VLOOKUP(LEFT(TRIM(MID(SUBSTITUTE($R144,";",REPT(" ",99)),397,99)),FIND(":",TRIM(MID(SUBSTITUTE($R144,";",REPT(" ",99)),397,99)))-1),Materiales!$A$2:$E$502,5,FALSE)*VALUE(MID(TRIM(MID(SUBSTITUTE($R144,";",REPT(" ",99)),397,99)),FIND(":",TRIM(MID(SUBSTITUTE($R144,";",REPT(" ",99)),397,99)))+1,99)),0) + IFERROR(VLOOKUP(LEFT(TRIM(MID(SUBSTITUTE($R144,";",REPT(" ",99)),496,99)),FIND(":",TRIM(MID(SUBSTITUTE($R144,";",REPT(" ",99)),496,99)))-1),Materiales!$A$2:$E$502,5,FALSE)*VALUE(MID(TRIM(MID(SUBSTITUTE($R144,";",REPT(" ",99)),496,99)),FIND(":",TRIM(MID(SUBSTITUTE($R144,";",REPT(" ",99)),496,99)))+1,99)),0) + IFERROR(VLOOKUP(LEFT(TRIM(MID(SUBSTITUTE($R144,";",REPT(" ",99)),595,99)),FIND(":",TRIM(MID(SUBSTITUTE($R144,";",REPT(" ",99)),595,99)))-1),Materiales!$A$2:$E$502,5,FALSE)*VALUE(MID(TRIM(MID(SUBSTITUTE($R144,";",REPT(" ",99)),595,99)),FIND(":",TRIM(MID(SUBSTITUTE($R144,";",REPT(" ",99)),595,99)))+1,99)),0) + IFERROR(VLOOKUP(LEFT(TRIM(MID(SUBSTITUTE($R144,";",REPT(" ",99)),694,99)),FIND(":",TRIM(MID(SUBSTITUTE($R144,";",REPT(" ",99)),694,99)))-1),Materiales!$A$2:$E$502,5,FALSE)*VALUE(MID(TRIM(MID(SUBSTITUTE($R144,";",REPT(" ",99)),694,99)),FIND(":",TRIM(MID(SUBSTITUTE($R144,";",REPT(" ",99)),694,99)))+1,99)),0) + IFERROR(VLOOKUP(LEFT(TRIM(MID(SUBSTITUTE($R144,";",REPT(" ",99)),793,99)),FIND(":",TRIM(MID(SUBSTITUTE($R144,";",REPT(" ",99)),793,99)))-1),Materiales!$A$2:$E$502,5,FALSE)*VALUE(MID(TRIM(MID(SUBSTITUTE($R144,";",REPT(" ",99)),793,99)),FIND(":",TRIM(MID(SUBSTITUTE($R144,";",REPT(" ",99)),793,99)))+1,99)),0) + IFERROR(VLOOKUP(LEFT(TRIM(MID(SUBSTITUTE($R144,";",REPT(" ",99)),892,99)),FIND(":",TRIM(MID(SUBSTITUTE($R144,";",REPT(" ",99)),892,99)))-1),Materiales!$A$2:$E$502,5,FALSE)*VALUE(MID(TRIM(MID(SUBSTITUTE($R144,";",REPT(" ",99)),892,99)),FIND(":",TRIM(MID(SUBSTITUTE($R144,";",REPT(" ",99)),892,99)))+1,99)),0)))</f>
        <v/>
      </c>
      <c r="T144" s="3"/>
      <c r="U144" s="5" t="str">
        <f t="array" ref="U144">IF($A144="","",IF($T144="",0,IFERROR(VLOOKUP(LEFT(TRIM(MID(SUBSTITUTE($T144,";",REPT(" ",99)),1,99)),FIND(":",TRIM(MID(SUBSTITUTE($T144,";",REPT(" ",99)),1,99)))-1),Materiales!$A$2:$E$502,5,FALSE)*VALUE(MID(TRIM(MID(SUBSTITUTE($T144,";",REPT(" ",99)),1,99)),FIND(":",TRIM(MID(SUBSTITUTE($T144,";",REPT(" ",99)),1,99)))+1,99)),0) + IFERROR(VLOOKUP(LEFT(TRIM(MID(SUBSTITUTE($T144,";",REPT(" ",99)),100,99)),FIND(":",TRIM(MID(SUBSTITUTE($T144,";",REPT(" ",99)),100,99)))-1),Materiales!$A$2:$E$502,5,FALSE)*VALUE(MID(TRIM(MID(SUBSTITUTE($T144,";",REPT(" ",99)),100,99)),FIND(":",TRIM(MID(SUBSTITUTE($T144,";",REPT(" ",99)),100,99)))+1,99)),0) + IFERROR(VLOOKUP(LEFT(TRIM(MID(SUBSTITUTE($T144,";",REPT(" ",99)),199,99)),FIND(":",TRIM(MID(SUBSTITUTE($T144,";",REPT(" ",99)),199,99)))-1),Materiales!$A$2:$E$502,5,FALSE)*VALUE(MID(TRIM(MID(SUBSTITUTE($T144,";",REPT(" ",99)),199,99)),FIND(":",TRIM(MID(SUBSTITUTE($T144,";",REPT(" ",99)),199,99)))+1,99)),0) + IFERROR(VLOOKUP(LEFT(TRIM(MID(SUBSTITUTE($T144,";",REPT(" ",99)),298,99)),FIND(":",TRIM(MID(SUBSTITUTE($T144,";",REPT(" ",99)),298,99)))-1),Materiales!$A$2:$E$502,5,FALSE)*VALUE(MID(TRIM(MID(SUBSTITUTE($T144,";",REPT(" ",99)),298,99)),FIND(":",TRIM(MID(SUBSTITUTE($T144,";",REPT(" ",99)),298,99)))+1,99)),0) + IFERROR(VLOOKUP(LEFT(TRIM(MID(SUBSTITUTE($T144,";",REPT(" ",99)),397,99)),FIND(":",TRIM(MID(SUBSTITUTE($T144,";",REPT(" ",99)),397,99)))-1),Materiales!$A$2:$E$502,5,FALSE)*VALUE(MID(TRIM(MID(SUBSTITUTE($T144,";",REPT(" ",99)),397,99)),FIND(":",TRIM(MID(SUBSTITUTE($T144,";",REPT(" ",99)),397,99)))+1,99)),0) + IFERROR(VLOOKUP(LEFT(TRIM(MID(SUBSTITUTE($T144,";",REPT(" ",99)),496,99)),FIND(":",TRIM(MID(SUBSTITUTE($T144,";",REPT(" ",99)),496,99)))-1),Materiales!$A$2:$E$502,5,FALSE)*VALUE(MID(TRIM(MID(SUBSTITUTE($T144,";",REPT(" ",99)),496,99)),FIND(":",TRIM(MID(SUBSTITUTE($T144,";",REPT(" ",99)),496,99)))+1,99)),0) + IFERROR(VLOOKUP(LEFT(TRIM(MID(SUBSTITUTE($T144,";",REPT(" ",99)),595,99)),FIND(":",TRIM(MID(SUBSTITUTE($T144,";",REPT(" ",99)),595,99)))-1),Materiales!$A$2:$E$502,5,FALSE)*VALUE(MID(TRIM(MID(SUBSTITUTE($T144,";",REPT(" ",99)),595,99)),FIND(":",TRIM(MID(SUBSTITUTE($T144,";",REPT(" ",99)),595,99)))+1,99)),0) + IFERROR(VLOOKUP(LEFT(TRIM(MID(SUBSTITUTE($T144,";",REPT(" ",99)),694,99)),FIND(":",TRIM(MID(SUBSTITUTE($T144,";",REPT(" ",99)),694,99)))-1),Materiales!$A$2:$E$502,5,FALSE)*VALUE(MID(TRIM(MID(SUBSTITUTE($T144,";",REPT(" ",99)),694,99)),FIND(":",TRIM(MID(SUBSTITUTE($T144,";",REPT(" ",99)),694,99)))+1,99)),0) + IFERROR(VLOOKUP(LEFT(TRIM(MID(SUBSTITUTE($T144,";",REPT(" ",99)),793,99)),FIND(":",TRIM(MID(SUBSTITUTE($T144,";",REPT(" ",99)),793,99)))-1),Materiales!$A$2:$E$502,5,FALSE)*VALUE(MID(TRIM(MID(SUBSTITUTE($T144,";",REPT(" ",99)),793,99)),FIND(":",TRIM(MID(SUBSTITUTE($T144,";",REPT(" ",99)),793,99)))+1,99)),0) + IFERROR(VLOOKUP(LEFT(TRIM(MID(SUBSTITUTE($T144,";",REPT(" ",99)),892,99)),FIND(":",TRIM(MID(SUBSTITUTE($T144,";",REPT(" ",99)),892,99)))-1),Materiales!$A$2:$E$502,5,FALSE)*VALUE(MID(TRIM(MID(SUBSTITUTE($T144,";",REPT(" ",99)),892,99)),FIND(":",TRIM(MID(SUBSTITUTE($T144,";",REPT(" ",99)),892,99)))+1,99)),0)))</f>
        <v/>
      </c>
      <c r="V144" s="3"/>
      <c r="W144" s="5" t="str">
        <f t="array" ref="W144">IF($A144="","",IF($V144="",0,IFERROR(VLOOKUP(LEFT(TRIM(MID(SUBSTITUTE($V144,";",REPT(" ",99)),1,99)),FIND(":",TRIM(MID(SUBSTITUTE($V144,";",REPT(" ",99)),1,99)))-1),Materiales!$A$2:$E$502,5,FALSE)*VALUE(MID(TRIM(MID(SUBSTITUTE($V144,";",REPT(" ",99)),1,99)),FIND(":",TRIM(MID(SUBSTITUTE($V144,";",REPT(" ",99)),1,99)))+1,99)),0) + IFERROR(VLOOKUP(LEFT(TRIM(MID(SUBSTITUTE($V144,";",REPT(" ",99)),100,99)),FIND(":",TRIM(MID(SUBSTITUTE($V144,";",REPT(" ",99)),100,99)))-1),Materiales!$A$2:$E$502,5,FALSE)*VALUE(MID(TRIM(MID(SUBSTITUTE($V144,";",REPT(" ",99)),100,99)),FIND(":",TRIM(MID(SUBSTITUTE($V144,";",REPT(" ",99)),100,99)))+1,99)),0) + IFERROR(VLOOKUP(LEFT(TRIM(MID(SUBSTITUTE($V144,";",REPT(" ",99)),199,99)),FIND(":",TRIM(MID(SUBSTITUTE($V144,";",REPT(" ",99)),199,99)))-1),Materiales!$A$2:$E$502,5,FALSE)*VALUE(MID(TRIM(MID(SUBSTITUTE($V144,";",REPT(" ",99)),199,99)),FIND(":",TRIM(MID(SUBSTITUTE($V144,";",REPT(" ",99)),199,99)))+1,99)),0) + IFERROR(VLOOKUP(LEFT(TRIM(MID(SUBSTITUTE($V144,";",REPT(" ",99)),298,99)),FIND(":",TRIM(MID(SUBSTITUTE($V144,";",REPT(" ",99)),298,99)))-1),Materiales!$A$2:$E$502,5,FALSE)*VALUE(MID(TRIM(MID(SUBSTITUTE($V144,";",REPT(" ",99)),298,99)),FIND(":",TRIM(MID(SUBSTITUTE($V144,";",REPT(" ",99)),298,99)))+1,99)),0) + IFERROR(VLOOKUP(LEFT(TRIM(MID(SUBSTITUTE($V144,";",REPT(" ",99)),397,99)),FIND(":",TRIM(MID(SUBSTITUTE($V144,";",REPT(" ",99)),397,99)))-1),Materiales!$A$2:$E$502,5,FALSE)*VALUE(MID(TRIM(MID(SUBSTITUTE($V144,";",REPT(" ",99)),397,99)),FIND(":",TRIM(MID(SUBSTITUTE($V144,";",REPT(" ",99)),397,99)))+1,99)),0) + IFERROR(VLOOKUP(LEFT(TRIM(MID(SUBSTITUTE($V144,";",REPT(" ",99)),496,99)),FIND(":",TRIM(MID(SUBSTITUTE($V144,";",REPT(" ",99)),496,99)))-1),Materiales!$A$2:$E$502,5,FALSE)*VALUE(MID(TRIM(MID(SUBSTITUTE($V144,";",REPT(" ",99)),496,99)),FIND(":",TRIM(MID(SUBSTITUTE($V144,";",REPT(" ",99)),496,99)))+1,99)),0) + IFERROR(VLOOKUP(LEFT(TRIM(MID(SUBSTITUTE($V144,";",REPT(" ",99)),595,99)),FIND(":",TRIM(MID(SUBSTITUTE($V144,";",REPT(" ",99)),595,99)))-1),Materiales!$A$2:$E$502,5,FALSE)*VALUE(MID(TRIM(MID(SUBSTITUTE($V144,";",REPT(" ",99)),595,99)),FIND(":",TRIM(MID(SUBSTITUTE($V144,";",REPT(" ",99)),595,99)))+1,99)),0) + IFERROR(VLOOKUP(LEFT(TRIM(MID(SUBSTITUTE($V144,";",REPT(" ",99)),694,99)),FIND(":",TRIM(MID(SUBSTITUTE($V144,";",REPT(" ",99)),694,99)))-1),Materiales!$A$2:$E$502,5,FALSE)*VALUE(MID(TRIM(MID(SUBSTITUTE($V144,";",REPT(" ",99)),694,99)),FIND(":",TRIM(MID(SUBSTITUTE($V144,";",REPT(" ",99)),694,99)))+1,99)),0) + IFERROR(VLOOKUP(LEFT(TRIM(MID(SUBSTITUTE($V144,";",REPT(" ",99)),793,99)),FIND(":",TRIM(MID(SUBSTITUTE($V144,";",REPT(" ",99)),793,99)))-1),Materiales!$A$2:$E$502,5,FALSE)*VALUE(MID(TRIM(MID(SUBSTITUTE($V144,";",REPT(" ",99)),793,99)),FIND(":",TRIM(MID(SUBSTITUTE($V144,";",REPT(" ",99)),793,99)))+1,99)),0) + IFERROR(VLOOKUP(LEFT(TRIM(MID(SUBSTITUTE($V144,";",REPT(" ",99)),892,99)),FIND(":",TRIM(MID(SUBSTITUTE($V144,";",REPT(" ",99)),892,99)))-1),Materiales!$A$2:$E$502,5,FALSE)*VALUE(MID(TRIM(MID(SUBSTITUTE($V144,";",REPT(" ",99)),892,99)),FIND(":",TRIM(MID(SUBSTITUTE($V144,";",REPT(" ",99)),892,99)))+1,99)),0)))</f>
        <v/>
      </c>
      <c r="X144" s="39" t="str">
        <f t="shared" si="13"/>
        <v/>
      </c>
      <c r="Y144" s="64"/>
      <c r="Z144" s="67"/>
      <c r="AA144" s="65"/>
      <c r="AB144" s="14"/>
      <c r="AC144" s="66"/>
      <c r="AD144" s="65"/>
      <c r="AE144" s="44">
        <f t="shared" si="17"/>
        <v>0</v>
      </c>
      <c r="AF144" s="45" t="str">
        <f t="shared" si="20"/>
        <v>#DIV/0!</v>
      </c>
    </row>
    <row r="145" ht="15.75" customHeight="1">
      <c r="A145" s="3"/>
      <c r="B145" s="3"/>
      <c r="C145" s="38"/>
      <c r="D145" s="38"/>
      <c r="E145" s="38"/>
      <c r="F145" s="14"/>
      <c r="G145" s="5" t="str">
        <f t="array" ref="G145">IF($A145="","",IFERROR($F145*(N($C145)*XLOOKUP($B145,Ceras!$A$2:$A$500,Ceras!$G$2:$G$500,0)+IF($D145="",0,N($E145)*XLOOKUP($D145,Ceras!$A$2:$A$500,Ceras!$G$2:$G$500,0))),"Revisar cera"))</f>
        <v/>
      </c>
      <c r="H145" s="5"/>
      <c r="I145" s="3"/>
      <c r="J145" s="14"/>
      <c r="K145" s="5" t="str">
        <f t="array" ref="K145">IF($A145="","",IFERROR($J145*XLOOKUP($I145,Pabilos!$A$2:$A$500,Pabilos!$H$2:$H$500,0),"Revisar pabilo"))</f>
        <v/>
      </c>
      <c r="L145" s="3"/>
      <c r="M145" s="14"/>
      <c r="N145" s="5" t="str">
        <f t="array" ref="N145">IF($A145="","",IFERROR($M145*XLOOKUP($L145,Esencias!$A$2:$A$501,Esencias!$G$2:$G$501,0),"Revisar esencia"))</f>
        <v/>
      </c>
      <c r="O145" s="3"/>
      <c r="P145" s="14"/>
      <c r="Q145" s="5" t="str">
        <f t="array" ref="Q145">IF($A145="","",IFERROR(IF($P145="",1,$P145)*XLOOKUP($O145,Colores!$A$2:$A$500,Colores!$H$2:$H$500,0),"Revisar color"))</f>
        <v/>
      </c>
      <c r="R145" s="3"/>
      <c r="S145" s="5" t="str">
        <f t="array" ref="S145">IF($A145="","",IF($R145="",0,IFERROR(VLOOKUP(LEFT(TRIM(MID(SUBSTITUTE($R145,";",REPT(" ",99)),1,99)),FIND(":",TRIM(MID(SUBSTITUTE($R145,";",REPT(" ",99)),1,99)))-1),Materiales!$A$2:$E$502,5,FALSE)*VALUE(MID(TRIM(MID(SUBSTITUTE($R145,";",REPT(" ",99)),1,99)),FIND(":",TRIM(MID(SUBSTITUTE($R145,";",REPT(" ",99)),1,99)))+1,99)),0) + IFERROR(VLOOKUP(LEFT(TRIM(MID(SUBSTITUTE($R145,";",REPT(" ",99)),100,99)),FIND(":",TRIM(MID(SUBSTITUTE($R145,";",REPT(" ",99)),100,99)))-1),Materiales!$A$2:$E$502,5,FALSE)*VALUE(MID(TRIM(MID(SUBSTITUTE($R145,";",REPT(" ",99)),100,99)),FIND(":",TRIM(MID(SUBSTITUTE($R145,";",REPT(" ",99)),100,99)))+1,99)),0) + IFERROR(VLOOKUP(LEFT(TRIM(MID(SUBSTITUTE($R145,";",REPT(" ",99)),199,99)),FIND(":",TRIM(MID(SUBSTITUTE($R145,";",REPT(" ",99)),199,99)))-1),Materiales!$A$2:$E$502,5,FALSE)*VALUE(MID(TRIM(MID(SUBSTITUTE($R145,";",REPT(" ",99)),199,99)),FIND(":",TRIM(MID(SUBSTITUTE($R145,";",REPT(" ",99)),199,99)))+1,99)),0) + IFERROR(VLOOKUP(LEFT(TRIM(MID(SUBSTITUTE($R145,";",REPT(" ",99)),298,99)),FIND(":",TRIM(MID(SUBSTITUTE($R145,";",REPT(" ",99)),298,99)))-1),Materiales!$A$2:$E$502,5,FALSE)*VALUE(MID(TRIM(MID(SUBSTITUTE($R145,";",REPT(" ",99)),298,99)),FIND(":",TRIM(MID(SUBSTITUTE($R145,";",REPT(" ",99)),298,99)))+1,99)),0) + IFERROR(VLOOKUP(LEFT(TRIM(MID(SUBSTITUTE($R145,";",REPT(" ",99)),397,99)),FIND(":",TRIM(MID(SUBSTITUTE($R145,";",REPT(" ",99)),397,99)))-1),Materiales!$A$2:$E$502,5,FALSE)*VALUE(MID(TRIM(MID(SUBSTITUTE($R145,";",REPT(" ",99)),397,99)),FIND(":",TRIM(MID(SUBSTITUTE($R145,";",REPT(" ",99)),397,99)))+1,99)),0) + IFERROR(VLOOKUP(LEFT(TRIM(MID(SUBSTITUTE($R145,";",REPT(" ",99)),496,99)),FIND(":",TRIM(MID(SUBSTITUTE($R145,";",REPT(" ",99)),496,99)))-1),Materiales!$A$2:$E$502,5,FALSE)*VALUE(MID(TRIM(MID(SUBSTITUTE($R145,";",REPT(" ",99)),496,99)),FIND(":",TRIM(MID(SUBSTITUTE($R145,";",REPT(" ",99)),496,99)))+1,99)),0) + IFERROR(VLOOKUP(LEFT(TRIM(MID(SUBSTITUTE($R145,";",REPT(" ",99)),595,99)),FIND(":",TRIM(MID(SUBSTITUTE($R145,";",REPT(" ",99)),595,99)))-1),Materiales!$A$2:$E$502,5,FALSE)*VALUE(MID(TRIM(MID(SUBSTITUTE($R145,";",REPT(" ",99)),595,99)),FIND(":",TRIM(MID(SUBSTITUTE($R145,";",REPT(" ",99)),595,99)))+1,99)),0) + IFERROR(VLOOKUP(LEFT(TRIM(MID(SUBSTITUTE($R145,";",REPT(" ",99)),694,99)),FIND(":",TRIM(MID(SUBSTITUTE($R145,";",REPT(" ",99)),694,99)))-1),Materiales!$A$2:$E$502,5,FALSE)*VALUE(MID(TRIM(MID(SUBSTITUTE($R145,";",REPT(" ",99)),694,99)),FIND(":",TRIM(MID(SUBSTITUTE($R145,";",REPT(" ",99)),694,99)))+1,99)),0) + IFERROR(VLOOKUP(LEFT(TRIM(MID(SUBSTITUTE($R145,";",REPT(" ",99)),793,99)),FIND(":",TRIM(MID(SUBSTITUTE($R145,";",REPT(" ",99)),793,99)))-1),Materiales!$A$2:$E$502,5,FALSE)*VALUE(MID(TRIM(MID(SUBSTITUTE($R145,";",REPT(" ",99)),793,99)),FIND(":",TRIM(MID(SUBSTITUTE($R145,";",REPT(" ",99)),793,99)))+1,99)),0) + IFERROR(VLOOKUP(LEFT(TRIM(MID(SUBSTITUTE($R145,";",REPT(" ",99)),892,99)),FIND(":",TRIM(MID(SUBSTITUTE($R145,";",REPT(" ",99)),892,99)))-1),Materiales!$A$2:$E$502,5,FALSE)*VALUE(MID(TRIM(MID(SUBSTITUTE($R145,";",REPT(" ",99)),892,99)),FIND(":",TRIM(MID(SUBSTITUTE($R145,";",REPT(" ",99)),892,99)))+1,99)),0)))</f>
        <v/>
      </c>
      <c r="T145" s="3"/>
      <c r="U145" s="5" t="str">
        <f t="array" ref="U145">IF($A145="","",IF($T145="",0,IFERROR(VLOOKUP(LEFT(TRIM(MID(SUBSTITUTE($T145,";",REPT(" ",99)),1,99)),FIND(":",TRIM(MID(SUBSTITUTE($T145,";",REPT(" ",99)),1,99)))-1),Materiales!$A$2:$E$502,5,FALSE)*VALUE(MID(TRIM(MID(SUBSTITUTE($T145,";",REPT(" ",99)),1,99)),FIND(":",TRIM(MID(SUBSTITUTE($T145,";",REPT(" ",99)),1,99)))+1,99)),0) + IFERROR(VLOOKUP(LEFT(TRIM(MID(SUBSTITUTE($T145,";",REPT(" ",99)),100,99)),FIND(":",TRIM(MID(SUBSTITUTE($T145,";",REPT(" ",99)),100,99)))-1),Materiales!$A$2:$E$502,5,FALSE)*VALUE(MID(TRIM(MID(SUBSTITUTE($T145,";",REPT(" ",99)),100,99)),FIND(":",TRIM(MID(SUBSTITUTE($T145,";",REPT(" ",99)),100,99)))+1,99)),0) + IFERROR(VLOOKUP(LEFT(TRIM(MID(SUBSTITUTE($T145,";",REPT(" ",99)),199,99)),FIND(":",TRIM(MID(SUBSTITUTE($T145,";",REPT(" ",99)),199,99)))-1),Materiales!$A$2:$E$502,5,FALSE)*VALUE(MID(TRIM(MID(SUBSTITUTE($T145,";",REPT(" ",99)),199,99)),FIND(":",TRIM(MID(SUBSTITUTE($T145,";",REPT(" ",99)),199,99)))+1,99)),0) + IFERROR(VLOOKUP(LEFT(TRIM(MID(SUBSTITUTE($T145,";",REPT(" ",99)),298,99)),FIND(":",TRIM(MID(SUBSTITUTE($T145,";",REPT(" ",99)),298,99)))-1),Materiales!$A$2:$E$502,5,FALSE)*VALUE(MID(TRIM(MID(SUBSTITUTE($T145,";",REPT(" ",99)),298,99)),FIND(":",TRIM(MID(SUBSTITUTE($T145,";",REPT(" ",99)),298,99)))+1,99)),0) + IFERROR(VLOOKUP(LEFT(TRIM(MID(SUBSTITUTE($T145,";",REPT(" ",99)),397,99)),FIND(":",TRIM(MID(SUBSTITUTE($T145,";",REPT(" ",99)),397,99)))-1),Materiales!$A$2:$E$502,5,FALSE)*VALUE(MID(TRIM(MID(SUBSTITUTE($T145,";",REPT(" ",99)),397,99)),FIND(":",TRIM(MID(SUBSTITUTE($T145,";",REPT(" ",99)),397,99)))+1,99)),0) + IFERROR(VLOOKUP(LEFT(TRIM(MID(SUBSTITUTE($T145,";",REPT(" ",99)),496,99)),FIND(":",TRIM(MID(SUBSTITUTE($T145,";",REPT(" ",99)),496,99)))-1),Materiales!$A$2:$E$502,5,FALSE)*VALUE(MID(TRIM(MID(SUBSTITUTE($T145,";",REPT(" ",99)),496,99)),FIND(":",TRIM(MID(SUBSTITUTE($T145,";",REPT(" ",99)),496,99)))+1,99)),0) + IFERROR(VLOOKUP(LEFT(TRIM(MID(SUBSTITUTE($T145,";",REPT(" ",99)),595,99)),FIND(":",TRIM(MID(SUBSTITUTE($T145,";",REPT(" ",99)),595,99)))-1),Materiales!$A$2:$E$502,5,FALSE)*VALUE(MID(TRIM(MID(SUBSTITUTE($T145,";",REPT(" ",99)),595,99)),FIND(":",TRIM(MID(SUBSTITUTE($T145,";",REPT(" ",99)),595,99)))+1,99)),0) + IFERROR(VLOOKUP(LEFT(TRIM(MID(SUBSTITUTE($T145,";",REPT(" ",99)),694,99)),FIND(":",TRIM(MID(SUBSTITUTE($T145,";",REPT(" ",99)),694,99)))-1),Materiales!$A$2:$E$502,5,FALSE)*VALUE(MID(TRIM(MID(SUBSTITUTE($T145,";",REPT(" ",99)),694,99)),FIND(":",TRIM(MID(SUBSTITUTE($T145,";",REPT(" ",99)),694,99)))+1,99)),0) + IFERROR(VLOOKUP(LEFT(TRIM(MID(SUBSTITUTE($T145,";",REPT(" ",99)),793,99)),FIND(":",TRIM(MID(SUBSTITUTE($T145,";",REPT(" ",99)),793,99)))-1),Materiales!$A$2:$E$502,5,FALSE)*VALUE(MID(TRIM(MID(SUBSTITUTE($T145,";",REPT(" ",99)),793,99)),FIND(":",TRIM(MID(SUBSTITUTE($T145,";",REPT(" ",99)),793,99)))+1,99)),0) + IFERROR(VLOOKUP(LEFT(TRIM(MID(SUBSTITUTE($T145,";",REPT(" ",99)),892,99)),FIND(":",TRIM(MID(SUBSTITUTE($T145,";",REPT(" ",99)),892,99)))-1),Materiales!$A$2:$E$502,5,FALSE)*VALUE(MID(TRIM(MID(SUBSTITUTE($T145,";",REPT(" ",99)),892,99)),FIND(":",TRIM(MID(SUBSTITUTE($T145,";",REPT(" ",99)),892,99)))+1,99)),0)))</f>
        <v/>
      </c>
      <c r="V145" s="3"/>
      <c r="W145" s="5" t="str">
        <f t="array" ref="W145">IF($A145="","",IF($V145="",0,IFERROR(VLOOKUP(LEFT(TRIM(MID(SUBSTITUTE($V145,";",REPT(" ",99)),1,99)),FIND(":",TRIM(MID(SUBSTITUTE($V145,";",REPT(" ",99)),1,99)))-1),Materiales!$A$2:$E$502,5,FALSE)*VALUE(MID(TRIM(MID(SUBSTITUTE($V145,";",REPT(" ",99)),1,99)),FIND(":",TRIM(MID(SUBSTITUTE($V145,";",REPT(" ",99)),1,99)))+1,99)),0) + IFERROR(VLOOKUP(LEFT(TRIM(MID(SUBSTITUTE($V145,";",REPT(" ",99)),100,99)),FIND(":",TRIM(MID(SUBSTITUTE($V145,";",REPT(" ",99)),100,99)))-1),Materiales!$A$2:$E$502,5,FALSE)*VALUE(MID(TRIM(MID(SUBSTITUTE($V145,";",REPT(" ",99)),100,99)),FIND(":",TRIM(MID(SUBSTITUTE($V145,";",REPT(" ",99)),100,99)))+1,99)),0) + IFERROR(VLOOKUP(LEFT(TRIM(MID(SUBSTITUTE($V145,";",REPT(" ",99)),199,99)),FIND(":",TRIM(MID(SUBSTITUTE($V145,";",REPT(" ",99)),199,99)))-1),Materiales!$A$2:$E$502,5,FALSE)*VALUE(MID(TRIM(MID(SUBSTITUTE($V145,";",REPT(" ",99)),199,99)),FIND(":",TRIM(MID(SUBSTITUTE($V145,";",REPT(" ",99)),199,99)))+1,99)),0) + IFERROR(VLOOKUP(LEFT(TRIM(MID(SUBSTITUTE($V145,";",REPT(" ",99)),298,99)),FIND(":",TRIM(MID(SUBSTITUTE($V145,";",REPT(" ",99)),298,99)))-1),Materiales!$A$2:$E$502,5,FALSE)*VALUE(MID(TRIM(MID(SUBSTITUTE($V145,";",REPT(" ",99)),298,99)),FIND(":",TRIM(MID(SUBSTITUTE($V145,";",REPT(" ",99)),298,99)))+1,99)),0) + IFERROR(VLOOKUP(LEFT(TRIM(MID(SUBSTITUTE($V145,";",REPT(" ",99)),397,99)),FIND(":",TRIM(MID(SUBSTITUTE($V145,";",REPT(" ",99)),397,99)))-1),Materiales!$A$2:$E$502,5,FALSE)*VALUE(MID(TRIM(MID(SUBSTITUTE($V145,";",REPT(" ",99)),397,99)),FIND(":",TRIM(MID(SUBSTITUTE($V145,";",REPT(" ",99)),397,99)))+1,99)),0) + IFERROR(VLOOKUP(LEFT(TRIM(MID(SUBSTITUTE($V145,";",REPT(" ",99)),496,99)),FIND(":",TRIM(MID(SUBSTITUTE($V145,";",REPT(" ",99)),496,99)))-1),Materiales!$A$2:$E$502,5,FALSE)*VALUE(MID(TRIM(MID(SUBSTITUTE($V145,";",REPT(" ",99)),496,99)),FIND(":",TRIM(MID(SUBSTITUTE($V145,";",REPT(" ",99)),496,99)))+1,99)),0) + IFERROR(VLOOKUP(LEFT(TRIM(MID(SUBSTITUTE($V145,";",REPT(" ",99)),595,99)),FIND(":",TRIM(MID(SUBSTITUTE($V145,";",REPT(" ",99)),595,99)))-1),Materiales!$A$2:$E$502,5,FALSE)*VALUE(MID(TRIM(MID(SUBSTITUTE($V145,";",REPT(" ",99)),595,99)),FIND(":",TRIM(MID(SUBSTITUTE($V145,";",REPT(" ",99)),595,99)))+1,99)),0) + IFERROR(VLOOKUP(LEFT(TRIM(MID(SUBSTITUTE($V145,";",REPT(" ",99)),694,99)),FIND(":",TRIM(MID(SUBSTITUTE($V145,";",REPT(" ",99)),694,99)))-1),Materiales!$A$2:$E$502,5,FALSE)*VALUE(MID(TRIM(MID(SUBSTITUTE($V145,";",REPT(" ",99)),694,99)),FIND(":",TRIM(MID(SUBSTITUTE($V145,";",REPT(" ",99)),694,99)))+1,99)),0) + IFERROR(VLOOKUP(LEFT(TRIM(MID(SUBSTITUTE($V145,";",REPT(" ",99)),793,99)),FIND(":",TRIM(MID(SUBSTITUTE($V145,";",REPT(" ",99)),793,99)))-1),Materiales!$A$2:$E$502,5,FALSE)*VALUE(MID(TRIM(MID(SUBSTITUTE($V145,";",REPT(" ",99)),793,99)),FIND(":",TRIM(MID(SUBSTITUTE($V145,";",REPT(" ",99)),793,99)))+1,99)),0) + IFERROR(VLOOKUP(LEFT(TRIM(MID(SUBSTITUTE($V145,";",REPT(" ",99)),892,99)),FIND(":",TRIM(MID(SUBSTITUTE($V145,";",REPT(" ",99)),892,99)))-1),Materiales!$A$2:$E$502,5,FALSE)*VALUE(MID(TRIM(MID(SUBSTITUTE($V145,";",REPT(" ",99)),892,99)),FIND(":",TRIM(MID(SUBSTITUTE($V145,";",REPT(" ",99)),892,99)))+1,99)),0)))</f>
        <v/>
      </c>
      <c r="X145" s="39" t="str">
        <f t="shared" si="13"/>
        <v/>
      </c>
      <c r="Y145" s="64"/>
      <c r="Z145" s="67"/>
      <c r="AA145" s="65"/>
      <c r="AB145" s="14"/>
      <c r="AC145" s="66"/>
      <c r="AD145" s="65"/>
      <c r="AE145" s="44">
        <f t="shared" si="17"/>
        <v>0</v>
      </c>
      <c r="AF145" s="45" t="str">
        <f t="shared" si="20"/>
        <v>#DIV/0!</v>
      </c>
    </row>
    <row r="146" ht="15.75" customHeight="1">
      <c r="A146" s="3"/>
      <c r="B146" s="3"/>
      <c r="C146" s="38"/>
      <c r="D146" s="38"/>
      <c r="E146" s="38"/>
      <c r="F146" s="14"/>
      <c r="G146" s="5" t="str">
        <f t="array" ref="G146">IF($A146="","",IFERROR($F146*(N($C146)*XLOOKUP($B146,Ceras!$A$2:$A$500,Ceras!$G$2:$G$500,0)+IF($D146="",0,N($E146)*XLOOKUP($D146,Ceras!$A$2:$A$500,Ceras!$G$2:$G$500,0))),"Revisar cera"))</f>
        <v/>
      </c>
      <c r="H146" s="5"/>
      <c r="I146" s="3"/>
      <c r="J146" s="14"/>
      <c r="K146" s="5" t="str">
        <f t="array" ref="K146">IF($A146="","",IFERROR($J146*XLOOKUP($I146,Pabilos!$A$2:$A$500,Pabilos!$H$2:$H$500,0),"Revisar pabilo"))</f>
        <v/>
      </c>
      <c r="L146" s="3"/>
      <c r="M146" s="14"/>
      <c r="N146" s="5" t="str">
        <f t="array" ref="N146">IF($A146="","",IFERROR($M146*XLOOKUP($L146,Esencias!$A$2:$A$501,Esencias!$G$2:$G$501,0),"Revisar esencia"))</f>
        <v/>
      </c>
      <c r="O146" s="3"/>
      <c r="P146" s="14"/>
      <c r="Q146" s="5" t="str">
        <f t="array" ref="Q146">IF($A146="","",IFERROR(IF($P146="",1,$P146)*XLOOKUP($O146,Colores!$A$2:$A$500,Colores!$H$2:$H$500,0),"Revisar color"))</f>
        <v/>
      </c>
      <c r="R146" s="3"/>
      <c r="S146" s="5" t="str">
        <f t="array" ref="S146">IF($A146="","",IF($R146="",0,IFERROR(VLOOKUP(LEFT(TRIM(MID(SUBSTITUTE($R146,";",REPT(" ",99)),1,99)),FIND(":",TRIM(MID(SUBSTITUTE($R146,";",REPT(" ",99)),1,99)))-1),Materiales!$A$2:$E$502,5,FALSE)*VALUE(MID(TRIM(MID(SUBSTITUTE($R146,";",REPT(" ",99)),1,99)),FIND(":",TRIM(MID(SUBSTITUTE($R146,";",REPT(" ",99)),1,99)))+1,99)),0) + IFERROR(VLOOKUP(LEFT(TRIM(MID(SUBSTITUTE($R146,";",REPT(" ",99)),100,99)),FIND(":",TRIM(MID(SUBSTITUTE($R146,";",REPT(" ",99)),100,99)))-1),Materiales!$A$2:$E$502,5,FALSE)*VALUE(MID(TRIM(MID(SUBSTITUTE($R146,";",REPT(" ",99)),100,99)),FIND(":",TRIM(MID(SUBSTITUTE($R146,";",REPT(" ",99)),100,99)))+1,99)),0) + IFERROR(VLOOKUP(LEFT(TRIM(MID(SUBSTITUTE($R146,";",REPT(" ",99)),199,99)),FIND(":",TRIM(MID(SUBSTITUTE($R146,";",REPT(" ",99)),199,99)))-1),Materiales!$A$2:$E$502,5,FALSE)*VALUE(MID(TRIM(MID(SUBSTITUTE($R146,";",REPT(" ",99)),199,99)),FIND(":",TRIM(MID(SUBSTITUTE($R146,";",REPT(" ",99)),199,99)))+1,99)),0) + IFERROR(VLOOKUP(LEFT(TRIM(MID(SUBSTITUTE($R146,";",REPT(" ",99)),298,99)),FIND(":",TRIM(MID(SUBSTITUTE($R146,";",REPT(" ",99)),298,99)))-1),Materiales!$A$2:$E$502,5,FALSE)*VALUE(MID(TRIM(MID(SUBSTITUTE($R146,";",REPT(" ",99)),298,99)),FIND(":",TRIM(MID(SUBSTITUTE($R146,";",REPT(" ",99)),298,99)))+1,99)),0) + IFERROR(VLOOKUP(LEFT(TRIM(MID(SUBSTITUTE($R146,";",REPT(" ",99)),397,99)),FIND(":",TRIM(MID(SUBSTITUTE($R146,";",REPT(" ",99)),397,99)))-1),Materiales!$A$2:$E$502,5,FALSE)*VALUE(MID(TRIM(MID(SUBSTITUTE($R146,";",REPT(" ",99)),397,99)),FIND(":",TRIM(MID(SUBSTITUTE($R146,";",REPT(" ",99)),397,99)))+1,99)),0) + IFERROR(VLOOKUP(LEFT(TRIM(MID(SUBSTITUTE($R146,";",REPT(" ",99)),496,99)),FIND(":",TRIM(MID(SUBSTITUTE($R146,";",REPT(" ",99)),496,99)))-1),Materiales!$A$2:$E$502,5,FALSE)*VALUE(MID(TRIM(MID(SUBSTITUTE($R146,";",REPT(" ",99)),496,99)),FIND(":",TRIM(MID(SUBSTITUTE($R146,";",REPT(" ",99)),496,99)))+1,99)),0) + IFERROR(VLOOKUP(LEFT(TRIM(MID(SUBSTITUTE($R146,";",REPT(" ",99)),595,99)),FIND(":",TRIM(MID(SUBSTITUTE($R146,";",REPT(" ",99)),595,99)))-1),Materiales!$A$2:$E$502,5,FALSE)*VALUE(MID(TRIM(MID(SUBSTITUTE($R146,";",REPT(" ",99)),595,99)),FIND(":",TRIM(MID(SUBSTITUTE($R146,";",REPT(" ",99)),595,99)))+1,99)),0) + IFERROR(VLOOKUP(LEFT(TRIM(MID(SUBSTITUTE($R146,";",REPT(" ",99)),694,99)),FIND(":",TRIM(MID(SUBSTITUTE($R146,";",REPT(" ",99)),694,99)))-1),Materiales!$A$2:$E$502,5,FALSE)*VALUE(MID(TRIM(MID(SUBSTITUTE($R146,";",REPT(" ",99)),694,99)),FIND(":",TRIM(MID(SUBSTITUTE($R146,";",REPT(" ",99)),694,99)))+1,99)),0) + IFERROR(VLOOKUP(LEFT(TRIM(MID(SUBSTITUTE($R146,";",REPT(" ",99)),793,99)),FIND(":",TRIM(MID(SUBSTITUTE($R146,";",REPT(" ",99)),793,99)))-1),Materiales!$A$2:$E$502,5,FALSE)*VALUE(MID(TRIM(MID(SUBSTITUTE($R146,";",REPT(" ",99)),793,99)),FIND(":",TRIM(MID(SUBSTITUTE($R146,";",REPT(" ",99)),793,99)))+1,99)),0) + IFERROR(VLOOKUP(LEFT(TRIM(MID(SUBSTITUTE($R146,";",REPT(" ",99)),892,99)),FIND(":",TRIM(MID(SUBSTITUTE($R146,";",REPT(" ",99)),892,99)))-1),Materiales!$A$2:$E$502,5,FALSE)*VALUE(MID(TRIM(MID(SUBSTITUTE($R146,";",REPT(" ",99)),892,99)),FIND(":",TRIM(MID(SUBSTITUTE($R146,";",REPT(" ",99)),892,99)))+1,99)),0)))</f>
        <v/>
      </c>
      <c r="T146" s="3"/>
      <c r="U146" s="5" t="str">
        <f t="array" ref="U146">IF($A146="","",IF($T146="",0,IFERROR(VLOOKUP(LEFT(TRIM(MID(SUBSTITUTE($T146,";",REPT(" ",99)),1,99)),FIND(":",TRIM(MID(SUBSTITUTE($T146,";",REPT(" ",99)),1,99)))-1),Materiales!$A$2:$E$502,5,FALSE)*VALUE(MID(TRIM(MID(SUBSTITUTE($T146,";",REPT(" ",99)),1,99)),FIND(":",TRIM(MID(SUBSTITUTE($T146,";",REPT(" ",99)),1,99)))+1,99)),0) + IFERROR(VLOOKUP(LEFT(TRIM(MID(SUBSTITUTE($T146,";",REPT(" ",99)),100,99)),FIND(":",TRIM(MID(SUBSTITUTE($T146,";",REPT(" ",99)),100,99)))-1),Materiales!$A$2:$E$502,5,FALSE)*VALUE(MID(TRIM(MID(SUBSTITUTE($T146,";",REPT(" ",99)),100,99)),FIND(":",TRIM(MID(SUBSTITUTE($T146,";",REPT(" ",99)),100,99)))+1,99)),0) + IFERROR(VLOOKUP(LEFT(TRIM(MID(SUBSTITUTE($T146,";",REPT(" ",99)),199,99)),FIND(":",TRIM(MID(SUBSTITUTE($T146,";",REPT(" ",99)),199,99)))-1),Materiales!$A$2:$E$502,5,FALSE)*VALUE(MID(TRIM(MID(SUBSTITUTE($T146,";",REPT(" ",99)),199,99)),FIND(":",TRIM(MID(SUBSTITUTE($T146,";",REPT(" ",99)),199,99)))+1,99)),0) + IFERROR(VLOOKUP(LEFT(TRIM(MID(SUBSTITUTE($T146,";",REPT(" ",99)),298,99)),FIND(":",TRIM(MID(SUBSTITUTE($T146,";",REPT(" ",99)),298,99)))-1),Materiales!$A$2:$E$502,5,FALSE)*VALUE(MID(TRIM(MID(SUBSTITUTE($T146,";",REPT(" ",99)),298,99)),FIND(":",TRIM(MID(SUBSTITUTE($T146,";",REPT(" ",99)),298,99)))+1,99)),0) + IFERROR(VLOOKUP(LEFT(TRIM(MID(SUBSTITUTE($T146,";",REPT(" ",99)),397,99)),FIND(":",TRIM(MID(SUBSTITUTE($T146,";",REPT(" ",99)),397,99)))-1),Materiales!$A$2:$E$502,5,FALSE)*VALUE(MID(TRIM(MID(SUBSTITUTE($T146,";",REPT(" ",99)),397,99)),FIND(":",TRIM(MID(SUBSTITUTE($T146,";",REPT(" ",99)),397,99)))+1,99)),0) + IFERROR(VLOOKUP(LEFT(TRIM(MID(SUBSTITUTE($T146,";",REPT(" ",99)),496,99)),FIND(":",TRIM(MID(SUBSTITUTE($T146,";",REPT(" ",99)),496,99)))-1),Materiales!$A$2:$E$502,5,FALSE)*VALUE(MID(TRIM(MID(SUBSTITUTE($T146,";",REPT(" ",99)),496,99)),FIND(":",TRIM(MID(SUBSTITUTE($T146,";",REPT(" ",99)),496,99)))+1,99)),0) + IFERROR(VLOOKUP(LEFT(TRIM(MID(SUBSTITUTE($T146,";",REPT(" ",99)),595,99)),FIND(":",TRIM(MID(SUBSTITUTE($T146,";",REPT(" ",99)),595,99)))-1),Materiales!$A$2:$E$502,5,FALSE)*VALUE(MID(TRIM(MID(SUBSTITUTE($T146,";",REPT(" ",99)),595,99)),FIND(":",TRIM(MID(SUBSTITUTE($T146,";",REPT(" ",99)),595,99)))+1,99)),0) + IFERROR(VLOOKUP(LEFT(TRIM(MID(SUBSTITUTE($T146,";",REPT(" ",99)),694,99)),FIND(":",TRIM(MID(SUBSTITUTE($T146,";",REPT(" ",99)),694,99)))-1),Materiales!$A$2:$E$502,5,FALSE)*VALUE(MID(TRIM(MID(SUBSTITUTE($T146,";",REPT(" ",99)),694,99)),FIND(":",TRIM(MID(SUBSTITUTE($T146,";",REPT(" ",99)),694,99)))+1,99)),0) + IFERROR(VLOOKUP(LEFT(TRIM(MID(SUBSTITUTE($T146,";",REPT(" ",99)),793,99)),FIND(":",TRIM(MID(SUBSTITUTE($T146,";",REPT(" ",99)),793,99)))-1),Materiales!$A$2:$E$502,5,FALSE)*VALUE(MID(TRIM(MID(SUBSTITUTE($T146,";",REPT(" ",99)),793,99)),FIND(":",TRIM(MID(SUBSTITUTE($T146,";",REPT(" ",99)),793,99)))+1,99)),0) + IFERROR(VLOOKUP(LEFT(TRIM(MID(SUBSTITUTE($T146,";",REPT(" ",99)),892,99)),FIND(":",TRIM(MID(SUBSTITUTE($T146,";",REPT(" ",99)),892,99)))-1),Materiales!$A$2:$E$502,5,FALSE)*VALUE(MID(TRIM(MID(SUBSTITUTE($T146,";",REPT(" ",99)),892,99)),FIND(":",TRIM(MID(SUBSTITUTE($T146,";",REPT(" ",99)),892,99)))+1,99)),0)))</f>
        <v/>
      </c>
      <c r="V146" s="3"/>
      <c r="W146" s="5" t="str">
        <f t="array" ref="W146">IF($A146="","",IF($V146="",0,IFERROR(VLOOKUP(LEFT(TRIM(MID(SUBSTITUTE($V146,";",REPT(" ",99)),1,99)),FIND(":",TRIM(MID(SUBSTITUTE($V146,";",REPT(" ",99)),1,99)))-1),Materiales!$A$2:$E$502,5,FALSE)*VALUE(MID(TRIM(MID(SUBSTITUTE($V146,";",REPT(" ",99)),1,99)),FIND(":",TRIM(MID(SUBSTITUTE($V146,";",REPT(" ",99)),1,99)))+1,99)),0) + IFERROR(VLOOKUP(LEFT(TRIM(MID(SUBSTITUTE($V146,";",REPT(" ",99)),100,99)),FIND(":",TRIM(MID(SUBSTITUTE($V146,";",REPT(" ",99)),100,99)))-1),Materiales!$A$2:$E$502,5,FALSE)*VALUE(MID(TRIM(MID(SUBSTITUTE($V146,";",REPT(" ",99)),100,99)),FIND(":",TRIM(MID(SUBSTITUTE($V146,";",REPT(" ",99)),100,99)))+1,99)),0) + IFERROR(VLOOKUP(LEFT(TRIM(MID(SUBSTITUTE($V146,";",REPT(" ",99)),199,99)),FIND(":",TRIM(MID(SUBSTITUTE($V146,";",REPT(" ",99)),199,99)))-1),Materiales!$A$2:$E$502,5,FALSE)*VALUE(MID(TRIM(MID(SUBSTITUTE($V146,";",REPT(" ",99)),199,99)),FIND(":",TRIM(MID(SUBSTITUTE($V146,";",REPT(" ",99)),199,99)))+1,99)),0) + IFERROR(VLOOKUP(LEFT(TRIM(MID(SUBSTITUTE($V146,";",REPT(" ",99)),298,99)),FIND(":",TRIM(MID(SUBSTITUTE($V146,";",REPT(" ",99)),298,99)))-1),Materiales!$A$2:$E$502,5,FALSE)*VALUE(MID(TRIM(MID(SUBSTITUTE($V146,";",REPT(" ",99)),298,99)),FIND(":",TRIM(MID(SUBSTITUTE($V146,";",REPT(" ",99)),298,99)))+1,99)),0) + IFERROR(VLOOKUP(LEFT(TRIM(MID(SUBSTITUTE($V146,";",REPT(" ",99)),397,99)),FIND(":",TRIM(MID(SUBSTITUTE($V146,";",REPT(" ",99)),397,99)))-1),Materiales!$A$2:$E$502,5,FALSE)*VALUE(MID(TRIM(MID(SUBSTITUTE($V146,";",REPT(" ",99)),397,99)),FIND(":",TRIM(MID(SUBSTITUTE($V146,";",REPT(" ",99)),397,99)))+1,99)),0) + IFERROR(VLOOKUP(LEFT(TRIM(MID(SUBSTITUTE($V146,";",REPT(" ",99)),496,99)),FIND(":",TRIM(MID(SUBSTITUTE($V146,";",REPT(" ",99)),496,99)))-1),Materiales!$A$2:$E$502,5,FALSE)*VALUE(MID(TRIM(MID(SUBSTITUTE($V146,";",REPT(" ",99)),496,99)),FIND(":",TRIM(MID(SUBSTITUTE($V146,";",REPT(" ",99)),496,99)))+1,99)),0) + IFERROR(VLOOKUP(LEFT(TRIM(MID(SUBSTITUTE($V146,";",REPT(" ",99)),595,99)),FIND(":",TRIM(MID(SUBSTITUTE($V146,";",REPT(" ",99)),595,99)))-1),Materiales!$A$2:$E$502,5,FALSE)*VALUE(MID(TRIM(MID(SUBSTITUTE($V146,";",REPT(" ",99)),595,99)),FIND(":",TRIM(MID(SUBSTITUTE($V146,";",REPT(" ",99)),595,99)))+1,99)),0) + IFERROR(VLOOKUP(LEFT(TRIM(MID(SUBSTITUTE($V146,";",REPT(" ",99)),694,99)),FIND(":",TRIM(MID(SUBSTITUTE($V146,";",REPT(" ",99)),694,99)))-1),Materiales!$A$2:$E$502,5,FALSE)*VALUE(MID(TRIM(MID(SUBSTITUTE($V146,";",REPT(" ",99)),694,99)),FIND(":",TRIM(MID(SUBSTITUTE($V146,";",REPT(" ",99)),694,99)))+1,99)),0) + IFERROR(VLOOKUP(LEFT(TRIM(MID(SUBSTITUTE($V146,";",REPT(" ",99)),793,99)),FIND(":",TRIM(MID(SUBSTITUTE($V146,";",REPT(" ",99)),793,99)))-1),Materiales!$A$2:$E$502,5,FALSE)*VALUE(MID(TRIM(MID(SUBSTITUTE($V146,";",REPT(" ",99)),793,99)),FIND(":",TRIM(MID(SUBSTITUTE($V146,";",REPT(" ",99)),793,99)))+1,99)),0) + IFERROR(VLOOKUP(LEFT(TRIM(MID(SUBSTITUTE($V146,";",REPT(" ",99)),892,99)),FIND(":",TRIM(MID(SUBSTITUTE($V146,";",REPT(" ",99)),892,99)))-1),Materiales!$A$2:$E$502,5,FALSE)*VALUE(MID(TRIM(MID(SUBSTITUTE($V146,";",REPT(" ",99)),892,99)),FIND(":",TRIM(MID(SUBSTITUTE($V146,";",REPT(" ",99)),892,99)))+1,99)),0)))</f>
        <v/>
      </c>
      <c r="X146" s="39" t="str">
        <f t="shared" si="13"/>
        <v/>
      </c>
      <c r="Y146" s="64"/>
      <c r="Z146" s="67"/>
      <c r="AA146" s="65"/>
      <c r="AB146" s="14"/>
      <c r="AC146" s="66"/>
      <c r="AD146" s="65"/>
      <c r="AE146" s="44">
        <f t="shared" si="17"/>
        <v>0</v>
      </c>
      <c r="AF146" s="45" t="str">
        <f t="shared" si="20"/>
        <v>#DIV/0!</v>
      </c>
    </row>
    <row r="147" ht="15.75" customHeight="1">
      <c r="A147" s="3"/>
      <c r="B147" s="3"/>
      <c r="C147" s="38"/>
      <c r="D147" s="38"/>
      <c r="E147" s="38"/>
      <c r="F147" s="14"/>
      <c r="G147" s="5" t="str">
        <f t="array" ref="G147">IF($A147="","",IFERROR($F147*(N($C147)*XLOOKUP($B147,Ceras!$A$2:$A$500,Ceras!$G$2:$G$500,0)+IF($D147="",0,N($E147)*XLOOKUP($D147,Ceras!$A$2:$A$500,Ceras!$G$2:$G$500,0))),"Revisar cera"))</f>
        <v/>
      </c>
      <c r="H147" s="5"/>
      <c r="I147" s="3"/>
      <c r="J147" s="14"/>
      <c r="K147" s="5" t="str">
        <f t="array" ref="K147">IF($A147="","",IFERROR($J147*XLOOKUP($I147,Pabilos!$A$2:$A$500,Pabilos!$H$2:$H$500,0),"Revisar pabilo"))</f>
        <v/>
      </c>
      <c r="L147" s="3"/>
      <c r="M147" s="14"/>
      <c r="N147" s="5" t="str">
        <f t="array" ref="N147">IF($A147="","",IFERROR($M147*XLOOKUP($L147,Esencias!$A$2:$A$501,Esencias!$G$2:$G$501,0),"Revisar esencia"))</f>
        <v/>
      </c>
      <c r="O147" s="3"/>
      <c r="P147" s="14"/>
      <c r="Q147" s="5" t="str">
        <f t="array" ref="Q147">IF($A147="","",IFERROR(IF($P147="",1,$P147)*XLOOKUP($O147,Colores!$A$2:$A$500,Colores!$H$2:$H$500,0),"Revisar color"))</f>
        <v/>
      </c>
      <c r="R147" s="3"/>
      <c r="S147" s="5" t="str">
        <f t="array" ref="S147">IF($A147="","",IF($R147="",0,IFERROR(VLOOKUP(LEFT(TRIM(MID(SUBSTITUTE($R147,";",REPT(" ",99)),1,99)),FIND(":",TRIM(MID(SUBSTITUTE($R147,";",REPT(" ",99)),1,99)))-1),Materiales!$A$2:$E$502,5,FALSE)*VALUE(MID(TRIM(MID(SUBSTITUTE($R147,";",REPT(" ",99)),1,99)),FIND(":",TRIM(MID(SUBSTITUTE($R147,";",REPT(" ",99)),1,99)))+1,99)),0) + IFERROR(VLOOKUP(LEFT(TRIM(MID(SUBSTITUTE($R147,";",REPT(" ",99)),100,99)),FIND(":",TRIM(MID(SUBSTITUTE($R147,";",REPT(" ",99)),100,99)))-1),Materiales!$A$2:$E$502,5,FALSE)*VALUE(MID(TRIM(MID(SUBSTITUTE($R147,";",REPT(" ",99)),100,99)),FIND(":",TRIM(MID(SUBSTITUTE($R147,";",REPT(" ",99)),100,99)))+1,99)),0) + IFERROR(VLOOKUP(LEFT(TRIM(MID(SUBSTITUTE($R147,";",REPT(" ",99)),199,99)),FIND(":",TRIM(MID(SUBSTITUTE($R147,";",REPT(" ",99)),199,99)))-1),Materiales!$A$2:$E$502,5,FALSE)*VALUE(MID(TRIM(MID(SUBSTITUTE($R147,";",REPT(" ",99)),199,99)),FIND(":",TRIM(MID(SUBSTITUTE($R147,";",REPT(" ",99)),199,99)))+1,99)),0) + IFERROR(VLOOKUP(LEFT(TRIM(MID(SUBSTITUTE($R147,";",REPT(" ",99)),298,99)),FIND(":",TRIM(MID(SUBSTITUTE($R147,";",REPT(" ",99)),298,99)))-1),Materiales!$A$2:$E$502,5,FALSE)*VALUE(MID(TRIM(MID(SUBSTITUTE($R147,";",REPT(" ",99)),298,99)),FIND(":",TRIM(MID(SUBSTITUTE($R147,";",REPT(" ",99)),298,99)))+1,99)),0) + IFERROR(VLOOKUP(LEFT(TRIM(MID(SUBSTITUTE($R147,";",REPT(" ",99)),397,99)),FIND(":",TRIM(MID(SUBSTITUTE($R147,";",REPT(" ",99)),397,99)))-1),Materiales!$A$2:$E$502,5,FALSE)*VALUE(MID(TRIM(MID(SUBSTITUTE($R147,";",REPT(" ",99)),397,99)),FIND(":",TRIM(MID(SUBSTITUTE($R147,";",REPT(" ",99)),397,99)))+1,99)),0) + IFERROR(VLOOKUP(LEFT(TRIM(MID(SUBSTITUTE($R147,";",REPT(" ",99)),496,99)),FIND(":",TRIM(MID(SUBSTITUTE($R147,";",REPT(" ",99)),496,99)))-1),Materiales!$A$2:$E$502,5,FALSE)*VALUE(MID(TRIM(MID(SUBSTITUTE($R147,";",REPT(" ",99)),496,99)),FIND(":",TRIM(MID(SUBSTITUTE($R147,";",REPT(" ",99)),496,99)))+1,99)),0) + IFERROR(VLOOKUP(LEFT(TRIM(MID(SUBSTITUTE($R147,";",REPT(" ",99)),595,99)),FIND(":",TRIM(MID(SUBSTITUTE($R147,";",REPT(" ",99)),595,99)))-1),Materiales!$A$2:$E$502,5,FALSE)*VALUE(MID(TRIM(MID(SUBSTITUTE($R147,";",REPT(" ",99)),595,99)),FIND(":",TRIM(MID(SUBSTITUTE($R147,";",REPT(" ",99)),595,99)))+1,99)),0) + IFERROR(VLOOKUP(LEFT(TRIM(MID(SUBSTITUTE($R147,";",REPT(" ",99)),694,99)),FIND(":",TRIM(MID(SUBSTITUTE($R147,";",REPT(" ",99)),694,99)))-1),Materiales!$A$2:$E$502,5,FALSE)*VALUE(MID(TRIM(MID(SUBSTITUTE($R147,";",REPT(" ",99)),694,99)),FIND(":",TRIM(MID(SUBSTITUTE($R147,";",REPT(" ",99)),694,99)))+1,99)),0) + IFERROR(VLOOKUP(LEFT(TRIM(MID(SUBSTITUTE($R147,";",REPT(" ",99)),793,99)),FIND(":",TRIM(MID(SUBSTITUTE($R147,";",REPT(" ",99)),793,99)))-1),Materiales!$A$2:$E$502,5,FALSE)*VALUE(MID(TRIM(MID(SUBSTITUTE($R147,";",REPT(" ",99)),793,99)),FIND(":",TRIM(MID(SUBSTITUTE($R147,";",REPT(" ",99)),793,99)))+1,99)),0) + IFERROR(VLOOKUP(LEFT(TRIM(MID(SUBSTITUTE($R147,";",REPT(" ",99)),892,99)),FIND(":",TRIM(MID(SUBSTITUTE($R147,";",REPT(" ",99)),892,99)))-1),Materiales!$A$2:$E$502,5,FALSE)*VALUE(MID(TRIM(MID(SUBSTITUTE($R147,";",REPT(" ",99)),892,99)),FIND(":",TRIM(MID(SUBSTITUTE($R147,";",REPT(" ",99)),892,99)))+1,99)),0)))</f>
        <v/>
      </c>
      <c r="T147" s="3"/>
      <c r="U147" s="5" t="str">
        <f t="array" ref="U147">IF($A147="","",IF($T147="",0,IFERROR(VLOOKUP(LEFT(TRIM(MID(SUBSTITUTE($T147,";",REPT(" ",99)),1,99)),FIND(":",TRIM(MID(SUBSTITUTE($T147,";",REPT(" ",99)),1,99)))-1),Materiales!$A$2:$E$502,5,FALSE)*VALUE(MID(TRIM(MID(SUBSTITUTE($T147,";",REPT(" ",99)),1,99)),FIND(":",TRIM(MID(SUBSTITUTE($T147,";",REPT(" ",99)),1,99)))+1,99)),0) + IFERROR(VLOOKUP(LEFT(TRIM(MID(SUBSTITUTE($T147,";",REPT(" ",99)),100,99)),FIND(":",TRIM(MID(SUBSTITUTE($T147,";",REPT(" ",99)),100,99)))-1),Materiales!$A$2:$E$502,5,FALSE)*VALUE(MID(TRIM(MID(SUBSTITUTE($T147,";",REPT(" ",99)),100,99)),FIND(":",TRIM(MID(SUBSTITUTE($T147,";",REPT(" ",99)),100,99)))+1,99)),0) + IFERROR(VLOOKUP(LEFT(TRIM(MID(SUBSTITUTE($T147,";",REPT(" ",99)),199,99)),FIND(":",TRIM(MID(SUBSTITUTE($T147,";",REPT(" ",99)),199,99)))-1),Materiales!$A$2:$E$502,5,FALSE)*VALUE(MID(TRIM(MID(SUBSTITUTE($T147,";",REPT(" ",99)),199,99)),FIND(":",TRIM(MID(SUBSTITUTE($T147,";",REPT(" ",99)),199,99)))+1,99)),0) + IFERROR(VLOOKUP(LEFT(TRIM(MID(SUBSTITUTE($T147,";",REPT(" ",99)),298,99)),FIND(":",TRIM(MID(SUBSTITUTE($T147,";",REPT(" ",99)),298,99)))-1),Materiales!$A$2:$E$502,5,FALSE)*VALUE(MID(TRIM(MID(SUBSTITUTE($T147,";",REPT(" ",99)),298,99)),FIND(":",TRIM(MID(SUBSTITUTE($T147,";",REPT(" ",99)),298,99)))+1,99)),0) + IFERROR(VLOOKUP(LEFT(TRIM(MID(SUBSTITUTE($T147,";",REPT(" ",99)),397,99)),FIND(":",TRIM(MID(SUBSTITUTE($T147,";",REPT(" ",99)),397,99)))-1),Materiales!$A$2:$E$502,5,FALSE)*VALUE(MID(TRIM(MID(SUBSTITUTE($T147,";",REPT(" ",99)),397,99)),FIND(":",TRIM(MID(SUBSTITUTE($T147,";",REPT(" ",99)),397,99)))+1,99)),0) + IFERROR(VLOOKUP(LEFT(TRIM(MID(SUBSTITUTE($T147,";",REPT(" ",99)),496,99)),FIND(":",TRIM(MID(SUBSTITUTE($T147,";",REPT(" ",99)),496,99)))-1),Materiales!$A$2:$E$502,5,FALSE)*VALUE(MID(TRIM(MID(SUBSTITUTE($T147,";",REPT(" ",99)),496,99)),FIND(":",TRIM(MID(SUBSTITUTE($T147,";",REPT(" ",99)),496,99)))+1,99)),0) + IFERROR(VLOOKUP(LEFT(TRIM(MID(SUBSTITUTE($T147,";",REPT(" ",99)),595,99)),FIND(":",TRIM(MID(SUBSTITUTE($T147,";",REPT(" ",99)),595,99)))-1),Materiales!$A$2:$E$502,5,FALSE)*VALUE(MID(TRIM(MID(SUBSTITUTE($T147,";",REPT(" ",99)),595,99)),FIND(":",TRIM(MID(SUBSTITUTE($T147,";",REPT(" ",99)),595,99)))+1,99)),0) + IFERROR(VLOOKUP(LEFT(TRIM(MID(SUBSTITUTE($T147,";",REPT(" ",99)),694,99)),FIND(":",TRIM(MID(SUBSTITUTE($T147,";",REPT(" ",99)),694,99)))-1),Materiales!$A$2:$E$502,5,FALSE)*VALUE(MID(TRIM(MID(SUBSTITUTE($T147,";",REPT(" ",99)),694,99)),FIND(":",TRIM(MID(SUBSTITUTE($T147,";",REPT(" ",99)),694,99)))+1,99)),0) + IFERROR(VLOOKUP(LEFT(TRIM(MID(SUBSTITUTE($T147,";",REPT(" ",99)),793,99)),FIND(":",TRIM(MID(SUBSTITUTE($T147,";",REPT(" ",99)),793,99)))-1),Materiales!$A$2:$E$502,5,FALSE)*VALUE(MID(TRIM(MID(SUBSTITUTE($T147,";",REPT(" ",99)),793,99)),FIND(":",TRIM(MID(SUBSTITUTE($T147,";",REPT(" ",99)),793,99)))+1,99)),0) + IFERROR(VLOOKUP(LEFT(TRIM(MID(SUBSTITUTE($T147,";",REPT(" ",99)),892,99)),FIND(":",TRIM(MID(SUBSTITUTE($T147,";",REPT(" ",99)),892,99)))-1),Materiales!$A$2:$E$502,5,FALSE)*VALUE(MID(TRIM(MID(SUBSTITUTE($T147,";",REPT(" ",99)),892,99)),FIND(":",TRIM(MID(SUBSTITUTE($T147,";",REPT(" ",99)),892,99)))+1,99)),0)))</f>
        <v/>
      </c>
      <c r="V147" s="3"/>
      <c r="W147" s="5" t="str">
        <f t="array" ref="W147">IF($A147="","",IF($V147="",0,IFERROR(VLOOKUP(LEFT(TRIM(MID(SUBSTITUTE($V147,";",REPT(" ",99)),1,99)),FIND(":",TRIM(MID(SUBSTITUTE($V147,";",REPT(" ",99)),1,99)))-1),Materiales!$A$2:$E$502,5,FALSE)*VALUE(MID(TRIM(MID(SUBSTITUTE($V147,";",REPT(" ",99)),1,99)),FIND(":",TRIM(MID(SUBSTITUTE($V147,";",REPT(" ",99)),1,99)))+1,99)),0) + IFERROR(VLOOKUP(LEFT(TRIM(MID(SUBSTITUTE($V147,";",REPT(" ",99)),100,99)),FIND(":",TRIM(MID(SUBSTITUTE($V147,";",REPT(" ",99)),100,99)))-1),Materiales!$A$2:$E$502,5,FALSE)*VALUE(MID(TRIM(MID(SUBSTITUTE($V147,";",REPT(" ",99)),100,99)),FIND(":",TRIM(MID(SUBSTITUTE($V147,";",REPT(" ",99)),100,99)))+1,99)),0) + IFERROR(VLOOKUP(LEFT(TRIM(MID(SUBSTITUTE($V147,";",REPT(" ",99)),199,99)),FIND(":",TRIM(MID(SUBSTITUTE($V147,";",REPT(" ",99)),199,99)))-1),Materiales!$A$2:$E$502,5,FALSE)*VALUE(MID(TRIM(MID(SUBSTITUTE($V147,";",REPT(" ",99)),199,99)),FIND(":",TRIM(MID(SUBSTITUTE($V147,";",REPT(" ",99)),199,99)))+1,99)),0) + IFERROR(VLOOKUP(LEFT(TRIM(MID(SUBSTITUTE($V147,";",REPT(" ",99)),298,99)),FIND(":",TRIM(MID(SUBSTITUTE($V147,";",REPT(" ",99)),298,99)))-1),Materiales!$A$2:$E$502,5,FALSE)*VALUE(MID(TRIM(MID(SUBSTITUTE($V147,";",REPT(" ",99)),298,99)),FIND(":",TRIM(MID(SUBSTITUTE($V147,";",REPT(" ",99)),298,99)))+1,99)),0) + IFERROR(VLOOKUP(LEFT(TRIM(MID(SUBSTITUTE($V147,";",REPT(" ",99)),397,99)),FIND(":",TRIM(MID(SUBSTITUTE($V147,";",REPT(" ",99)),397,99)))-1),Materiales!$A$2:$E$502,5,FALSE)*VALUE(MID(TRIM(MID(SUBSTITUTE($V147,";",REPT(" ",99)),397,99)),FIND(":",TRIM(MID(SUBSTITUTE($V147,";",REPT(" ",99)),397,99)))+1,99)),0) + IFERROR(VLOOKUP(LEFT(TRIM(MID(SUBSTITUTE($V147,";",REPT(" ",99)),496,99)),FIND(":",TRIM(MID(SUBSTITUTE($V147,";",REPT(" ",99)),496,99)))-1),Materiales!$A$2:$E$502,5,FALSE)*VALUE(MID(TRIM(MID(SUBSTITUTE($V147,";",REPT(" ",99)),496,99)),FIND(":",TRIM(MID(SUBSTITUTE($V147,";",REPT(" ",99)),496,99)))+1,99)),0) + IFERROR(VLOOKUP(LEFT(TRIM(MID(SUBSTITUTE($V147,";",REPT(" ",99)),595,99)),FIND(":",TRIM(MID(SUBSTITUTE($V147,";",REPT(" ",99)),595,99)))-1),Materiales!$A$2:$E$502,5,FALSE)*VALUE(MID(TRIM(MID(SUBSTITUTE($V147,";",REPT(" ",99)),595,99)),FIND(":",TRIM(MID(SUBSTITUTE($V147,";",REPT(" ",99)),595,99)))+1,99)),0) + IFERROR(VLOOKUP(LEFT(TRIM(MID(SUBSTITUTE($V147,";",REPT(" ",99)),694,99)),FIND(":",TRIM(MID(SUBSTITUTE($V147,";",REPT(" ",99)),694,99)))-1),Materiales!$A$2:$E$502,5,FALSE)*VALUE(MID(TRIM(MID(SUBSTITUTE($V147,";",REPT(" ",99)),694,99)),FIND(":",TRIM(MID(SUBSTITUTE($V147,";",REPT(" ",99)),694,99)))+1,99)),0) + IFERROR(VLOOKUP(LEFT(TRIM(MID(SUBSTITUTE($V147,";",REPT(" ",99)),793,99)),FIND(":",TRIM(MID(SUBSTITUTE($V147,";",REPT(" ",99)),793,99)))-1),Materiales!$A$2:$E$502,5,FALSE)*VALUE(MID(TRIM(MID(SUBSTITUTE($V147,";",REPT(" ",99)),793,99)),FIND(":",TRIM(MID(SUBSTITUTE($V147,";",REPT(" ",99)),793,99)))+1,99)),0) + IFERROR(VLOOKUP(LEFT(TRIM(MID(SUBSTITUTE($V147,";",REPT(" ",99)),892,99)),FIND(":",TRIM(MID(SUBSTITUTE($V147,";",REPT(" ",99)),892,99)))-1),Materiales!$A$2:$E$502,5,FALSE)*VALUE(MID(TRIM(MID(SUBSTITUTE($V147,";",REPT(" ",99)),892,99)),FIND(":",TRIM(MID(SUBSTITUTE($V147,";",REPT(" ",99)),892,99)))+1,99)),0)))</f>
        <v/>
      </c>
      <c r="X147" s="39" t="str">
        <f t="shared" si="13"/>
        <v/>
      </c>
      <c r="Y147" s="64"/>
      <c r="Z147" s="67"/>
      <c r="AA147" s="65"/>
      <c r="AB147" s="14"/>
      <c r="AC147" s="66"/>
      <c r="AD147" s="65"/>
      <c r="AE147" s="44">
        <f t="shared" si="17"/>
        <v>0</v>
      </c>
      <c r="AF147" s="45" t="str">
        <f t="shared" si="20"/>
        <v>#DIV/0!</v>
      </c>
    </row>
    <row r="148" ht="15.75" customHeight="1">
      <c r="A148" s="3"/>
      <c r="B148" s="3"/>
      <c r="C148" s="38"/>
      <c r="D148" s="38"/>
      <c r="E148" s="38"/>
      <c r="F148" s="14"/>
      <c r="G148" s="5" t="str">
        <f t="array" ref="G148">IF($A148="","",IFERROR($F148*(N($C148)*XLOOKUP($B148,Ceras!$A$2:$A$500,Ceras!$G$2:$G$500,0)+IF($D148="",0,N($E148)*XLOOKUP($D148,Ceras!$A$2:$A$500,Ceras!$G$2:$G$500,0))),"Revisar cera"))</f>
        <v/>
      </c>
      <c r="H148" s="5"/>
      <c r="I148" s="3"/>
      <c r="J148" s="14"/>
      <c r="K148" s="5" t="str">
        <f t="array" ref="K148">IF($A148="","",IFERROR($J148*XLOOKUP($I148,Pabilos!$A$2:$A$500,Pabilos!$H$2:$H$500,0),"Revisar pabilo"))</f>
        <v/>
      </c>
      <c r="L148" s="3"/>
      <c r="M148" s="14"/>
      <c r="N148" s="5" t="str">
        <f t="array" ref="N148">IF($A148="","",IFERROR($M148*XLOOKUP($L148,Esencias!$A$2:$A$501,Esencias!$G$2:$G$501,0),"Revisar esencia"))</f>
        <v/>
      </c>
      <c r="O148" s="3"/>
      <c r="P148" s="14"/>
      <c r="Q148" s="5" t="str">
        <f t="array" ref="Q148">IF($A148="","",IFERROR(IF($P148="",1,$P148)*XLOOKUP($O148,Colores!$A$2:$A$500,Colores!$H$2:$H$500,0),"Revisar color"))</f>
        <v/>
      </c>
      <c r="R148" s="3"/>
      <c r="S148" s="5" t="str">
        <f t="array" ref="S148">IF($A148="","",IF($R148="",0,IFERROR(VLOOKUP(LEFT(TRIM(MID(SUBSTITUTE($R148,";",REPT(" ",99)),1,99)),FIND(":",TRIM(MID(SUBSTITUTE($R148,";",REPT(" ",99)),1,99)))-1),Materiales!$A$2:$E$502,5,FALSE)*VALUE(MID(TRIM(MID(SUBSTITUTE($R148,";",REPT(" ",99)),1,99)),FIND(":",TRIM(MID(SUBSTITUTE($R148,";",REPT(" ",99)),1,99)))+1,99)),0) + IFERROR(VLOOKUP(LEFT(TRIM(MID(SUBSTITUTE($R148,";",REPT(" ",99)),100,99)),FIND(":",TRIM(MID(SUBSTITUTE($R148,";",REPT(" ",99)),100,99)))-1),Materiales!$A$2:$E$502,5,FALSE)*VALUE(MID(TRIM(MID(SUBSTITUTE($R148,";",REPT(" ",99)),100,99)),FIND(":",TRIM(MID(SUBSTITUTE($R148,";",REPT(" ",99)),100,99)))+1,99)),0) + IFERROR(VLOOKUP(LEFT(TRIM(MID(SUBSTITUTE($R148,";",REPT(" ",99)),199,99)),FIND(":",TRIM(MID(SUBSTITUTE($R148,";",REPT(" ",99)),199,99)))-1),Materiales!$A$2:$E$502,5,FALSE)*VALUE(MID(TRIM(MID(SUBSTITUTE($R148,";",REPT(" ",99)),199,99)),FIND(":",TRIM(MID(SUBSTITUTE($R148,";",REPT(" ",99)),199,99)))+1,99)),0) + IFERROR(VLOOKUP(LEFT(TRIM(MID(SUBSTITUTE($R148,";",REPT(" ",99)),298,99)),FIND(":",TRIM(MID(SUBSTITUTE($R148,";",REPT(" ",99)),298,99)))-1),Materiales!$A$2:$E$502,5,FALSE)*VALUE(MID(TRIM(MID(SUBSTITUTE($R148,";",REPT(" ",99)),298,99)),FIND(":",TRIM(MID(SUBSTITUTE($R148,";",REPT(" ",99)),298,99)))+1,99)),0) + IFERROR(VLOOKUP(LEFT(TRIM(MID(SUBSTITUTE($R148,";",REPT(" ",99)),397,99)),FIND(":",TRIM(MID(SUBSTITUTE($R148,";",REPT(" ",99)),397,99)))-1),Materiales!$A$2:$E$502,5,FALSE)*VALUE(MID(TRIM(MID(SUBSTITUTE($R148,";",REPT(" ",99)),397,99)),FIND(":",TRIM(MID(SUBSTITUTE($R148,";",REPT(" ",99)),397,99)))+1,99)),0) + IFERROR(VLOOKUP(LEFT(TRIM(MID(SUBSTITUTE($R148,";",REPT(" ",99)),496,99)),FIND(":",TRIM(MID(SUBSTITUTE($R148,";",REPT(" ",99)),496,99)))-1),Materiales!$A$2:$E$502,5,FALSE)*VALUE(MID(TRIM(MID(SUBSTITUTE($R148,";",REPT(" ",99)),496,99)),FIND(":",TRIM(MID(SUBSTITUTE($R148,";",REPT(" ",99)),496,99)))+1,99)),0) + IFERROR(VLOOKUP(LEFT(TRIM(MID(SUBSTITUTE($R148,";",REPT(" ",99)),595,99)),FIND(":",TRIM(MID(SUBSTITUTE($R148,";",REPT(" ",99)),595,99)))-1),Materiales!$A$2:$E$502,5,FALSE)*VALUE(MID(TRIM(MID(SUBSTITUTE($R148,";",REPT(" ",99)),595,99)),FIND(":",TRIM(MID(SUBSTITUTE($R148,";",REPT(" ",99)),595,99)))+1,99)),0) + IFERROR(VLOOKUP(LEFT(TRIM(MID(SUBSTITUTE($R148,";",REPT(" ",99)),694,99)),FIND(":",TRIM(MID(SUBSTITUTE($R148,";",REPT(" ",99)),694,99)))-1),Materiales!$A$2:$E$502,5,FALSE)*VALUE(MID(TRIM(MID(SUBSTITUTE($R148,";",REPT(" ",99)),694,99)),FIND(":",TRIM(MID(SUBSTITUTE($R148,";",REPT(" ",99)),694,99)))+1,99)),0) + IFERROR(VLOOKUP(LEFT(TRIM(MID(SUBSTITUTE($R148,";",REPT(" ",99)),793,99)),FIND(":",TRIM(MID(SUBSTITUTE($R148,";",REPT(" ",99)),793,99)))-1),Materiales!$A$2:$E$502,5,FALSE)*VALUE(MID(TRIM(MID(SUBSTITUTE($R148,";",REPT(" ",99)),793,99)),FIND(":",TRIM(MID(SUBSTITUTE($R148,";",REPT(" ",99)),793,99)))+1,99)),0) + IFERROR(VLOOKUP(LEFT(TRIM(MID(SUBSTITUTE($R148,";",REPT(" ",99)),892,99)),FIND(":",TRIM(MID(SUBSTITUTE($R148,";",REPT(" ",99)),892,99)))-1),Materiales!$A$2:$E$502,5,FALSE)*VALUE(MID(TRIM(MID(SUBSTITUTE($R148,";",REPT(" ",99)),892,99)),FIND(":",TRIM(MID(SUBSTITUTE($R148,";",REPT(" ",99)),892,99)))+1,99)),0)))</f>
        <v/>
      </c>
      <c r="T148" s="3"/>
      <c r="U148" s="5" t="str">
        <f t="array" ref="U148">IF($A148="","",IF($T148="",0,IFERROR(VLOOKUP(LEFT(TRIM(MID(SUBSTITUTE($T148,";",REPT(" ",99)),1,99)),FIND(":",TRIM(MID(SUBSTITUTE($T148,";",REPT(" ",99)),1,99)))-1),Materiales!$A$2:$E$502,5,FALSE)*VALUE(MID(TRIM(MID(SUBSTITUTE($T148,";",REPT(" ",99)),1,99)),FIND(":",TRIM(MID(SUBSTITUTE($T148,";",REPT(" ",99)),1,99)))+1,99)),0) + IFERROR(VLOOKUP(LEFT(TRIM(MID(SUBSTITUTE($T148,";",REPT(" ",99)),100,99)),FIND(":",TRIM(MID(SUBSTITUTE($T148,";",REPT(" ",99)),100,99)))-1),Materiales!$A$2:$E$502,5,FALSE)*VALUE(MID(TRIM(MID(SUBSTITUTE($T148,";",REPT(" ",99)),100,99)),FIND(":",TRIM(MID(SUBSTITUTE($T148,";",REPT(" ",99)),100,99)))+1,99)),0) + IFERROR(VLOOKUP(LEFT(TRIM(MID(SUBSTITUTE($T148,";",REPT(" ",99)),199,99)),FIND(":",TRIM(MID(SUBSTITUTE($T148,";",REPT(" ",99)),199,99)))-1),Materiales!$A$2:$E$502,5,FALSE)*VALUE(MID(TRIM(MID(SUBSTITUTE($T148,";",REPT(" ",99)),199,99)),FIND(":",TRIM(MID(SUBSTITUTE($T148,";",REPT(" ",99)),199,99)))+1,99)),0) + IFERROR(VLOOKUP(LEFT(TRIM(MID(SUBSTITUTE($T148,";",REPT(" ",99)),298,99)),FIND(":",TRIM(MID(SUBSTITUTE($T148,";",REPT(" ",99)),298,99)))-1),Materiales!$A$2:$E$502,5,FALSE)*VALUE(MID(TRIM(MID(SUBSTITUTE($T148,";",REPT(" ",99)),298,99)),FIND(":",TRIM(MID(SUBSTITUTE($T148,";",REPT(" ",99)),298,99)))+1,99)),0) + IFERROR(VLOOKUP(LEFT(TRIM(MID(SUBSTITUTE($T148,";",REPT(" ",99)),397,99)),FIND(":",TRIM(MID(SUBSTITUTE($T148,";",REPT(" ",99)),397,99)))-1),Materiales!$A$2:$E$502,5,FALSE)*VALUE(MID(TRIM(MID(SUBSTITUTE($T148,";",REPT(" ",99)),397,99)),FIND(":",TRIM(MID(SUBSTITUTE($T148,";",REPT(" ",99)),397,99)))+1,99)),0) + IFERROR(VLOOKUP(LEFT(TRIM(MID(SUBSTITUTE($T148,";",REPT(" ",99)),496,99)),FIND(":",TRIM(MID(SUBSTITUTE($T148,";",REPT(" ",99)),496,99)))-1),Materiales!$A$2:$E$502,5,FALSE)*VALUE(MID(TRIM(MID(SUBSTITUTE($T148,";",REPT(" ",99)),496,99)),FIND(":",TRIM(MID(SUBSTITUTE($T148,";",REPT(" ",99)),496,99)))+1,99)),0) + IFERROR(VLOOKUP(LEFT(TRIM(MID(SUBSTITUTE($T148,";",REPT(" ",99)),595,99)),FIND(":",TRIM(MID(SUBSTITUTE($T148,";",REPT(" ",99)),595,99)))-1),Materiales!$A$2:$E$502,5,FALSE)*VALUE(MID(TRIM(MID(SUBSTITUTE($T148,";",REPT(" ",99)),595,99)),FIND(":",TRIM(MID(SUBSTITUTE($T148,";",REPT(" ",99)),595,99)))+1,99)),0) + IFERROR(VLOOKUP(LEFT(TRIM(MID(SUBSTITUTE($T148,";",REPT(" ",99)),694,99)),FIND(":",TRIM(MID(SUBSTITUTE($T148,";",REPT(" ",99)),694,99)))-1),Materiales!$A$2:$E$502,5,FALSE)*VALUE(MID(TRIM(MID(SUBSTITUTE($T148,";",REPT(" ",99)),694,99)),FIND(":",TRIM(MID(SUBSTITUTE($T148,";",REPT(" ",99)),694,99)))+1,99)),0) + IFERROR(VLOOKUP(LEFT(TRIM(MID(SUBSTITUTE($T148,";",REPT(" ",99)),793,99)),FIND(":",TRIM(MID(SUBSTITUTE($T148,";",REPT(" ",99)),793,99)))-1),Materiales!$A$2:$E$502,5,FALSE)*VALUE(MID(TRIM(MID(SUBSTITUTE($T148,";",REPT(" ",99)),793,99)),FIND(":",TRIM(MID(SUBSTITUTE($T148,";",REPT(" ",99)),793,99)))+1,99)),0) + IFERROR(VLOOKUP(LEFT(TRIM(MID(SUBSTITUTE($T148,";",REPT(" ",99)),892,99)),FIND(":",TRIM(MID(SUBSTITUTE($T148,";",REPT(" ",99)),892,99)))-1),Materiales!$A$2:$E$502,5,FALSE)*VALUE(MID(TRIM(MID(SUBSTITUTE($T148,";",REPT(" ",99)),892,99)),FIND(":",TRIM(MID(SUBSTITUTE($T148,";",REPT(" ",99)),892,99)))+1,99)),0)))</f>
        <v/>
      </c>
      <c r="V148" s="3"/>
      <c r="W148" s="5" t="str">
        <f t="array" ref="W148">IF($A148="","",IF($V148="",0,IFERROR(VLOOKUP(LEFT(TRIM(MID(SUBSTITUTE($V148,";",REPT(" ",99)),1,99)),FIND(":",TRIM(MID(SUBSTITUTE($V148,";",REPT(" ",99)),1,99)))-1),Materiales!$A$2:$E$502,5,FALSE)*VALUE(MID(TRIM(MID(SUBSTITUTE($V148,";",REPT(" ",99)),1,99)),FIND(":",TRIM(MID(SUBSTITUTE($V148,";",REPT(" ",99)),1,99)))+1,99)),0) + IFERROR(VLOOKUP(LEFT(TRIM(MID(SUBSTITUTE($V148,";",REPT(" ",99)),100,99)),FIND(":",TRIM(MID(SUBSTITUTE($V148,";",REPT(" ",99)),100,99)))-1),Materiales!$A$2:$E$502,5,FALSE)*VALUE(MID(TRIM(MID(SUBSTITUTE($V148,";",REPT(" ",99)),100,99)),FIND(":",TRIM(MID(SUBSTITUTE($V148,";",REPT(" ",99)),100,99)))+1,99)),0) + IFERROR(VLOOKUP(LEFT(TRIM(MID(SUBSTITUTE($V148,";",REPT(" ",99)),199,99)),FIND(":",TRIM(MID(SUBSTITUTE($V148,";",REPT(" ",99)),199,99)))-1),Materiales!$A$2:$E$502,5,FALSE)*VALUE(MID(TRIM(MID(SUBSTITUTE($V148,";",REPT(" ",99)),199,99)),FIND(":",TRIM(MID(SUBSTITUTE($V148,";",REPT(" ",99)),199,99)))+1,99)),0) + IFERROR(VLOOKUP(LEFT(TRIM(MID(SUBSTITUTE($V148,";",REPT(" ",99)),298,99)),FIND(":",TRIM(MID(SUBSTITUTE($V148,";",REPT(" ",99)),298,99)))-1),Materiales!$A$2:$E$502,5,FALSE)*VALUE(MID(TRIM(MID(SUBSTITUTE($V148,";",REPT(" ",99)),298,99)),FIND(":",TRIM(MID(SUBSTITUTE($V148,";",REPT(" ",99)),298,99)))+1,99)),0) + IFERROR(VLOOKUP(LEFT(TRIM(MID(SUBSTITUTE($V148,";",REPT(" ",99)),397,99)),FIND(":",TRIM(MID(SUBSTITUTE($V148,";",REPT(" ",99)),397,99)))-1),Materiales!$A$2:$E$502,5,FALSE)*VALUE(MID(TRIM(MID(SUBSTITUTE($V148,";",REPT(" ",99)),397,99)),FIND(":",TRIM(MID(SUBSTITUTE($V148,";",REPT(" ",99)),397,99)))+1,99)),0) + IFERROR(VLOOKUP(LEFT(TRIM(MID(SUBSTITUTE($V148,";",REPT(" ",99)),496,99)),FIND(":",TRIM(MID(SUBSTITUTE($V148,";",REPT(" ",99)),496,99)))-1),Materiales!$A$2:$E$502,5,FALSE)*VALUE(MID(TRIM(MID(SUBSTITUTE($V148,";",REPT(" ",99)),496,99)),FIND(":",TRIM(MID(SUBSTITUTE($V148,";",REPT(" ",99)),496,99)))+1,99)),0) + IFERROR(VLOOKUP(LEFT(TRIM(MID(SUBSTITUTE($V148,";",REPT(" ",99)),595,99)),FIND(":",TRIM(MID(SUBSTITUTE($V148,";",REPT(" ",99)),595,99)))-1),Materiales!$A$2:$E$502,5,FALSE)*VALUE(MID(TRIM(MID(SUBSTITUTE($V148,";",REPT(" ",99)),595,99)),FIND(":",TRIM(MID(SUBSTITUTE($V148,";",REPT(" ",99)),595,99)))+1,99)),0) + IFERROR(VLOOKUP(LEFT(TRIM(MID(SUBSTITUTE($V148,";",REPT(" ",99)),694,99)),FIND(":",TRIM(MID(SUBSTITUTE($V148,";",REPT(" ",99)),694,99)))-1),Materiales!$A$2:$E$502,5,FALSE)*VALUE(MID(TRIM(MID(SUBSTITUTE($V148,";",REPT(" ",99)),694,99)),FIND(":",TRIM(MID(SUBSTITUTE($V148,";",REPT(" ",99)),694,99)))+1,99)),0) + IFERROR(VLOOKUP(LEFT(TRIM(MID(SUBSTITUTE($V148,";",REPT(" ",99)),793,99)),FIND(":",TRIM(MID(SUBSTITUTE($V148,";",REPT(" ",99)),793,99)))-1),Materiales!$A$2:$E$502,5,FALSE)*VALUE(MID(TRIM(MID(SUBSTITUTE($V148,";",REPT(" ",99)),793,99)),FIND(":",TRIM(MID(SUBSTITUTE($V148,";",REPT(" ",99)),793,99)))+1,99)),0) + IFERROR(VLOOKUP(LEFT(TRIM(MID(SUBSTITUTE($V148,";",REPT(" ",99)),892,99)),FIND(":",TRIM(MID(SUBSTITUTE($V148,";",REPT(" ",99)),892,99)))-1),Materiales!$A$2:$E$502,5,FALSE)*VALUE(MID(TRIM(MID(SUBSTITUTE($V148,";",REPT(" ",99)),892,99)),FIND(":",TRIM(MID(SUBSTITUTE($V148,";",REPT(" ",99)),892,99)))+1,99)),0)))</f>
        <v/>
      </c>
      <c r="X148" s="39" t="str">
        <f t="shared" si="13"/>
        <v/>
      </c>
      <c r="Y148" s="64"/>
      <c r="Z148" s="67"/>
      <c r="AA148" s="65"/>
      <c r="AB148" s="14"/>
      <c r="AC148" s="66"/>
      <c r="AD148" s="65"/>
      <c r="AE148" s="44">
        <f t="shared" si="17"/>
        <v>0</v>
      </c>
      <c r="AF148" s="45" t="str">
        <f t="shared" si="20"/>
        <v>#DIV/0!</v>
      </c>
    </row>
    <row r="149" ht="15.75" customHeight="1">
      <c r="A149" s="3"/>
      <c r="B149" s="3"/>
      <c r="C149" s="38"/>
      <c r="D149" s="38"/>
      <c r="E149" s="38"/>
      <c r="F149" s="14"/>
      <c r="G149" s="5" t="str">
        <f t="array" ref="G149">IF($A149="","",IFERROR($F149*(N($C149)*XLOOKUP($B149,Ceras!$A$2:$A$500,Ceras!$G$2:$G$500,0)+IF($D149="",0,N($E149)*XLOOKUP($D149,Ceras!$A$2:$A$500,Ceras!$G$2:$G$500,0))),"Revisar cera"))</f>
        <v/>
      </c>
      <c r="H149" s="5"/>
      <c r="I149" s="3"/>
      <c r="J149" s="14"/>
      <c r="K149" s="5" t="str">
        <f t="array" ref="K149">IF($A149="","",IFERROR($J149*XLOOKUP($I149,Pabilos!$A$2:$A$500,Pabilos!$H$2:$H$500,0),"Revisar pabilo"))</f>
        <v/>
      </c>
      <c r="L149" s="3"/>
      <c r="M149" s="14"/>
      <c r="N149" s="5" t="str">
        <f t="array" ref="N149">IF($A149="","",IFERROR($M149*XLOOKUP($L149,Esencias!$A$2:$A$501,Esencias!$G$2:$G$501,0),"Revisar esencia"))</f>
        <v/>
      </c>
      <c r="O149" s="3"/>
      <c r="P149" s="14"/>
      <c r="Q149" s="5" t="str">
        <f t="array" ref="Q149">IF($A149="","",IFERROR(IF($P149="",1,$P149)*XLOOKUP($O149,Colores!$A$2:$A$500,Colores!$H$2:$H$500,0),"Revisar color"))</f>
        <v/>
      </c>
      <c r="R149" s="3"/>
      <c r="S149" s="5" t="str">
        <f t="array" ref="S149">IF($A149="","",IF($R149="",0,IFERROR(VLOOKUP(LEFT(TRIM(MID(SUBSTITUTE($R149,";",REPT(" ",99)),1,99)),FIND(":",TRIM(MID(SUBSTITUTE($R149,";",REPT(" ",99)),1,99)))-1),Materiales!$A$2:$E$502,5,FALSE)*VALUE(MID(TRIM(MID(SUBSTITUTE($R149,";",REPT(" ",99)),1,99)),FIND(":",TRIM(MID(SUBSTITUTE($R149,";",REPT(" ",99)),1,99)))+1,99)),0) + IFERROR(VLOOKUP(LEFT(TRIM(MID(SUBSTITUTE($R149,";",REPT(" ",99)),100,99)),FIND(":",TRIM(MID(SUBSTITUTE($R149,";",REPT(" ",99)),100,99)))-1),Materiales!$A$2:$E$502,5,FALSE)*VALUE(MID(TRIM(MID(SUBSTITUTE($R149,";",REPT(" ",99)),100,99)),FIND(":",TRIM(MID(SUBSTITUTE($R149,";",REPT(" ",99)),100,99)))+1,99)),0) + IFERROR(VLOOKUP(LEFT(TRIM(MID(SUBSTITUTE($R149,";",REPT(" ",99)),199,99)),FIND(":",TRIM(MID(SUBSTITUTE($R149,";",REPT(" ",99)),199,99)))-1),Materiales!$A$2:$E$502,5,FALSE)*VALUE(MID(TRIM(MID(SUBSTITUTE($R149,";",REPT(" ",99)),199,99)),FIND(":",TRIM(MID(SUBSTITUTE($R149,";",REPT(" ",99)),199,99)))+1,99)),0) + IFERROR(VLOOKUP(LEFT(TRIM(MID(SUBSTITUTE($R149,";",REPT(" ",99)),298,99)),FIND(":",TRIM(MID(SUBSTITUTE($R149,";",REPT(" ",99)),298,99)))-1),Materiales!$A$2:$E$502,5,FALSE)*VALUE(MID(TRIM(MID(SUBSTITUTE($R149,";",REPT(" ",99)),298,99)),FIND(":",TRIM(MID(SUBSTITUTE($R149,";",REPT(" ",99)),298,99)))+1,99)),0) + IFERROR(VLOOKUP(LEFT(TRIM(MID(SUBSTITUTE($R149,";",REPT(" ",99)),397,99)),FIND(":",TRIM(MID(SUBSTITUTE($R149,";",REPT(" ",99)),397,99)))-1),Materiales!$A$2:$E$502,5,FALSE)*VALUE(MID(TRIM(MID(SUBSTITUTE($R149,";",REPT(" ",99)),397,99)),FIND(":",TRIM(MID(SUBSTITUTE($R149,";",REPT(" ",99)),397,99)))+1,99)),0) + IFERROR(VLOOKUP(LEFT(TRIM(MID(SUBSTITUTE($R149,";",REPT(" ",99)),496,99)),FIND(":",TRIM(MID(SUBSTITUTE($R149,";",REPT(" ",99)),496,99)))-1),Materiales!$A$2:$E$502,5,FALSE)*VALUE(MID(TRIM(MID(SUBSTITUTE($R149,";",REPT(" ",99)),496,99)),FIND(":",TRIM(MID(SUBSTITUTE($R149,";",REPT(" ",99)),496,99)))+1,99)),0) + IFERROR(VLOOKUP(LEFT(TRIM(MID(SUBSTITUTE($R149,";",REPT(" ",99)),595,99)),FIND(":",TRIM(MID(SUBSTITUTE($R149,";",REPT(" ",99)),595,99)))-1),Materiales!$A$2:$E$502,5,FALSE)*VALUE(MID(TRIM(MID(SUBSTITUTE($R149,";",REPT(" ",99)),595,99)),FIND(":",TRIM(MID(SUBSTITUTE($R149,";",REPT(" ",99)),595,99)))+1,99)),0) + IFERROR(VLOOKUP(LEFT(TRIM(MID(SUBSTITUTE($R149,";",REPT(" ",99)),694,99)),FIND(":",TRIM(MID(SUBSTITUTE($R149,";",REPT(" ",99)),694,99)))-1),Materiales!$A$2:$E$502,5,FALSE)*VALUE(MID(TRIM(MID(SUBSTITUTE($R149,";",REPT(" ",99)),694,99)),FIND(":",TRIM(MID(SUBSTITUTE($R149,";",REPT(" ",99)),694,99)))+1,99)),0) + IFERROR(VLOOKUP(LEFT(TRIM(MID(SUBSTITUTE($R149,";",REPT(" ",99)),793,99)),FIND(":",TRIM(MID(SUBSTITUTE($R149,";",REPT(" ",99)),793,99)))-1),Materiales!$A$2:$E$502,5,FALSE)*VALUE(MID(TRIM(MID(SUBSTITUTE($R149,";",REPT(" ",99)),793,99)),FIND(":",TRIM(MID(SUBSTITUTE($R149,";",REPT(" ",99)),793,99)))+1,99)),0) + IFERROR(VLOOKUP(LEFT(TRIM(MID(SUBSTITUTE($R149,";",REPT(" ",99)),892,99)),FIND(":",TRIM(MID(SUBSTITUTE($R149,";",REPT(" ",99)),892,99)))-1),Materiales!$A$2:$E$502,5,FALSE)*VALUE(MID(TRIM(MID(SUBSTITUTE($R149,";",REPT(" ",99)),892,99)),FIND(":",TRIM(MID(SUBSTITUTE($R149,";",REPT(" ",99)),892,99)))+1,99)),0)))</f>
        <v/>
      </c>
      <c r="T149" s="3"/>
      <c r="U149" s="5" t="str">
        <f t="array" ref="U149">IF($A149="","",IF($T149="",0,IFERROR(VLOOKUP(LEFT(TRIM(MID(SUBSTITUTE($T149,";",REPT(" ",99)),1,99)),FIND(":",TRIM(MID(SUBSTITUTE($T149,";",REPT(" ",99)),1,99)))-1),Materiales!$A$2:$E$502,5,FALSE)*VALUE(MID(TRIM(MID(SUBSTITUTE($T149,";",REPT(" ",99)),1,99)),FIND(":",TRIM(MID(SUBSTITUTE($T149,";",REPT(" ",99)),1,99)))+1,99)),0) + IFERROR(VLOOKUP(LEFT(TRIM(MID(SUBSTITUTE($T149,";",REPT(" ",99)),100,99)),FIND(":",TRIM(MID(SUBSTITUTE($T149,";",REPT(" ",99)),100,99)))-1),Materiales!$A$2:$E$502,5,FALSE)*VALUE(MID(TRIM(MID(SUBSTITUTE($T149,";",REPT(" ",99)),100,99)),FIND(":",TRIM(MID(SUBSTITUTE($T149,";",REPT(" ",99)),100,99)))+1,99)),0) + IFERROR(VLOOKUP(LEFT(TRIM(MID(SUBSTITUTE($T149,";",REPT(" ",99)),199,99)),FIND(":",TRIM(MID(SUBSTITUTE($T149,";",REPT(" ",99)),199,99)))-1),Materiales!$A$2:$E$502,5,FALSE)*VALUE(MID(TRIM(MID(SUBSTITUTE($T149,";",REPT(" ",99)),199,99)),FIND(":",TRIM(MID(SUBSTITUTE($T149,";",REPT(" ",99)),199,99)))+1,99)),0) + IFERROR(VLOOKUP(LEFT(TRIM(MID(SUBSTITUTE($T149,";",REPT(" ",99)),298,99)),FIND(":",TRIM(MID(SUBSTITUTE($T149,";",REPT(" ",99)),298,99)))-1),Materiales!$A$2:$E$502,5,FALSE)*VALUE(MID(TRIM(MID(SUBSTITUTE($T149,";",REPT(" ",99)),298,99)),FIND(":",TRIM(MID(SUBSTITUTE($T149,";",REPT(" ",99)),298,99)))+1,99)),0) + IFERROR(VLOOKUP(LEFT(TRIM(MID(SUBSTITUTE($T149,";",REPT(" ",99)),397,99)),FIND(":",TRIM(MID(SUBSTITUTE($T149,";",REPT(" ",99)),397,99)))-1),Materiales!$A$2:$E$502,5,FALSE)*VALUE(MID(TRIM(MID(SUBSTITUTE($T149,";",REPT(" ",99)),397,99)),FIND(":",TRIM(MID(SUBSTITUTE($T149,";",REPT(" ",99)),397,99)))+1,99)),0) + IFERROR(VLOOKUP(LEFT(TRIM(MID(SUBSTITUTE($T149,";",REPT(" ",99)),496,99)),FIND(":",TRIM(MID(SUBSTITUTE($T149,";",REPT(" ",99)),496,99)))-1),Materiales!$A$2:$E$502,5,FALSE)*VALUE(MID(TRIM(MID(SUBSTITUTE($T149,";",REPT(" ",99)),496,99)),FIND(":",TRIM(MID(SUBSTITUTE($T149,";",REPT(" ",99)),496,99)))+1,99)),0) + IFERROR(VLOOKUP(LEFT(TRIM(MID(SUBSTITUTE($T149,";",REPT(" ",99)),595,99)),FIND(":",TRIM(MID(SUBSTITUTE($T149,";",REPT(" ",99)),595,99)))-1),Materiales!$A$2:$E$502,5,FALSE)*VALUE(MID(TRIM(MID(SUBSTITUTE($T149,";",REPT(" ",99)),595,99)),FIND(":",TRIM(MID(SUBSTITUTE($T149,";",REPT(" ",99)),595,99)))+1,99)),0) + IFERROR(VLOOKUP(LEFT(TRIM(MID(SUBSTITUTE($T149,";",REPT(" ",99)),694,99)),FIND(":",TRIM(MID(SUBSTITUTE($T149,";",REPT(" ",99)),694,99)))-1),Materiales!$A$2:$E$502,5,FALSE)*VALUE(MID(TRIM(MID(SUBSTITUTE($T149,";",REPT(" ",99)),694,99)),FIND(":",TRIM(MID(SUBSTITUTE($T149,";",REPT(" ",99)),694,99)))+1,99)),0) + IFERROR(VLOOKUP(LEFT(TRIM(MID(SUBSTITUTE($T149,";",REPT(" ",99)),793,99)),FIND(":",TRIM(MID(SUBSTITUTE($T149,";",REPT(" ",99)),793,99)))-1),Materiales!$A$2:$E$502,5,FALSE)*VALUE(MID(TRIM(MID(SUBSTITUTE($T149,";",REPT(" ",99)),793,99)),FIND(":",TRIM(MID(SUBSTITUTE($T149,";",REPT(" ",99)),793,99)))+1,99)),0) + IFERROR(VLOOKUP(LEFT(TRIM(MID(SUBSTITUTE($T149,";",REPT(" ",99)),892,99)),FIND(":",TRIM(MID(SUBSTITUTE($T149,";",REPT(" ",99)),892,99)))-1),Materiales!$A$2:$E$502,5,FALSE)*VALUE(MID(TRIM(MID(SUBSTITUTE($T149,";",REPT(" ",99)),892,99)),FIND(":",TRIM(MID(SUBSTITUTE($T149,";",REPT(" ",99)),892,99)))+1,99)),0)))</f>
        <v/>
      </c>
      <c r="V149" s="3"/>
      <c r="W149" s="5" t="str">
        <f t="array" ref="W149">IF($A149="","",IF($V149="",0,IFERROR(VLOOKUP(LEFT(TRIM(MID(SUBSTITUTE($V149,";",REPT(" ",99)),1,99)),FIND(":",TRIM(MID(SUBSTITUTE($V149,";",REPT(" ",99)),1,99)))-1),Materiales!$A$2:$E$502,5,FALSE)*VALUE(MID(TRIM(MID(SUBSTITUTE($V149,";",REPT(" ",99)),1,99)),FIND(":",TRIM(MID(SUBSTITUTE($V149,";",REPT(" ",99)),1,99)))+1,99)),0) + IFERROR(VLOOKUP(LEFT(TRIM(MID(SUBSTITUTE($V149,";",REPT(" ",99)),100,99)),FIND(":",TRIM(MID(SUBSTITUTE($V149,";",REPT(" ",99)),100,99)))-1),Materiales!$A$2:$E$502,5,FALSE)*VALUE(MID(TRIM(MID(SUBSTITUTE($V149,";",REPT(" ",99)),100,99)),FIND(":",TRIM(MID(SUBSTITUTE($V149,";",REPT(" ",99)),100,99)))+1,99)),0) + IFERROR(VLOOKUP(LEFT(TRIM(MID(SUBSTITUTE($V149,";",REPT(" ",99)),199,99)),FIND(":",TRIM(MID(SUBSTITUTE($V149,";",REPT(" ",99)),199,99)))-1),Materiales!$A$2:$E$502,5,FALSE)*VALUE(MID(TRIM(MID(SUBSTITUTE($V149,";",REPT(" ",99)),199,99)),FIND(":",TRIM(MID(SUBSTITUTE($V149,";",REPT(" ",99)),199,99)))+1,99)),0) + IFERROR(VLOOKUP(LEFT(TRIM(MID(SUBSTITUTE($V149,";",REPT(" ",99)),298,99)),FIND(":",TRIM(MID(SUBSTITUTE($V149,";",REPT(" ",99)),298,99)))-1),Materiales!$A$2:$E$502,5,FALSE)*VALUE(MID(TRIM(MID(SUBSTITUTE($V149,";",REPT(" ",99)),298,99)),FIND(":",TRIM(MID(SUBSTITUTE($V149,";",REPT(" ",99)),298,99)))+1,99)),0) + IFERROR(VLOOKUP(LEFT(TRIM(MID(SUBSTITUTE($V149,";",REPT(" ",99)),397,99)),FIND(":",TRIM(MID(SUBSTITUTE($V149,";",REPT(" ",99)),397,99)))-1),Materiales!$A$2:$E$502,5,FALSE)*VALUE(MID(TRIM(MID(SUBSTITUTE($V149,";",REPT(" ",99)),397,99)),FIND(":",TRIM(MID(SUBSTITUTE($V149,";",REPT(" ",99)),397,99)))+1,99)),0) + IFERROR(VLOOKUP(LEFT(TRIM(MID(SUBSTITUTE($V149,";",REPT(" ",99)),496,99)),FIND(":",TRIM(MID(SUBSTITUTE($V149,";",REPT(" ",99)),496,99)))-1),Materiales!$A$2:$E$502,5,FALSE)*VALUE(MID(TRIM(MID(SUBSTITUTE($V149,";",REPT(" ",99)),496,99)),FIND(":",TRIM(MID(SUBSTITUTE($V149,";",REPT(" ",99)),496,99)))+1,99)),0) + IFERROR(VLOOKUP(LEFT(TRIM(MID(SUBSTITUTE($V149,";",REPT(" ",99)),595,99)),FIND(":",TRIM(MID(SUBSTITUTE($V149,";",REPT(" ",99)),595,99)))-1),Materiales!$A$2:$E$502,5,FALSE)*VALUE(MID(TRIM(MID(SUBSTITUTE($V149,";",REPT(" ",99)),595,99)),FIND(":",TRIM(MID(SUBSTITUTE($V149,";",REPT(" ",99)),595,99)))+1,99)),0) + IFERROR(VLOOKUP(LEFT(TRIM(MID(SUBSTITUTE($V149,";",REPT(" ",99)),694,99)),FIND(":",TRIM(MID(SUBSTITUTE($V149,";",REPT(" ",99)),694,99)))-1),Materiales!$A$2:$E$502,5,FALSE)*VALUE(MID(TRIM(MID(SUBSTITUTE($V149,";",REPT(" ",99)),694,99)),FIND(":",TRIM(MID(SUBSTITUTE($V149,";",REPT(" ",99)),694,99)))+1,99)),0) + IFERROR(VLOOKUP(LEFT(TRIM(MID(SUBSTITUTE($V149,";",REPT(" ",99)),793,99)),FIND(":",TRIM(MID(SUBSTITUTE($V149,";",REPT(" ",99)),793,99)))-1),Materiales!$A$2:$E$502,5,FALSE)*VALUE(MID(TRIM(MID(SUBSTITUTE($V149,";",REPT(" ",99)),793,99)),FIND(":",TRIM(MID(SUBSTITUTE($V149,";",REPT(" ",99)),793,99)))+1,99)),0) + IFERROR(VLOOKUP(LEFT(TRIM(MID(SUBSTITUTE($V149,";",REPT(" ",99)),892,99)),FIND(":",TRIM(MID(SUBSTITUTE($V149,";",REPT(" ",99)),892,99)))-1),Materiales!$A$2:$E$502,5,FALSE)*VALUE(MID(TRIM(MID(SUBSTITUTE($V149,";",REPT(" ",99)),892,99)),FIND(":",TRIM(MID(SUBSTITUTE($V149,";",REPT(" ",99)),892,99)))+1,99)),0)))</f>
        <v/>
      </c>
      <c r="X149" s="39" t="str">
        <f t="shared" si="13"/>
        <v/>
      </c>
      <c r="Y149" s="64"/>
      <c r="Z149" s="67"/>
      <c r="AA149" s="65"/>
      <c r="AB149" s="14"/>
      <c r="AC149" s="66"/>
      <c r="AD149" s="65"/>
      <c r="AE149" s="44">
        <f t="shared" si="17"/>
        <v>0</v>
      </c>
      <c r="AF149" s="45" t="str">
        <f t="shared" si="20"/>
        <v>#DIV/0!</v>
      </c>
    </row>
    <row r="150" ht="15.75" customHeight="1">
      <c r="A150" s="3"/>
      <c r="B150" s="3"/>
      <c r="C150" s="38"/>
      <c r="D150" s="38"/>
      <c r="E150" s="38"/>
      <c r="F150" s="14"/>
      <c r="G150" s="5" t="str">
        <f t="array" ref="G150">IF($A150="","",IFERROR($F150*(N($C150)*XLOOKUP($B150,Ceras!$A$2:$A$500,Ceras!$G$2:$G$500,0)+IF($D150="",0,N($E150)*XLOOKUP($D150,Ceras!$A$2:$A$500,Ceras!$G$2:$G$500,0))),"Revisar cera"))</f>
        <v/>
      </c>
      <c r="H150" s="5"/>
      <c r="I150" s="3"/>
      <c r="J150" s="14"/>
      <c r="K150" s="5" t="str">
        <f t="array" ref="K150">IF($A150="","",IFERROR($J150*XLOOKUP($I150,Pabilos!$A$2:$A$500,Pabilos!$H$2:$H$500,0),"Revisar pabilo"))</f>
        <v/>
      </c>
      <c r="L150" s="3"/>
      <c r="M150" s="14"/>
      <c r="N150" s="5" t="str">
        <f t="array" ref="N150">IF($A150="","",IFERROR($M150*XLOOKUP($L150,Esencias!$A$2:$A$501,Esencias!$G$2:$G$501,0),"Revisar esencia"))</f>
        <v/>
      </c>
      <c r="O150" s="3"/>
      <c r="P150" s="14"/>
      <c r="Q150" s="5" t="str">
        <f t="array" ref="Q150">IF($A150="","",IFERROR(IF($P150="",1,$P150)*XLOOKUP($O150,Colores!$A$2:$A$500,Colores!$H$2:$H$500,0),"Revisar color"))</f>
        <v/>
      </c>
      <c r="R150" s="3"/>
      <c r="S150" s="5" t="str">
        <f t="array" ref="S150">IF($A150="","",IF($R150="",0,IFERROR(VLOOKUP(LEFT(TRIM(MID(SUBSTITUTE($R150,";",REPT(" ",99)),1,99)),FIND(":",TRIM(MID(SUBSTITUTE($R150,";",REPT(" ",99)),1,99)))-1),Materiales!$A$2:$E$502,5,FALSE)*VALUE(MID(TRIM(MID(SUBSTITUTE($R150,";",REPT(" ",99)),1,99)),FIND(":",TRIM(MID(SUBSTITUTE($R150,";",REPT(" ",99)),1,99)))+1,99)),0) + IFERROR(VLOOKUP(LEFT(TRIM(MID(SUBSTITUTE($R150,";",REPT(" ",99)),100,99)),FIND(":",TRIM(MID(SUBSTITUTE($R150,";",REPT(" ",99)),100,99)))-1),Materiales!$A$2:$E$502,5,FALSE)*VALUE(MID(TRIM(MID(SUBSTITUTE($R150,";",REPT(" ",99)),100,99)),FIND(":",TRIM(MID(SUBSTITUTE($R150,";",REPT(" ",99)),100,99)))+1,99)),0) + IFERROR(VLOOKUP(LEFT(TRIM(MID(SUBSTITUTE($R150,";",REPT(" ",99)),199,99)),FIND(":",TRIM(MID(SUBSTITUTE($R150,";",REPT(" ",99)),199,99)))-1),Materiales!$A$2:$E$502,5,FALSE)*VALUE(MID(TRIM(MID(SUBSTITUTE($R150,";",REPT(" ",99)),199,99)),FIND(":",TRIM(MID(SUBSTITUTE($R150,";",REPT(" ",99)),199,99)))+1,99)),0) + IFERROR(VLOOKUP(LEFT(TRIM(MID(SUBSTITUTE($R150,";",REPT(" ",99)),298,99)),FIND(":",TRIM(MID(SUBSTITUTE($R150,";",REPT(" ",99)),298,99)))-1),Materiales!$A$2:$E$502,5,FALSE)*VALUE(MID(TRIM(MID(SUBSTITUTE($R150,";",REPT(" ",99)),298,99)),FIND(":",TRIM(MID(SUBSTITUTE($R150,";",REPT(" ",99)),298,99)))+1,99)),0) + IFERROR(VLOOKUP(LEFT(TRIM(MID(SUBSTITUTE($R150,";",REPT(" ",99)),397,99)),FIND(":",TRIM(MID(SUBSTITUTE($R150,";",REPT(" ",99)),397,99)))-1),Materiales!$A$2:$E$502,5,FALSE)*VALUE(MID(TRIM(MID(SUBSTITUTE($R150,";",REPT(" ",99)),397,99)),FIND(":",TRIM(MID(SUBSTITUTE($R150,";",REPT(" ",99)),397,99)))+1,99)),0) + IFERROR(VLOOKUP(LEFT(TRIM(MID(SUBSTITUTE($R150,";",REPT(" ",99)),496,99)),FIND(":",TRIM(MID(SUBSTITUTE($R150,";",REPT(" ",99)),496,99)))-1),Materiales!$A$2:$E$502,5,FALSE)*VALUE(MID(TRIM(MID(SUBSTITUTE($R150,";",REPT(" ",99)),496,99)),FIND(":",TRIM(MID(SUBSTITUTE($R150,";",REPT(" ",99)),496,99)))+1,99)),0) + IFERROR(VLOOKUP(LEFT(TRIM(MID(SUBSTITUTE($R150,";",REPT(" ",99)),595,99)),FIND(":",TRIM(MID(SUBSTITUTE($R150,";",REPT(" ",99)),595,99)))-1),Materiales!$A$2:$E$502,5,FALSE)*VALUE(MID(TRIM(MID(SUBSTITUTE($R150,";",REPT(" ",99)),595,99)),FIND(":",TRIM(MID(SUBSTITUTE($R150,";",REPT(" ",99)),595,99)))+1,99)),0) + IFERROR(VLOOKUP(LEFT(TRIM(MID(SUBSTITUTE($R150,";",REPT(" ",99)),694,99)),FIND(":",TRIM(MID(SUBSTITUTE($R150,";",REPT(" ",99)),694,99)))-1),Materiales!$A$2:$E$502,5,FALSE)*VALUE(MID(TRIM(MID(SUBSTITUTE($R150,";",REPT(" ",99)),694,99)),FIND(":",TRIM(MID(SUBSTITUTE($R150,";",REPT(" ",99)),694,99)))+1,99)),0) + IFERROR(VLOOKUP(LEFT(TRIM(MID(SUBSTITUTE($R150,";",REPT(" ",99)),793,99)),FIND(":",TRIM(MID(SUBSTITUTE($R150,";",REPT(" ",99)),793,99)))-1),Materiales!$A$2:$E$502,5,FALSE)*VALUE(MID(TRIM(MID(SUBSTITUTE($R150,";",REPT(" ",99)),793,99)),FIND(":",TRIM(MID(SUBSTITUTE($R150,";",REPT(" ",99)),793,99)))+1,99)),0) + IFERROR(VLOOKUP(LEFT(TRIM(MID(SUBSTITUTE($R150,";",REPT(" ",99)),892,99)),FIND(":",TRIM(MID(SUBSTITUTE($R150,";",REPT(" ",99)),892,99)))-1),Materiales!$A$2:$E$502,5,FALSE)*VALUE(MID(TRIM(MID(SUBSTITUTE($R150,";",REPT(" ",99)),892,99)),FIND(":",TRIM(MID(SUBSTITUTE($R150,";",REPT(" ",99)),892,99)))+1,99)),0)))</f>
        <v/>
      </c>
      <c r="T150" s="3"/>
      <c r="U150" s="5" t="str">
        <f t="array" ref="U150">IF($A150="","",IF($T150="",0,IFERROR(VLOOKUP(LEFT(TRIM(MID(SUBSTITUTE($T150,";",REPT(" ",99)),1,99)),FIND(":",TRIM(MID(SUBSTITUTE($T150,";",REPT(" ",99)),1,99)))-1),Materiales!$A$2:$E$502,5,FALSE)*VALUE(MID(TRIM(MID(SUBSTITUTE($T150,";",REPT(" ",99)),1,99)),FIND(":",TRIM(MID(SUBSTITUTE($T150,";",REPT(" ",99)),1,99)))+1,99)),0) + IFERROR(VLOOKUP(LEFT(TRIM(MID(SUBSTITUTE($T150,";",REPT(" ",99)),100,99)),FIND(":",TRIM(MID(SUBSTITUTE($T150,";",REPT(" ",99)),100,99)))-1),Materiales!$A$2:$E$502,5,FALSE)*VALUE(MID(TRIM(MID(SUBSTITUTE($T150,";",REPT(" ",99)),100,99)),FIND(":",TRIM(MID(SUBSTITUTE($T150,";",REPT(" ",99)),100,99)))+1,99)),0) + IFERROR(VLOOKUP(LEFT(TRIM(MID(SUBSTITUTE($T150,";",REPT(" ",99)),199,99)),FIND(":",TRIM(MID(SUBSTITUTE($T150,";",REPT(" ",99)),199,99)))-1),Materiales!$A$2:$E$502,5,FALSE)*VALUE(MID(TRIM(MID(SUBSTITUTE($T150,";",REPT(" ",99)),199,99)),FIND(":",TRIM(MID(SUBSTITUTE($T150,";",REPT(" ",99)),199,99)))+1,99)),0) + IFERROR(VLOOKUP(LEFT(TRIM(MID(SUBSTITUTE($T150,";",REPT(" ",99)),298,99)),FIND(":",TRIM(MID(SUBSTITUTE($T150,";",REPT(" ",99)),298,99)))-1),Materiales!$A$2:$E$502,5,FALSE)*VALUE(MID(TRIM(MID(SUBSTITUTE($T150,";",REPT(" ",99)),298,99)),FIND(":",TRIM(MID(SUBSTITUTE($T150,";",REPT(" ",99)),298,99)))+1,99)),0) + IFERROR(VLOOKUP(LEFT(TRIM(MID(SUBSTITUTE($T150,";",REPT(" ",99)),397,99)),FIND(":",TRIM(MID(SUBSTITUTE($T150,";",REPT(" ",99)),397,99)))-1),Materiales!$A$2:$E$502,5,FALSE)*VALUE(MID(TRIM(MID(SUBSTITUTE($T150,";",REPT(" ",99)),397,99)),FIND(":",TRIM(MID(SUBSTITUTE($T150,";",REPT(" ",99)),397,99)))+1,99)),0) + IFERROR(VLOOKUP(LEFT(TRIM(MID(SUBSTITUTE($T150,";",REPT(" ",99)),496,99)),FIND(":",TRIM(MID(SUBSTITUTE($T150,";",REPT(" ",99)),496,99)))-1),Materiales!$A$2:$E$502,5,FALSE)*VALUE(MID(TRIM(MID(SUBSTITUTE($T150,";",REPT(" ",99)),496,99)),FIND(":",TRIM(MID(SUBSTITUTE($T150,";",REPT(" ",99)),496,99)))+1,99)),0) + IFERROR(VLOOKUP(LEFT(TRIM(MID(SUBSTITUTE($T150,";",REPT(" ",99)),595,99)),FIND(":",TRIM(MID(SUBSTITUTE($T150,";",REPT(" ",99)),595,99)))-1),Materiales!$A$2:$E$502,5,FALSE)*VALUE(MID(TRIM(MID(SUBSTITUTE($T150,";",REPT(" ",99)),595,99)),FIND(":",TRIM(MID(SUBSTITUTE($T150,";",REPT(" ",99)),595,99)))+1,99)),0) + IFERROR(VLOOKUP(LEFT(TRIM(MID(SUBSTITUTE($T150,";",REPT(" ",99)),694,99)),FIND(":",TRIM(MID(SUBSTITUTE($T150,";",REPT(" ",99)),694,99)))-1),Materiales!$A$2:$E$502,5,FALSE)*VALUE(MID(TRIM(MID(SUBSTITUTE($T150,";",REPT(" ",99)),694,99)),FIND(":",TRIM(MID(SUBSTITUTE($T150,";",REPT(" ",99)),694,99)))+1,99)),0) + IFERROR(VLOOKUP(LEFT(TRIM(MID(SUBSTITUTE($T150,";",REPT(" ",99)),793,99)),FIND(":",TRIM(MID(SUBSTITUTE($T150,";",REPT(" ",99)),793,99)))-1),Materiales!$A$2:$E$502,5,FALSE)*VALUE(MID(TRIM(MID(SUBSTITUTE($T150,";",REPT(" ",99)),793,99)),FIND(":",TRIM(MID(SUBSTITUTE($T150,";",REPT(" ",99)),793,99)))+1,99)),0) + IFERROR(VLOOKUP(LEFT(TRIM(MID(SUBSTITUTE($T150,";",REPT(" ",99)),892,99)),FIND(":",TRIM(MID(SUBSTITUTE($T150,";",REPT(" ",99)),892,99)))-1),Materiales!$A$2:$E$502,5,FALSE)*VALUE(MID(TRIM(MID(SUBSTITUTE($T150,";",REPT(" ",99)),892,99)),FIND(":",TRIM(MID(SUBSTITUTE($T150,";",REPT(" ",99)),892,99)))+1,99)),0)))</f>
        <v/>
      </c>
      <c r="V150" s="3"/>
      <c r="W150" s="5" t="str">
        <f t="array" ref="W150">IF($A150="","",IF($V150="",0,IFERROR(VLOOKUP(LEFT(TRIM(MID(SUBSTITUTE($V150,";",REPT(" ",99)),1,99)),FIND(":",TRIM(MID(SUBSTITUTE($V150,";",REPT(" ",99)),1,99)))-1),Materiales!$A$2:$E$502,5,FALSE)*VALUE(MID(TRIM(MID(SUBSTITUTE($V150,";",REPT(" ",99)),1,99)),FIND(":",TRIM(MID(SUBSTITUTE($V150,";",REPT(" ",99)),1,99)))+1,99)),0) + IFERROR(VLOOKUP(LEFT(TRIM(MID(SUBSTITUTE($V150,";",REPT(" ",99)),100,99)),FIND(":",TRIM(MID(SUBSTITUTE($V150,";",REPT(" ",99)),100,99)))-1),Materiales!$A$2:$E$502,5,FALSE)*VALUE(MID(TRIM(MID(SUBSTITUTE($V150,";",REPT(" ",99)),100,99)),FIND(":",TRIM(MID(SUBSTITUTE($V150,";",REPT(" ",99)),100,99)))+1,99)),0) + IFERROR(VLOOKUP(LEFT(TRIM(MID(SUBSTITUTE($V150,";",REPT(" ",99)),199,99)),FIND(":",TRIM(MID(SUBSTITUTE($V150,";",REPT(" ",99)),199,99)))-1),Materiales!$A$2:$E$502,5,FALSE)*VALUE(MID(TRIM(MID(SUBSTITUTE($V150,";",REPT(" ",99)),199,99)),FIND(":",TRIM(MID(SUBSTITUTE($V150,";",REPT(" ",99)),199,99)))+1,99)),0) + IFERROR(VLOOKUP(LEFT(TRIM(MID(SUBSTITUTE($V150,";",REPT(" ",99)),298,99)),FIND(":",TRIM(MID(SUBSTITUTE($V150,";",REPT(" ",99)),298,99)))-1),Materiales!$A$2:$E$502,5,FALSE)*VALUE(MID(TRIM(MID(SUBSTITUTE($V150,";",REPT(" ",99)),298,99)),FIND(":",TRIM(MID(SUBSTITUTE($V150,";",REPT(" ",99)),298,99)))+1,99)),0) + IFERROR(VLOOKUP(LEFT(TRIM(MID(SUBSTITUTE($V150,";",REPT(" ",99)),397,99)),FIND(":",TRIM(MID(SUBSTITUTE($V150,";",REPT(" ",99)),397,99)))-1),Materiales!$A$2:$E$502,5,FALSE)*VALUE(MID(TRIM(MID(SUBSTITUTE($V150,";",REPT(" ",99)),397,99)),FIND(":",TRIM(MID(SUBSTITUTE($V150,";",REPT(" ",99)),397,99)))+1,99)),0) + IFERROR(VLOOKUP(LEFT(TRIM(MID(SUBSTITUTE($V150,";",REPT(" ",99)),496,99)),FIND(":",TRIM(MID(SUBSTITUTE($V150,";",REPT(" ",99)),496,99)))-1),Materiales!$A$2:$E$502,5,FALSE)*VALUE(MID(TRIM(MID(SUBSTITUTE($V150,";",REPT(" ",99)),496,99)),FIND(":",TRIM(MID(SUBSTITUTE($V150,";",REPT(" ",99)),496,99)))+1,99)),0) + IFERROR(VLOOKUP(LEFT(TRIM(MID(SUBSTITUTE($V150,";",REPT(" ",99)),595,99)),FIND(":",TRIM(MID(SUBSTITUTE($V150,";",REPT(" ",99)),595,99)))-1),Materiales!$A$2:$E$502,5,FALSE)*VALUE(MID(TRIM(MID(SUBSTITUTE($V150,";",REPT(" ",99)),595,99)),FIND(":",TRIM(MID(SUBSTITUTE($V150,";",REPT(" ",99)),595,99)))+1,99)),0) + IFERROR(VLOOKUP(LEFT(TRIM(MID(SUBSTITUTE($V150,";",REPT(" ",99)),694,99)),FIND(":",TRIM(MID(SUBSTITUTE($V150,";",REPT(" ",99)),694,99)))-1),Materiales!$A$2:$E$502,5,FALSE)*VALUE(MID(TRIM(MID(SUBSTITUTE($V150,";",REPT(" ",99)),694,99)),FIND(":",TRIM(MID(SUBSTITUTE($V150,";",REPT(" ",99)),694,99)))+1,99)),0) + IFERROR(VLOOKUP(LEFT(TRIM(MID(SUBSTITUTE($V150,";",REPT(" ",99)),793,99)),FIND(":",TRIM(MID(SUBSTITUTE($V150,";",REPT(" ",99)),793,99)))-1),Materiales!$A$2:$E$502,5,FALSE)*VALUE(MID(TRIM(MID(SUBSTITUTE($V150,";",REPT(" ",99)),793,99)),FIND(":",TRIM(MID(SUBSTITUTE($V150,";",REPT(" ",99)),793,99)))+1,99)),0) + IFERROR(VLOOKUP(LEFT(TRIM(MID(SUBSTITUTE($V150,";",REPT(" ",99)),892,99)),FIND(":",TRIM(MID(SUBSTITUTE($V150,";",REPT(" ",99)),892,99)))-1),Materiales!$A$2:$E$502,5,FALSE)*VALUE(MID(TRIM(MID(SUBSTITUTE($V150,";",REPT(" ",99)),892,99)),FIND(":",TRIM(MID(SUBSTITUTE($V150,";",REPT(" ",99)),892,99)))+1,99)),0)))</f>
        <v/>
      </c>
      <c r="X150" s="39" t="str">
        <f t="shared" si="13"/>
        <v/>
      </c>
      <c r="Y150" s="64"/>
      <c r="Z150" s="67"/>
      <c r="AA150" s="65"/>
      <c r="AB150" s="14"/>
      <c r="AC150" s="66"/>
      <c r="AD150" s="65"/>
      <c r="AE150" s="44">
        <f t="shared" si="17"/>
        <v>0</v>
      </c>
      <c r="AF150" s="45" t="str">
        <f t="shared" si="20"/>
        <v>#DIV/0!</v>
      </c>
    </row>
    <row r="151" ht="15.75" customHeight="1">
      <c r="A151" s="3"/>
      <c r="B151" s="3"/>
      <c r="C151" s="38"/>
      <c r="D151" s="38"/>
      <c r="E151" s="38"/>
      <c r="F151" s="14"/>
      <c r="G151" s="5" t="str">
        <f t="array" ref="G151">IF($A151="","",IFERROR($F151*(N($C151)*XLOOKUP($B151,Ceras!$A$2:$A$500,Ceras!$G$2:$G$500,0)+IF($D151="",0,N($E151)*XLOOKUP($D151,Ceras!$A$2:$A$500,Ceras!$G$2:$G$500,0))),"Revisar cera"))</f>
        <v/>
      </c>
      <c r="H151" s="5"/>
      <c r="I151" s="3"/>
      <c r="J151" s="14"/>
      <c r="K151" s="5" t="str">
        <f t="array" ref="K151">IF($A151="","",IFERROR($J151*XLOOKUP($I151,Pabilos!$A$2:$A$500,Pabilos!$H$2:$H$500,0),"Revisar pabilo"))</f>
        <v/>
      </c>
      <c r="L151" s="3"/>
      <c r="M151" s="14"/>
      <c r="N151" s="5" t="str">
        <f t="array" ref="N151">IF($A151="","",IFERROR($M151*XLOOKUP($L151,Esencias!$A$2:$A$501,Esencias!$G$2:$G$501,0),"Revisar esencia"))</f>
        <v/>
      </c>
      <c r="O151" s="3"/>
      <c r="P151" s="14"/>
      <c r="Q151" s="5" t="str">
        <f t="array" ref="Q151">IF($A151="","",IFERROR(IF($P151="",1,$P151)*XLOOKUP($O151,Colores!$A$2:$A$500,Colores!$H$2:$H$500,0),"Revisar color"))</f>
        <v/>
      </c>
      <c r="R151" s="3"/>
      <c r="S151" s="5" t="str">
        <f t="array" ref="S151">IF($A151="","",IF($R151="",0,IFERROR(VLOOKUP(LEFT(TRIM(MID(SUBSTITUTE($R151,";",REPT(" ",99)),1,99)),FIND(":",TRIM(MID(SUBSTITUTE($R151,";",REPT(" ",99)),1,99)))-1),Materiales!$A$2:$E$502,5,FALSE)*VALUE(MID(TRIM(MID(SUBSTITUTE($R151,";",REPT(" ",99)),1,99)),FIND(":",TRIM(MID(SUBSTITUTE($R151,";",REPT(" ",99)),1,99)))+1,99)),0) + IFERROR(VLOOKUP(LEFT(TRIM(MID(SUBSTITUTE($R151,";",REPT(" ",99)),100,99)),FIND(":",TRIM(MID(SUBSTITUTE($R151,";",REPT(" ",99)),100,99)))-1),Materiales!$A$2:$E$502,5,FALSE)*VALUE(MID(TRIM(MID(SUBSTITUTE($R151,";",REPT(" ",99)),100,99)),FIND(":",TRIM(MID(SUBSTITUTE($R151,";",REPT(" ",99)),100,99)))+1,99)),0) + IFERROR(VLOOKUP(LEFT(TRIM(MID(SUBSTITUTE($R151,";",REPT(" ",99)),199,99)),FIND(":",TRIM(MID(SUBSTITUTE($R151,";",REPT(" ",99)),199,99)))-1),Materiales!$A$2:$E$502,5,FALSE)*VALUE(MID(TRIM(MID(SUBSTITUTE($R151,";",REPT(" ",99)),199,99)),FIND(":",TRIM(MID(SUBSTITUTE($R151,";",REPT(" ",99)),199,99)))+1,99)),0) + IFERROR(VLOOKUP(LEFT(TRIM(MID(SUBSTITUTE($R151,";",REPT(" ",99)),298,99)),FIND(":",TRIM(MID(SUBSTITUTE($R151,";",REPT(" ",99)),298,99)))-1),Materiales!$A$2:$E$502,5,FALSE)*VALUE(MID(TRIM(MID(SUBSTITUTE($R151,";",REPT(" ",99)),298,99)),FIND(":",TRIM(MID(SUBSTITUTE($R151,";",REPT(" ",99)),298,99)))+1,99)),0) + IFERROR(VLOOKUP(LEFT(TRIM(MID(SUBSTITUTE($R151,";",REPT(" ",99)),397,99)),FIND(":",TRIM(MID(SUBSTITUTE($R151,";",REPT(" ",99)),397,99)))-1),Materiales!$A$2:$E$502,5,FALSE)*VALUE(MID(TRIM(MID(SUBSTITUTE($R151,";",REPT(" ",99)),397,99)),FIND(":",TRIM(MID(SUBSTITUTE($R151,";",REPT(" ",99)),397,99)))+1,99)),0) + IFERROR(VLOOKUP(LEFT(TRIM(MID(SUBSTITUTE($R151,";",REPT(" ",99)),496,99)),FIND(":",TRIM(MID(SUBSTITUTE($R151,";",REPT(" ",99)),496,99)))-1),Materiales!$A$2:$E$502,5,FALSE)*VALUE(MID(TRIM(MID(SUBSTITUTE($R151,";",REPT(" ",99)),496,99)),FIND(":",TRIM(MID(SUBSTITUTE($R151,";",REPT(" ",99)),496,99)))+1,99)),0) + IFERROR(VLOOKUP(LEFT(TRIM(MID(SUBSTITUTE($R151,";",REPT(" ",99)),595,99)),FIND(":",TRIM(MID(SUBSTITUTE($R151,";",REPT(" ",99)),595,99)))-1),Materiales!$A$2:$E$502,5,FALSE)*VALUE(MID(TRIM(MID(SUBSTITUTE($R151,";",REPT(" ",99)),595,99)),FIND(":",TRIM(MID(SUBSTITUTE($R151,";",REPT(" ",99)),595,99)))+1,99)),0) + IFERROR(VLOOKUP(LEFT(TRIM(MID(SUBSTITUTE($R151,";",REPT(" ",99)),694,99)),FIND(":",TRIM(MID(SUBSTITUTE($R151,";",REPT(" ",99)),694,99)))-1),Materiales!$A$2:$E$502,5,FALSE)*VALUE(MID(TRIM(MID(SUBSTITUTE($R151,";",REPT(" ",99)),694,99)),FIND(":",TRIM(MID(SUBSTITUTE($R151,";",REPT(" ",99)),694,99)))+1,99)),0) + IFERROR(VLOOKUP(LEFT(TRIM(MID(SUBSTITUTE($R151,";",REPT(" ",99)),793,99)),FIND(":",TRIM(MID(SUBSTITUTE($R151,";",REPT(" ",99)),793,99)))-1),Materiales!$A$2:$E$502,5,FALSE)*VALUE(MID(TRIM(MID(SUBSTITUTE($R151,";",REPT(" ",99)),793,99)),FIND(":",TRIM(MID(SUBSTITUTE($R151,";",REPT(" ",99)),793,99)))+1,99)),0) + IFERROR(VLOOKUP(LEFT(TRIM(MID(SUBSTITUTE($R151,";",REPT(" ",99)),892,99)),FIND(":",TRIM(MID(SUBSTITUTE($R151,";",REPT(" ",99)),892,99)))-1),Materiales!$A$2:$E$502,5,FALSE)*VALUE(MID(TRIM(MID(SUBSTITUTE($R151,";",REPT(" ",99)),892,99)),FIND(":",TRIM(MID(SUBSTITUTE($R151,";",REPT(" ",99)),892,99)))+1,99)),0)))</f>
        <v/>
      </c>
      <c r="T151" s="3"/>
      <c r="U151" s="5" t="str">
        <f t="array" ref="U151">IF($A151="","",IF($T151="",0,IFERROR(VLOOKUP(LEFT(TRIM(MID(SUBSTITUTE($T151,";",REPT(" ",99)),1,99)),FIND(":",TRIM(MID(SUBSTITUTE($T151,";",REPT(" ",99)),1,99)))-1),Materiales!$A$2:$E$502,5,FALSE)*VALUE(MID(TRIM(MID(SUBSTITUTE($T151,";",REPT(" ",99)),1,99)),FIND(":",TRIM(MID(SUBSTITUTE($T151,";",REPT(" ",99)),1,99)))+1,99)),0) + IFERROR(VLOOKUP(LEFT(TRIM(MID(SUBSTITUTE($T151,";",REPT(" ",99)),100,99)),FIND(":",TRIM(MID(SUBSTITUTE($T151,";",REPT(" ",99)),100,99)))-1),Materiales!$A$2:$E$502,5,FALSE)*VALUE(MID(TRIM(MID(SUBSTITUTE($T151,";",REPT(" ",99)),100,99)),FIND(":",TRIM(MID(SUBSTITUTE($T151,";",REPT(" ",99)),100,99)))+1,99)),0) + IFERROR(VLOOKUP(LEFT(TRIM(MID(SUBSTITUTE($T151,";",REPT(" ",99)),199,99)),FIND(":",TRIM(MID(SUBSTITUTE($T151,";",REPT(" ",99)),199,99)))-1),Materiales!$A$2:$E$502,5,FALSE)*VALUE(MID(TRIM(MID(SUBSTITUTE($T151,";",REPT(" ",99)),199,99)),FIND(":",TRIM(MID(SUBSTITUTE($T151,";",REPT(" ",99)),199,99)))+1,99)),0) + IFERROR(VLOOKUP(LEFT(TRIM(MID(SUBSTITUTE($T151,";",REPT(" ",99)),298,99)),FIND(":",TRIM(MID(SUBSTITUTE($T151,";",REPT(" ",99)),298,99)))-1),Materiales!$A$2:$E$502,5,FALSE)*VALUE(MID(TRIM(MID(SUBSTITUTE($T151,";",REPT(" ",99)),298,99)),FIND(":",TRIM(MID(SUBSTITUTE($T151,";",REPT(" ",99)),298,99)))+1,99)),0) + IFERROR(VLOOKUP(LEFT(TRIM(MID(SUBSTITUTE($T151,";",REPT(" ",99)),397,99)),FIND(":",TRIM(MID(SUBSTITUTE($T151,";",REPT(" ",99)),397,99)))-1),Materiales!$A$2:$E$502,5,FALSE)*VALUE(MID(TRIM(MID(SUBSTITUTE($T151,";",REPT(" ",99)),397,99)),FIND(":",TRIM(MID(SUBSTITUTE($T151,";",REPT(" ",99)),397,99)))+1,99)),0) + IFERROR(VLOOKUP(LEFT(TRIM(MID(SUBSTITUTE($T151,";",REPT(" ",99)),496,99)),FIND(":",TRIM(MID(SUBSTITUTE($T151,";",REPT(" ",99)),496,99)))-1),Materiales!$A$2:$E$502,5,FALSE)*VALUE(MID(TRIM(MID(SUBSTITUTE($T151,";",REPT(" ",99)),496,99)),FIND(":",TRIM(MID(SUBSTITUTE($T151,";",REPT(" ",99)),496,99)))+1,99)),0) + IFERROR(VLOOKUP(LEFT(TRIM(MID(SUBSTITUTE($T151,";",REPT(" ",99)),595,99)),FIND(":",TRIM(MID(SUBSTITUTE($T151,";",REPT(" ",99)),595,99)))-1),Materiales!$A$2:$E$502,5,FALSE)*VALUE(MID(TRIM(MID(SUBSTITUTE($T151,";",REPT(" ",99)),595,99)),FIND(":",TRIM(MID(SUBSTITUTE($T151,";",REPT(" ",99)),595,99)))+1,99)),0) + IFERROR(VLOOKUP(LEFT(TRIM(MID(SUBSTITUTE($T151,";",REPT(" ",99)),694,99)),FIND(":",TRIM(MID(SUBSTITUTE($T151,";",REPT(" ",99)),694,99)))-1),Materiales!$A$2:$E$502,5,FALSE)*VALUE(MID(TRIM(MID(SUBSTITUTE($T151,";",REPT(" ",99)),694,99)),FIND(":",TRIM(MID(SUBSTITUTE($T151,";",REPT(" ",99)),694,99)))+1,99)),0) + IFERROR(VLOOKUP(LEFT(TRIM(MID(SUBSTITUTE($T151,";",REPT(" ",99)),793,99)),FIND(":",TRIM(MID(SUBSTITUTE($T151,";",REPT(" ",99)),793,99)))-1),Materiales!$A$2:$E$502,5,FALSE)*VALUE(MID(TRIM(MID(SUBSTITUTE($T151,";",REPT(" ",99)),793,99)),FIND(":",TRIM(MID(SUBSTITUTE($T151,";",REPT(" ",99)),793,99)))+1,99)),0) + IFERROR(VLOOKUP(LEFT(TRIM(MID(SUBSTITUTE($T151,";",REPT(" ",99)),892,99)),FIND(":",TRIM(MID(SUBSTITUTE($T151,";",REPT(" ",99)),892,99)))-1),Materiales!$A$2:$E$502,5,FALSE)*VALUE(MID(TRIM(MID(SUBSTITUTE($T151,";",REPT(" ",99)),892,99)),FIND(":",TRIM(MID(SUBSTITUTE($T151,";",REPT(" ",99)),892,99)))+1,99)),0)))</f>
        <v/>
      </c>
      <c r="V151" s="3"/>
      <c r="W151" s="5" t="str">
        <f t="array" ref="W151">IF($A151="","",IF($V151="",0,IFERROR(VLOOKUP(LEFT(TRIM(MID(SUBSTITUTE($V151,";",REPT(" ",99)),1,99)),FIND(":",TRIM(MID(SUBSTITUTE($V151,";",REPT(" ",99)),1,99)))-1),Materiales!$A$2:$E$502,5,FALSE)*VALUE(MID(TRIM(MID(SUBSTITUTE($V151,";",REPT(" ",99)),1,99)),FIND(":",TRIM(MID(SUBSTITUTE($V151,";",REPT(" ",99)),1,99)))+1,99)),0) + IFERROR(VLOOKUP(LEFT(TRIM(MID(SUBSTITUTE($V151,";",REPT(" ",99)),100,99)),FIND(":",TRIM(MID(SUBSTITUTE($V151,";",REPT(" ",99)),100,99)))-1),Materiales!$A$2:$E$502,5,FALSE)*VALUE(MID(TRIM(MID(SUBSTITUTE($V151,";",REPT(" ",99)),100,99)),FIND(":",TRIM(MID(SUBSTITUTE($V151,";",REPT(" ",99)),100,99)))+1,99)),0) + IFERROR(VLOOKUP(LEFT(TRIM(MID(SUBSTITUTE($V151,";",REPT(" ",99)),199,99)),FIND(":",TRIM(MID(SUBSTITUTE($V151,";",REPT(" ",99)),199,99)))-1),Materiales!$A$2:$E$502,5,FALSE)*VALUE(MID(TRIM(MID(SUBSTITUTE($V151,";",REPT(" ",99)),199,99)),FIND(":",TRIM(MID(SUBSTITUTE($V151,";",REPT(" ",99)),199,99)))+1,99)),0) + IFERROR(VLOOKUP(LEFT(TRIM(MID(SUBSTITUTE($V151,";",REPT(" ",99)),298,99)),FIND(":",TRIM(MID(SUBSTITUTE($V151,";",REPT(" ",99)),298,99)))-1),Materiales!$A$2:$E$502,5,FALSE)*VALUE(MID(TRIM(MID(SUBSTITUTE($V151,";",REPT(" ",99)),298,99)),FIND(":",TRIM(MID(SUBSTITUTE($V151,";",REPT(" ",99)),298,99)))+1,99)),0) + IFERROR(VLOOKUP(LEFT(TRIM(MID(SUBSTITUTE($V151,";",REPT(" ",99)),397,99)),FIND(":",TRIM(MID(SUBSTITUTE($V151,";",REPT(" ",99)),397,99)))-1),Materiales!$A$2:$E$502,5,FALSE)*VALUE(MID(TRIM(MID(SUBSTITUTE($V151,";",REPT(" ",99)),397,99)),FIND(":",TRIM(MID(SUBSTITUTE($V151,";",REPT(" ",99)),397,99)))+1,99)),0) + IFERROR(VLOOKUP(LEFT(TRIM(MID(SUBSTITUTE($V151,";",REPT(" ",99)),496,99)),FIND(":",TRIM(MID(SUBSTITUTE($V151,";",REPT(" ",99)),496,99)))-1),Materiales!$A$2:$E$502,5,FALSE)*VALUE(MID(TRIM(MID(SUBSTITUTE($V151,";",REPT(" ",99)),496,99)),FIND(":",TRIM(MID(SUBSTITUTE($V151,";",REPT(" ",99)),496,99)))+1,99)),0) + IFERROR(VLOOKUP(LEFT(TRIM(MID(SUBSTITUTE($V151,";",REPT(" ",99)),595,99)),FIND(":",TRIM(MID(SUBSTITUTE($V151,";",REPT(" ",99)),595,99)))-1),Materiales!$A$2:$E$502,5,FALSE)*VALUE(MID(TRIM(MID(SUBSTITUTE($V151,";",REPT(" ",99)),595,99)),FIND(":",TRIM(MID(SUBSTITUTE($V151,";",REPT(" ",99)),595,99)))+1,99)),0) + IFERROR(VLOOKUP(LEFT(TRIM(MID(SUBSTITUTE($V151,";",REPT(" ",99)),694,99)),FIND(":",TRIM(MID(SUBSTITUTE($V151,";",REPT(" ",99)),694,99)))-1),Materiales!$A$2:$E$502,5,FALSE)*VALUE(MID(TRIM(MID(SUBSTITUTE($V151,";",REPT(" ",99)),694,99)),FIND(":",TRIM(MID(SUBSTITUTE($V151,";",REPT(" ",99)),694,99)))+1,99)),0) + IFERROR(VLOOKUP(LEFT(TRIM(MID(SUBSTITUTE($V151,";",REPT(" ",99)),793,99)),FIND(":",TRIM(MID(SUBSTITUTE($V151,";",REPT(" ",99)),793,99)))-1),Materiales!$A$2:$E$502,5,FALSE)*VALUE(MID(TRIM(MID(SUBSTITUTE($V151,";",REPT(" ",99)),793,99)),FIND(":",TRIM(MID(SUBSTITUTE($V151,";",REPT(" ",99)),793,99)))+1,99)),0) + IFERROR(VLOOKUP(LEFT(TRIM(MID(SUBSTITUTE($V151,";",REPT(" ",99)),892,99)),FIND(":",TRIM(MID(SUBSTITUTE($V151,";",REPT(" ",99)),892,99)))-1),Materiales!$A$2:$E$502,5,FALSE)*VALUE(MID(TRIM(MID(SUBSTITUTE($V151,";",REPT(" ",99)),892,99)),FIND(":",TRIM(MID(SUBSTITUTE($V151,";",REPT(" ",99)),892,99)))+1,99)),0)))</f>
        <v/>
      </c>
      <c r="X151" s="39" t="str">
        <f t="shared" si="13"/>
        <v/>
      </c>
      <c r="Y151" s="64"/>
      <c r="Z151" s="67"/>
      <c r="AA151" s="65"/>
      <c r="AB151" s="14"/>
      <c r="AC151" s="66"/>
      <c r="AD151" s="65"/>
      <c r="AE151" s="44">
        <f t="shared" si="17"/>
        <v>0</v>
      </c>
      <c r="AF151" s="45" t="str">
        <f t="shared" si="20"/>
        <v>#DIV/0!</v>
      </c>
    </row>
    <row r="152" ht="15.75" customHeight="1">
      <c r="A152" s="3"/>
      <c r="B152" s="3"/>
      <c r="C152" s="38"/>
      <c r="D152" s="38"/>
      <c r="E152" s="38"/>
      <c r="F152" s="14"/>
      <c r="G152" s="5" t="str">
        <f t="array" ref="G152">IF($A152="","",IFERROR($F152*(N($C152)*XLOOKUP($B152,Ceras!$A$2:$A$500,Ceras!$G$2:$G$500,0)+IF($D152="",0,N($E152)*XLOOKUP($D152,Ceras!$A$2:$A$500,Ceras!$G$2:$G$500,0))),"Revisar cera"))</f>
        <v/>
      </c>
      <c r="H152" s="5"/>
      <c r="I152" s="3"/>
      <c r="J152" s="14"/>
      <c r="K152" s="5" t="str">
        <f t="array" ref="K152">IF($A152="","",IFERROR($J152*XLOOKUP($I152,Pabilos!$A$2:$A$500,Pabilos!$H$2:$H$500,0),"Revisar pabilo"))</f>
        <v/>
      </c>
      <c r="L152" s="3"/>
      <c r="M152" s="14"/>
      <c r="N152" s="5" t="str">
        <f t="array" ref="N152">IF($A152="","",IFERROR($M152*XLOOKUP($L152,Esencias!$A$2:$A$501,Esencias!$G$2:$G$501,0),"Revisar esencia"))</f>
        <v/>
      </c>
      <c r="O152" s="3"/>
      <c r="P152" s="14"/>
      <c r="Q152" s="5" t="str">
        <f t="array" ref="Q152">IF($A152="","",IFERROR(IF($P152="",1,$P152)*XLOOKUP($O152,Colores!$A$2:$A$500,Colores!$H$2:$H$500,0),"Revisar color"))</f>
        <v/>
      </c>
      <c r="R152" s="3"/>
      <c r="S152" s="5" t="str">
        <f t="array" ref="S152">IF($A152="","",IF($R152="",0,IFERROR(VLOOKUP(LEFT(TRIM(MID(SUBSTITUTE($R152,";",REPT(" ",99)),1,99)),FIND(":",TRIM(MID(SUBSTITUTE($R152,";",REPT(" ",99)),1,99)))-1),Materiales!$A$2:$E$502,5,FALSE)*VALUE(MID(TRIM(MID(SUBSTITUTE($R152,";",REPT(" ",99)),1,99)),FIND(":",TRIM(MID(SUBSTITUTE($R152,";",REPT(" ",99)),1,99)))+1,99)),0) + IFERROR(VLOOKUP(LEFT(TRIM(MID(SUBSTITUTE($R152,";",REPT(" ",99)),100,99)),FIND(":",TRIM(MID(SUBSTITUTE($R152,";",REPT(" ",99)),100,99)))-1),Materiales!$A$2:$E$502,5,FALSE)*VALUE(MID(TRIM(MID(SUBSTITUTE($R152,";",REPT(" ",99)),100,99)),FIND(":",TRIM(MID(SUBSTITUTE($R152,";",REPT(" ",99)),100,99)))+1,99)),0) + IFERROR(VLOOKUP(LEFT(TRIM(MID(SUBSTITUTE($R152,";",REPT(" ",99)),199,99)),FIND(":",TRIM(MID(SUBSTITUTE($R152,";",REPT(" ",99)),199,99)))-1),Materiales!$A$2:$E$502,5,FALSE)*VALUE(MID(TRIM(MID(SUBSTITUTE($R152,";",REPT(" ",99)),199,99)),FIND(":",TRIM(MID(SUBSTITUTE($R152,";",REPT(" ",99)),199,99)))+1,99)),0) + IFERROR(VLOOKUP(LEFT(TRIM(MID(SUBSTITUTE($R152,";",REPT(" ",99)),298,99)),FIND(":",TRIM(MID(SUBSTITUTE($R152,";",REPT(" ",99)),298,99)))-1),Materiales!$A$2:$E$502,5,FALSE)*VALUE(MID(TRIM(MID(SUBSTITUTE($R152,";",REPT(" ",99)),298,99)),FIND(":",TRIM(MID(SUBSTITUTE($R152,";",REPT(" ",99)),298,99)))+1,99)),0) + IFERROR(VLOOKUP(LEFT(TRIM(MID(SUBSTITUTE($R152,";",REPT(" ",99)),397,99)),FIND(":",TRIM(MID(SUBSTITUTE($R152,";",REPT(" ",99)),397,99)))-1),Materiales!$A$2:$E$502,5,FALSE)*VALUE(MID(TRIM(MID(SUBSTITUTE($R152,";",REPT(" ",99)),397,99)),FIND(":",TRIM(MID(SUBSTITUTE($R152,";",REPT(" ",99)),397,99)))+1,99)),0) + IFERROR(VLOOKUP(LEFT(TRIM(MID(SUBSTITUTE($R152,";",REPT(" ",99)),496,99)),FIND(":",TRIM(MID(SUBSTITUTE($R152,";",REPT(" ",99)),496,99)))-1),Materiales!$A$2:$E$502,5,FALSE)*VALUE(MID(TRIM(MID(SUBSTITUTE($R152,";",REPT(" ",99)),496,99)),FIND(":",TRIM(MID(SUBSTITUTE($R152,";",REPT(" ",99)),496,99)))+1,99)),0) + IFERROR(VLOOKUP(LEFT(TRIM(MID(SUBSTITUTE($R152,";",REPT(" ",99)),595,99)),FIND(":",TRIM(MID(SUBSTITUTE($R152,";",REPT(" ",99)),595,99)))-1),Materiales!$A$2:$E$502,5,FALSE)*VALUE(MID(TRIM(MID(SUBSTITUTE($R152,";",REPT(" ",99)),595,99)),FIND(":",TRIM(MID(SUBSTITUTE($R152,";",REPT(" ",99)),595,99)))+1,99)),0) + IFERROR(VLOOKUP(LEFT(TRIM(MID(SUBSTITUTE($R152,";",REPT(" ",99)),694,99)),FIND(":",TRIM(MID(SUBSTITUTE($R152,";",REPT(" ",99)),694,99)))-1),Materiales!$A$2:$E$502,5,FALSE)*VALUE(MID(TRIM(MID(SUBSTITUTE($R152,";",REPT(" ",99)),694,99)),FIND(":",TRIM(MID(SUBSTITUTE($R152,";",REPT(" ",99)),694,99)))+1,99)),0) + IFERROR(VLOOKUP(LEFT(TRIM(MID(SUBSTITUTE($R152,";",REPT(" ",99)),793,99)),FIND(":",TRIM(MID(SUBSTITUTE($R152,";",REPT(" ",99)),793,99)))-1),Materiales!$A$2:$E$502,5,FALSE)*VALUE(MID(TRIM(MID(SUBSTITUTE($R152,";",REPT(" ",99)),793,99)),FIND(":",TRIM(MID(SUBSTITUTE($R152,";",REPT(" ",99)),793,99)))+1,99)),0) + IFERROR(VLOOKUP(LEFT(TRIM(MID(SUBSTITUTE($R152,";",REPT(" ",99)),892,99)),FIND(":",TRIM(MID(SUBSTITUTE($R152,";",REPT(" ",99)),892,99)))-1),Materiales!$A$2:$E$502,5,FALSE)*VALUE(MID(TRIM(MID(SUBSTITUTE($R152,";",REPT(" ",99)),892,99)),FIND(":",TRIM(MID(SUBSTITUTE($R152,";",REPT(" ",99)),892,99)))+1,99)),0)))</f>
        <v/>
      </c>
      <c r="T152" s="3"/>
      <c r="U152" s="5" t="str">
        <f t="array" ref="U152">IF($A152="","",IF($T152="",0,IFERROR(VLOOKUP(LEFT(TRIM(MID(SUBSTITUTE($T152,";",REPT(" ",99)),1,99)),FIND(":",TRIM(MID(SUBSTITUTE($T152,";",REPT(" ",99)),1,99)))-1),Materiales!$A$2:$E$502,5,FALSE)*VALUE(MID(TRIM(MID(SUBSTITUTE($T152,";",REPT(" ",99)),1,99)),FIND(":",TRIM(MID(SUBSTITUTE($T152,";",REPT(" ",99)),1,99)))+1,99)),0) + IFERROR(VLOOKUP(LEFT(TRIM(MID(SUBSTITUTE($T152,";",REPT(" ",99)),100,99)),FIND(":",TRIM(MID(SUBSTITUTE($T152,";",REPT(" ",99)),100,99)))-1),Materiales!$A$2:$E$502,5,FALSE)*VALUE(MID(TRIM(MID(SUBSTITUTE($T152,";",REPT(" ",99)),100,99)),FIND(":",TRIM(MID(SUBSTITUTE($T152,";",REPT(" ",99)),100,99)))+1,99)),0) + IFERROR(VLOOKUP(LEFT(TRIM(MID(SUBSTITUTE($T152,";",REPT(" ",99)),199,99)),FIND(":",TRIM(MID(SUBSTITUTE($T152,";",REPT(" ",99)),199,99)))-1),Materiales!$A$2:$E$502,5,FALSE)*VALUE(MID(TRIM(MID(SUBSTITUTE($T152,";",REPT(" ",99)),199,99)),FIND(":",TRIM(MID(SUBSTITUTE($T152,";",REPT(" ",99)),199,99)))+1,99)),0) + IFERROR(VLOOKUP(LEFT(TRIM(MID(SUBSTITUTE($T152,";",REPT(" ",99)),298,99)),FIND(":",TRIM(MID(SUBSTITUTE($T152,";",REPT(" ",99)),298,99)))-1),Materiales!$A$2:$E$502,5,FALSE)*VALUE(MID(TRIM(MID(SUBSTITUTE($T152,";",REPT(" ",99)),298,99)),FIND(":",TRIM(MID(SUBSTITUTE($T152,";",REPT(" ",99)),298,99)))+1,99)),0) + IFERROR(VLOOKUP(LEFT(TRIM(MID(SUBSTITUTE($T152,";",REPT(" ",99)),397,99)),FIND(":",TRIM(MID(SUBSTITUTE($T152,";",REPT(" ",99)),397,99)))-1),Materiales!$A$2:$E$502,5,FALSE)*VALUE(MID(TRIM(MID(SUBSTITUTE($T152,";",REPT(" ",99)),397,99)),FIND(":",TRIM(MID(SUBSTITUTE($T152,";",REPT(" ",99)),397,99)))+1,99)),0) + IFERROR(VLOOKUP(LEFT(TRIM(MID(SUBSTITUTE($T152,";",REPT(" ",99)),496,99)),FIND(":",TRIM(MID(SUBSTITUTE($T152,";",REPT(" ",99)),496,99)))-1),Materiales!$A$2:$E$502,5,FALSE)*VALUE(MID(TRIM(MID(SUBSTITUTE($T152,";",REPT(" ",99)),496,99)),FIND(":",TRIM(MID(SUBSTITUTE($T152,";",REPT(" ",99)),496,99)))+1,99)),0) + IFERROR(VLOOKUP(LEFT(TRIM(MID(SUBSTITUTE($T152,";",REPT(" ",99)),595,99)),FIND(":",TRIM(MID(SUBSTITUTE($T152,";",REPT(" ",99)),595,99)))-1),Materiales!$A$2:$E$502,5,FALSE)*VALUE(MID(TRIM(MID(SUBSTITUTE($T152,";",REPT(" ",99)),595,99)),FIND(":",TRIM(MID(SUBSTITUTE($T152,";",REPT(" ",99)),595,99)))+1,99)),0) + IFERROR(VLOOKUP(LEFT(TRIM(MID(SUBSTITUTE($T152,";",REPT(" ",99)),694,99)),FIND(":",TRIM(MID(SUBSTITUTE($T152,";",REPT(" ",99)),694,99)))-1),Materiales!$A$2:$E$502,5,FALSE)*VALUE(MID(TRIM(MID(SUBSTITUTE($T152,";",REPT(" ",99)),694,99)),FIND(":",TRIM(MID(SUBSTITUTE($T152,";",REPT(" ",99)),694,99)))+1,99)),0) + IFERROR(VLOOKUP(LEFT(TRIM(MID(SUBSTITUTE($T152,";",REPT(" ",99)),793,99)),FIND(":",TRIM(MID(SUBSTITUTE($T152,";",REPT(" ",99)),793,99)))-1),Materiales!$A$2:$E$502,5,FALSE)*VALUE(MID(TRIM(MID(SUBSTITUTE($T152,";",REPT(" ",99)),793,99)),FIND(":",TRIM(MID(SUBSTITUTE($T152,";",REPT(" ",99)),793,99)))+1,99)),0) + IFERROR(VLOOKUP(LEFT(TRIM(MID(SUBSTITUTE($T152,";",REPT(" ",99)),892,99)),FIND(":",TRIM(MID(SUBSTITUTE($T152,";",REPT(" ",99)),892,99)))-1),Materiales!$A$2:$E$502,5,FALSE)*VALUE(MID(TRIM(MID(SUBSTITUTE($T152,";",REPT(" ",99)),892,99)),FIND(":",TRIM(MID(SUBSTITUTE($T152,";",REPT(" ",99)),892,99)))+1,99)),0)))</f>
        <v/>
      </c>
      <c r="V152" s="3"/>
      <c r="W152" s="5" t="str">
        <f t="array" ref="W152">IF($A152="","",IF($V152="",0,IFERROR(VLOOKUP(LEFT(TRIM(MID(SUBSTITUTE($V152,";",REPT(" ",99)),1,99)),FIND(":",TRIM(MID(SUBSTITUTE($V152,";",REPT(" ",99)),1,99)))-1),Materiales!$A$2:$E$502,5,FALSE)*VALUE(MID(TRIM(MID(SUBSTITUTE($V152,";",REPT(" ",99)),1,99)),FIND(":",TRIM(MID(SUBSTITUTE($V152,";",REPT(" ",99)),1,99)))+1,99)),0) + IFERROR(VLOOKUP(LEFT(TRIM(MID(SUBSTITUTE($V152,";",REPT(" ",99)),100,99)),FIND(":",TRIM(MID(SUBSTITUTE($V152,";",REPT(" ",99)),100,99)))-1),Materiales!$A$2:$E$502,5,FALSE)*VALUE(MID(TRIM(MID(SUBSTITUTE($V152,";",REPT(" ",99)),100,99)),FIND(":",TRIM(MID(SUBSTITUTE($V152,";",REPT(" ",99)),100,99)))+1,99)),0) + IFERROR(VLOOKUP(LEFT(TRIM(MID(SUBSTITUTE($V152,";",REPT(" ",99)),199,99)),FIND(":",TRIM(MID(SUBSTITUTE($V152,";",REPT(" ",99)),199,99)))-1),Materiales!$A$2:$E$502,5,FALSE)*VALUE(MID(TRIM(MID(SUBSTITUTE($V152,";",REPT(" ",99)),199,99)),FIND(":",TRIM(MID(SUBSTITUTE($V152,";",REPT(" ",99)),199,99)))+1,99)),0) + IFERROR(VLOOKUP(LEFT(TRIM(MID(SUBSTITUTE($V152,";",REPT(" ",99)),298,99)),FIND(":",TRIM(MID(SUBSTITUTE($V152,";",REPT(" ",99)),298,99)))-1),Materiales!$A$2:$E$502,5,FALSE)*VALUE(MID(TRIM(MID(SUBSTITUTE($V152,";",REPT(" ",99)),298,99)),FIND(":",TRIM(MID(SUBSTITUTE($V152,";",REPT(" ",99)),298,99)))+1,99)),0) + IFERROR(VLOOKUP(LEFT(TRIM(MID(SUBSTITUTE($V152,";",REPT(" ",99)),397,99)),FIND(":",TRIM(MID(SUBSTITUTE($V152,";",REPT(" ",99)),397,99)))-1),Materiales!$A$2:$E$502,5,FALSE)*VALUE(MID(TRIM(MID(SUBSTITUTE($V152,";",REPT(" ",99)),397,99)),FIND(":",TRIM(MID(SUBSTITUTE($V152,";",REPT(" ",99)),397,99)))+1,99)),0) + IFERROR(VLOOKUP(LEFT(TRIM(MID(SUBSTITUTE($V152,";",REPT(" ",99)),496,99)),FIND(":",TRIM(MID(SUBSTITUTE($V152,";",REPT(" ",99)),496,99)))-1),Materiales!$A$2:$E$502,5,FALSE)*VALUE(MID(TRIM(MID(SUBSTITUTE($V152,";",REPT(" ",99)),496,99)),FIND(":",TRIM(MID(SUBSTITUTE($V152,";",REPT(" ",99)),496,99)))+1,99)),0) + IFERROR(VLOOKUP(LEFT(TRIM(MID(SUBSTITUTE($V152,";",REPT(" ",99)),595,99)),FIND(":",TRIM(MID(SUBSTITUTE($V152,";",REPT(" ",99)),595,99)))-1),Materiales!$A$2:$E$502,5,FALSE)*VALUE(MID(TRIM(MID(SUBSTITUTE($V152,";",REPT(" ",99)),595,99)),FIND(":",TRIM(MID(SUBSTITUTE($V152,";",REPT(" ",99)),595,99)))+1,99)),0) + IFERROR(VLOOKUP(LEFT(TRIM(MID(SUBSTITUTE($V152,";",REPT(" ",99)),694,99)),FIND(":",TRIM(MID(SUBSTITUTE($V152,";",REPT(" ",99)),694,99)))-1),Materiales!$A$2:$E$502,5,FALSE)*VALUE(MID(TRIM(MID(SUBSTITUTE($V152,";",REPT(" ",99)),694,99)),FIND(":",TRIM(MID(SUBSTITUTE($V152,";",REPT(" ",99)),694,99)))+1,99)),0) + IFERROR(VLOOKUP(LEFT(TRIM(MID(SUBSTITUTE($V152,";",REPT(" ",99)),793,99)),FIND(":",TRIM(MID(SUBSTITUTE($V152,";",REPT(" ",99)),793,99)))-1),Materiales!$A$2:$E$502,5,FALSE)*VALUE(MID(TRIM(MID(SUBSTITUTE($V152,";",REPT(" ",99)),793,99)),FIND(":",TRIM(MID(SUBSTITUTE($V152,";",REPT(" ",99)),793,99)))+1,99)),0) + IFERROR(VLOOKUP(LEFT(TRIM(MID(SUBSTITUTE($V152,";",REPT(" ",99)),892,99)),FIND(":",TRIM(MID(SUBSTITUTE($V152,";",REPT(" ",99)),892,99)))-1),Materiales!$A$2:$E$502,5,FALSE)*VALUE(MID(TRIM(MID(SUBSTITUTE($V152,";",REPT(" ",99)),892,99)),FIND(":",TRIM(MID(SUBSTITUTE($V152,";",REPT(" ",99)),892,99)))+1,99)),0)))</f>
        <v/>
      </c>
      <c r="X152" s="39" t="str">
        <f t="shared" si="13"/>
        <v/>
      </c>
      <c r="Y152" s="64"/>
      <c r="Z152" s="67"/>
      <c r="AA152" s="65"/>
      <c r="AB152" s="14"/>
      <c r="AC152" s="66"/>
      <c r="AD152" s="65"/>
      <c r="AE152" s="44">
        <f t="shared" si="17"/>
        <v>0</v>
      </c>
      <c r="AF152" s="45" t="str">
        <f t="shared" si="20"/>
        <v>#DIV/0!</v>
      </c>
    </row>
    <row r="153" ht="15.75" customHeight="1">
      <c r="A153" s="3"/>
      <c r="B153" s="3"/>
      <c r="C153" s="38"/>
      <c r="D153" s="38"/>
      <c r="E153" s="38"/>
      <c r="F153" s="14"/>
      <c r="G153" s="5" t="str">
        <f t="array" ref="G153">IF($A153="","",IFERROR($F153*(N($C153)*XLOOKUP($B153,Ceras!$A$2:$A$500,Ceras!$G$2:$G$500,0)+IF($D153="",0,N($E153)*XLOOKUP($D153,Ceras!$A$2:$A$500,Ceras!$G$2:$G$500,0))),"Revisar cera"))</f>
        <v/>
      </c>
      <c r="H153" s="5"/>
      <c r="I153" s="3"/>
      <c r="J153" s="14"/>
      <c r="K153" s="5" t="str">
        <f t="array" ref="K153">IF($A153="","",IFERROR($J153*XLOOKUP($I153,Pabilos!$A$2:$A$500,Pabilos!$H$2:$H$500,0),"Revisar pabilo"))</f>
        <v/>
      </c>
      <c r="L153" s="3"/>
      <c r="M153" s="14"/>
      <c r="N153" s="5" t="str">
        <f t="array" ref="N153">IF($A153="","",IFERROR($M153*XLOOKUP($L153,Esencias!$A$2:$A$501,Esencias!$G$2:$G$501,0),"Revisar esencia"))</f>
        <v/>
      </c>
      <c r="O153" s="3"/>
      <c r="P153" s="14"/>
      <c r="Q153" s="5" t="str">
        <f t="array" ref="Q153">IF($A153="","",IFERROR(IF($P153="",1,$P153)*XLOOKUP($O153,Colores!$A$2:$A$500,Colores!$H$2:$H$500,0),"Revisar color"))</f>
        <v/>
      </c>
      <c r="R153" s="3"/>
      <c r="S153" s="5" t="str">
        <f t="array" ref="S153">IF($A153="","",IF($R153="",0,IFERROR(VLOOKUP(LEFT(TRIM(MID(SUBSTITUTE($R153,";",REPT(" ",99)),1,99)),FIND(":",TRIM(MID(SUBSTITUTE($R153,";",REPT(" ",99)),1,99)))-1),Materiales!$A$2:$E$502,5,FALSE)*VALUE(MID(TRIM(MID(SUBSTITUTE($R153,";",REPT(" ",99)),1,99)),FIND(":",TRIM(MID(SUBSTITUTE($R153,";",REPT(" ",99)),1,99)))+1,99)),0) + IFERROR(VLOOKUP(LEFT(TRIM(MID(SUBSTITUTE($R153,";",REPT(" ",99)),100,99)),FIND(":",TRIM(MID(SUBSTITUTE($R153,";",REPT(" ",99)),100,99)))-1),Materiales!$A$2:$E$502,5,FALSE)*VALUE(MID(TRIM(MID(SUBSTITUTE($R153,";",REPT(" ",99)),100,99)),FIND(":",TRIM(MID(SUBSTITUTE($R153,";",REPT(" ",99)),100,99)))+1,99)),0) + IFERROR(VLOOKUP(LEFT(TRIM(MID(SUBSTITUTE($R153,";",REPT(" ",99)),199,99)),FIND(":",TRIM(MID(SUBSTITUTE($R153,";",REPT(" ",99)),199,99)))-1),Materiales!$A$2:$E$502,5,FALSE)*VALUE(MID(TRIM(MID(SUBSTITUTE($R153,";",REPT(" ",99)),199,99)),FIND(":",TRIM(MID(SUBSTITUTE($R153,";",REPT(" ",99)),199,99)))+1,99)),0) + IFERROR(VLOOKUP(LEFT(TRIM(MID(SUBSTITUTE($R153,";",REPT(" ",99)),298,99)),FIND(":",TRIM(MID(SUBSTITUTE($R153,";",REPT(" ",99)),298,99)))-1),Materiales!$A$2:$E$502,5,FALSE)*VALUE(MID(TRIM(MID(SUBSTITUTE($R153,";",REPT(" ",99)),298,99)),FIND(":",TRIM(MID(SUBSTITUTE($R153,";",REPT(" ",99)),298,99)))+1,99)),0) + IFERROR(VLOOKUP(LEFT(TRIM(MID(SUBSTITUTE($R153,";",REPT(" ",99)),397,99)),FIND(":",TRIM(MID(SUBSTITUTE($R153,";",REPT(" ",99)),397,99)))-1),Materiales!$A$2:$E$502,5,FALSE)*VALUE(MID(TRIM(MID(SUBSTITUTE($R153,";",REPT(" ",99)),397,99)),FIND(":",TRIM(MID(SUBSTITUTE($R153,";",REPT(" ",99)),397,99)))+1,99)),0) + IFERROR(VLOOKUP(LEFT(TRIM(MID(SUBSTITUTE($R153,";",REPT(" ",99)),496,99)),FIND(":",TRIM(MID(SUBSTITUTE($R153,";",REPT(" ",99)),496,99)))-1),Materiales!$A$2:$E$502,5,FALSE)*VALUE(MID(TRIM(MID(SUBSTITUTE($R153,";",REPT(" ",99)),496,99)),FIND(":",TRIM(MID(SUBSTITUTE($R153,";",REPT(" ",99)),496,99)))+1,99)),0) + IFERROR(VLOOKUP(LEFT(TRIM(MID(SUBSTITUTE($R153,";",REPT(" ",99)),595,99)),FIND(":",TRIM(MID(SUBSTITUTE($R153,";",REPT(" ",99)),595,99)))-1),Materiales!$A$2:$E$502,5,FALSE)*VALUE(MID(TRIM(MID(SUBSTITUTE($R153,";",REPT(" ",99)),595,99)),FIND(":",TRIM(MID(SUBSTITUTE($R153,";",REPT(" ",99)),595,99)))+1,99)),0) + IFERROR(VLOOKUP(LEFT(TRIM(MID(SUBSTITUTE($R153,";",REPT(" ",99)),694,99)),FIND(":",TRIM(MID(SUBSTITUTE($R153,";",REPT(" ",99)),694,99)))-1),Materiales!$A$2:$E$502,5,FALSE)*VALUE(MID(TRIM(MID(SUBSTITUTE($R153,";",REPT(" ",99)),694,99)),FIND(":",TRIM(MID(SUBSTITUTE($R153,";",REPT(" ",99)),694,99)))+1,99)),0) + IFERROR(VLOOKUP(LEFT(TRIM(MID(SUBSTITUTE($R153,";",REPT(" ",99)),793,99)),FIND(":",TRIM(MID(SUBSTITUTE($R153,";",REPT(" ",99)),793,99)))-1),Materiales!$A$2:$E$502,5,FALSE)*VALUE(MID(TRIM(MID(SUBSTITUTE($R153,";",REPT(" ",99)),793,99)),FIND(":",TRIM(MID(SUBSTITUTE($R153,";",REPT(" ",99)),793,99)))+1,99)),0) + IFERROR(VLOOKUP(LEFT(TRIM(MID(SUBSTITUTE($R153,";",REPT(" ",99)),892,99)),FIND(":",TRIM(MID(SUBSTITUTE($R153,";",REPT(" ",99)),892,99)))-1),Materiales!$A$2:$E$502,5,FALSE)*VALUE(MID(TRIM(MID(SUBSTITUTE($R153,";",REPT(" ",99)),892,99)),FIND(":",TRIM(MID(SUBSTITUTE($R153,";",REPT(" ",99)),892,99)))+1,99)),0)))</f>
        <v/>
      </c>
      <c r="T153" s="3"/>
      <c r="U153" s="5" t="str">
        <f t="array" ref="U153">IF($A153="","",IF($T153="",0,IFERROR(VLOOKUP(LEFT(TRIM(MID(SUBSTITUTE($T153,";",REPT(" ",99)),1,99)),FIND(":",TRIM(MID(SUBSTITUTE($T153,";",REPT(" ",99)),1,99)))-1),Materiales!$A$2:$E$502,5,FALSE)*VALUE(MID(TRIM(MID(SUBSTITUTE($T153,";",REPT(" ",99)),1,99)),FIND(":",TRIM(MID(SUBSTITUTE($T153,";",REPT(" ",99)),1,99)))+1,99)),0) + IFERROR(VLOOKUP(LEFT(TRIM(MID(SUBSTITUTE($T153,";",REPT(" ",99)),100,99)),FIND(":",TRIM(MID(SUBSTITUTE($T153,";",REPT(" ",99)),100,99)))-1),Materiales!$A$2:$E$502,5,FALSE)*VALUE(MID(TRIM(MID(SUBSTITUTE($T153,";",REPT(" ",99)),100,99)),FIND(":",TRIM(MID(SUBSTITUTE($T153,";",REPT(" ",99)),100,99)))+1,99)),0) + IFERROR(VLOOKUP(LEFT(TRIM(MID(SUBSTITUTE($T153,";",REPT(" ",99)),199,99)),FIND(":",TRIM(MID(SUBSTITUTE($T153,";",REPT(" ",99)),199,99)))-1),Materiales!$A$2:$E$502,5,FALSE)*VALUE(MID(TRIM(MID(SUBSTITUTE($T153,";",REPT(" ",99)),199,99)),FIND(":",TRIM(MID(SUBSTITUTE($T153,";",REPT(" ",99)),199,99)))+1,99)),0) + IFERROR(VLOOKUP(LEFT(TRIM(MID(SUBSTITUTE($T153,";",REPT(" ",99)),298,99)),FIND(":",TRIM(MID(SUBSTITUTE($T153,";",REPT(" ",99)),298,99)))-1),Materiales!$A$2:$E$502,5,FALSE)*VALUE(MID(TRIM(MID(SUBSTITUTE($T153,";",REPT(" ",99)),298,99)),FIND(":",TRIM(MID(SUBSTITUTE($T153,";",REPT(" ",99)),298,99)))+1,99)),0) + IFERROR(VLOOKUP(LEFT(TRIM(MID(SUBSTITUTE($T153,";",REPT(" ",99)),397,99)),FIND(":",TRIM(MID(SUBSTITUTE($T153,";",REPT(" ",99)),397,99)))-1),Materiales!$A$2:$E$502,5,FALSE)*VALUE(MID(TRIM(MID(SUBSTITUTE($T153,";",REPT(" ",99)),397,99)),FIND(":",TRIM(MID(SUBSTITUTE($T153,";",REPT(" ",99)),397,99)))+1,99)),0) + IFERROR(VLOOKUP(LEFT(TRIM(MID(SUBSTITUTE($T153,";",REPT(" ",99)),496,99)),FIND(":",TRIM(MID(SUBSTITUTE($T153,";",REPT(" ",99)),496,99)))-1),Materiales!$A$2:$E$502,5,FALSE)*VALUE(MID(TRIM(MID(SUBSTITUTE($T153,";",REPT(" ",99)),496,99)),FIND(":",TRIM(MID(SUBSTITUTE($T153,";",REPT(" ",99)),496,99)))+1,99)),0) + IFERROR(VLOOKUP(LEFT(TRIM(MID(SUBSTITUTE($T153,";",REPT(" ",99)),595,99)),FIND(":",TRIM(MID(SUBSTITUTE($T153,";",REPT(" ",99)),595,99)))-1),Materiales!$A$2:$E$502,5,FALSE)*VALUE(MID(TRIM(MID(SUBSTITUTE($T153,";",REPT(" ",99)),595,99)),FIND(":",TRIM(MID(SUBSTITUTE($T153,";",REPT(" ",99)),595,99)))+1,99)),0) + IFERROR(VLOOKUP(LEFT(TRIM(MID(SUBSTITUTE($T153,";",REPT(" ",99)),694,99)),FIND(":",TRIM(MID(SUBSTITUTE($T153,";",REPT(" ",99)),694,99)))-1),Materiales!$A$2:$E$502,5,FALSE)*VALUE(MID(TRIM(MID(SUBSTITUTE($T153,";",REPT(" ",99)),694,99)),FIND(":",TRIM(MID(SUBSTITUTE($T153,";",REPT(" ",99)),694,99)))+1,99)),0) + IFERROR(VLOOKUP(LEFT(TRIM(MID(SUBSTITUTE($T153,";",REPT(" ",99)),793,99)),FIND(":",TRIM(MID(SUBSTITUTE($T153,";",REPT(" ",99)),793,99)))-1),Materiales!$A$2:$E$502,5,FALSE)*VALUE(MID(TRIM(MID(SUBSTITUTE($T153,";",REPT(" ",99)),793,99)),FIND(":",TRIM(MID(SUBSTITUTE($T153,";",REPT(" ",99)),793,99)))+1,99)),0) + IFERROR(VLOOKUP(LEFT(TRIM(MID(SUBSTITUTE($T153,";",REPT(" ",99)),892,99)),FIND(":",TRIM(MID(SUBSTITUTE($T153,";",REPT(" ",99)),892,99)))-1),Materiales!$A$2:$E$502,5,FALSE)*VALUE(MID(TRIM(MID(SUBSTITUTE($T153,";",REPT(" ",99)),892,99)),FIND(":",TRIM(MID(SUBSTITUTE($T153,";",REPT(" ",99)),892,99)))+1,99)),0)))</f>
        <v/>
      </c>
      <c r="V153" s="3"/>
      <c r="W153" s="5" t="str">
        <f t="array" ref="W153">IF($A153="","",IF($V153="",0,IFERROR(VLOOKUP(LEFT(TRIM(MID(SUBSTITUTE($V153,";",REPT(" ",99)),1,99)),FIND(":",TRIM(MID(SUBSTITUTE($V153,";",REPT(" ",99)),1,99)))-1),Materiales!$A$2:$E$502,5,FALSE)*VALUE(MID(TRIM(MID(SUBSTITUTE($V153,";",REPT(" ",99)),1,99)),FIND(":",TRIM(MID(SUBSTITUTE($V153,";",REPT(" ",99)),1,99)))+1,99)),0) + IFERROR(VLOOKUP(LEFT(TRIM(MID(SUBSTITUTE($V153,";",REPT(" ",99)),100,99)),FIND(":",TRIM(MID(SUBSTITUTE($V153,";",REPT(" ",99)),100,99)))-1),Materiales!$A$2:$E$502,5,FALSE)*VALUE(MID(TRIM(MID(SUBSTITUTE($V153,";",REPT(" ",99)),100,99)),FIND(":",TRIM(MID(SUBSTITUTE($V153,";",REPT(" ",99)),100,99)))+1,99)),0) + IFERROR(VLOOKUP(LEFT(TRIM(MID(SUBSTITUTE($V153,";",REPT(" ",99)),199,99)),FIND(":",TRIM(MID(SUBSTITUTE($V153,";",REPT(" ",99)),199,99)))-1),Materiales!$A$2:$E$502,5,FALSE)*VALUE(MID(TRIM(MID(SUBSTITUTE($V153,";",REPT(" ",99)),199,99)),FIND(":",TRIM(MID(SUBSTITUTE($V153,";",REPT(" ",99)),199,99)))+1,99)),0) + IFERROR(VLOOKUP(LEFT(TRIM(MID(SUBSTITUTE($V153,";",REPT(" ",99)),298,99)),FIND(":",TRIM(MID(SUBSTITUTE($V153,";",REPT(" ",99)),298,99)))-1),Materiales!$A$2:$E$502,5,FALSE)*VALUE(MID(TRIM(MID(SUBSTITUTE($V153,";",REPT(" ",99)),298,99)),FIND(":",TRIM(MID(SUBSTITUTE($V153,";",REPT(" ",99)),298,99)))+1,99)),0) + IFERROR(VLOOKUP(LEFT(TRIM(MID(SUBSTITUTE($V153,";",REPT(" ",99)),397,99)),FIND(":",TRIM(MID(SUBSTITUTE($V153,";",REPT(" ",99)),397,99)))-1),Materiales!$A$2:$E$502,5,FALSE)*VALUE(MID(TRIM(MID(SUBSTITUTE($V153,";",REPT(" ",99)),397,99)),FIND(":",TRIM(MID(SUBSTITUTE($V153,";",REPT(" ",99)),397,99)))+1,99)),0) + IFERROR(VLOOKUP(LEFT(TRIM(MID(SUBSTITUTE($V153,";",REPT(" ",99)),496,99)),FIND(":",TRIM(MID(SUBSTITUTE($V153,";",REPT(" ",99)),496,99)))-1),Materiales!$A$2:$E$502,5,FALSE)*VALUE(MID(TRIM(MID(SUBSTITUTE($V153,";",REPT(" ",99)),496,99)),FIND(":",TRIM(MID(SUBSTITUTE($V153,";",REPT(" ",99)),496,99)))+1,99)),0) + IFERROR(VLOOKUP(LEFT(TRIM(MID(SUBSTITUTE($V153,";",REPT(" ",99)),595,99)),FIND(":",TRIM(MID(SUBSTITUTE($V153,";",REPT(" ",99)),595,99)))-1),Materiales!$A$2:$E$502,5,FALSE)*VALUE(MID(TRIM(MID(SUBSTITUTE($V153,";",REPT(" ",99)),595,99)),FIND(":",TRIM(MID(SUBSTITUTE($V153,";",REPT(" ",99)),595,99)))+1,99)),0) + IFERROR(VLOOKUP(LEFT(TRIM(MID(SUBSTITUTE($V153,";",REPT(" ",99)),694,99)),FIND(":",TRIM(MID(SUBSTITUTE($V153,";",REPT(" ",99)),694,99)))-1),Materiales!$A$2:$E$502,5,FALSE)*VALUE(MID(TRIM(MID(SUBSTITUTE($V153,";",REPT(" ",99)),694,99)),FIND(":",TRIM(MID(SUBSTITUTE($V153,";",REPT(" ",99)),694,99)))+1,99)),0) + IFERROR(VLOOKUP(LEFT(TRIM(MID(SUBSTITUTE($V153,";",REPT(" ",99)),793,99)),FIND(":",TRIM(MID(SUBSTITUTE($V153,";",REPT(" ",99)),793,99)))-1),Materiales!$A$2:$E$502,5,FALSE)*VALUE(MID(TRIM(MID(SUBSTITUTE($V153,";",REPT(" ",99)),793,99)),FIND(":",TRIM(MID(SUBSTITUTE($V153,";",REPT(" ",99)),793,99)))+1,99)),0) + IFERROR(VLOOKUP(LEFT(TRIM(MID(SUBSTITUTE($V153,";",REPT(" ",99)),892,99)),FIND(":",TRIM(MID(SUBSTITUTE($V153,";",REPT(" ",99)),892,99)))-1),Materiales!$A$2:$E$502,5,FALSE)*VALUE(MID(TRIM(MID(SUBSTITUTE($V153,";",REPT(" ",99)),892,99)),FIND(":",TRIM(MID(SUBSTITUTE($V153,";",REPT(" ",99)),892,99)))+1,99)),0)))</f>
        <v/>
      </c>
      <c r="X153" s="39" t="str">
        <f t="shared" si="13"/>
        <v/>
      </c>
      <c r="Y153" s="64"/>
      <c r="Z153" s="67"/>
      <c r="AA153" s="65"/>
      <c r="AB153" s="14"/>
      <c r="AC153" s="66"/>
      <c r="AD153" s="65"/>
      <c r="AE153" s="44">
        <f t="shared" si="17"/>
        <v>0</v>
      </c>
      <c r="AF153" s="45" t="str">
        <f t="shared" si="20"/>
        <v>#DIV/0!</v>
      </c>
    </row>
    <row r="154" ht="15.75" customHeight="1">
      <c r="A154" s="3"/>
      <c r="B154" s="3"/>
      <c r="C154" s="38"/>
      <c r="D154" s="38"/>
      <c r="E154" s="38"/>
      <c r="F154" s="14"/>
      <c r="G154" s="5" t="str">
        <f t="array" ref="G154">IF($A154="","",IFERROR($F154*(N($C154)*XLOOKUP($B154,Ceras!$A$2:$A$500,Ceras!$G$2:$G$500,0)+IF($D154="",0,N($E154)*XLOOKUP($D154,Ceras!$A$2:$A$500,Ceras!$G$2:$G$500,0))),"Revisar cera"))</f>
        <v/>
      </c>
      <c r="H154" s="5"/>
      <c r="I154" s="3"/>
      <c r="J154" s="14"/>
      <c r="K154" s="5" t="str">
        <f t="array" ref="K154">IF($A154="","",IFERROR($J154*XLOOKUP($I154,Pabilos!$A$2:$A$500,Pabilos!$H$2:$H$500,0),"Revisar pabilo"))</f>
        <v/>
      </c>
      <c r="L154" s="3"/>
      <c r="M154" s="14"/>
      <c r="N154" s="5" t="str">
        <f t="array" ref="N154">IF($A154="","",IFERROR($M154*XLOOKUP($L154,Esencias!$A$2:$A$501,Esencias!$G$2:$G$501,0),"Revisar esencia"))</f>
        <v/>
      </c>
      <c r="O154" s="3"/>
      <c r="P154" s="14"/>
      <c r="Q154" s="5" t="str">
        <f t="array" ref="Q154">IF($A154="","",IFERROR(IF($P154="",1,$P154)*XLOOKUP($O154,Colores!$A$2:$A$500,Colores!$H$2:$H$500,0),"Revisar color"))</f>
        <v/>
      </c>
      <c r="R154" s="3"/>
      <c r="S154" s="5" t="str">
        <f t="array" ref="S154">IF($A154="","",IF($R154="",0,IFERROR(VLOOKUP(LEFT(TRIM(MID(SUBSTITUTE($R154,";",REPT(" ",99)),1,99)),FIND(":",TRIM(MID(SUBSTITUTE($R154,";",REPT(" ",99)),1,99)))-1),Materiales!$A$2:$E$502,5,FALSE)*VALUE(MID(TRIM(MID(SUBSTITUTE($R154,";",REPT(" ",99)),1,99)),FIND(":",TRIM(MID(SUBSTITUTE($R154,";",REPT(" ",99)),1,99)))+1,99)),0) + IFERROR(VLOOKUP(LEFT(TRIM(MID(SUBSTITUTE($R154,";",REPT(" ",99)),100,99)),FIND(":",TRIM(MID(SUBSTITUTE($R154,";",REPT(" ",99)),100,99)))-1),Materiales!$A$2:$E$502,5,FALSE)*VALUE(MID(TRIM(MID(SUBSTITUTE($R154,";",REPT(" ",99)),100,99)),FIND(":",TRIM(MID(SUBSTITUTE($R154,";",REPT(" ",99)),100,99)))+1,99)),0) + IFERROR(VLOOKUP(LEFT(TRIM(MID(SUBSTITUTE($R154,";",REPT(" ",99)),199,99)),FIND(":",TRIM(MID(SUBSTITUTE($R154,";",REPT(" ",99)),199,99)))-1),Materiales!$A$2:$E$502,5,FALSE)*VALUE(MID(TRIM(MID(SUBSTITUTE($R154,";",REPT(" ",99)),199,99)),FIND(":",TRIM(MID(SUBSTITUTE($R154,";",REPT(" ",99)),199,99)))+1,99)),0) + IFERROR(VLOOKUP(LEFT(TRIM(MID(SUBSTITUTE($R154,";",REPT(" ",99)),298,99)),FIND(":",TRIM(MID(SUBSTITUTE($R154,";",REPT(" ",99)),298,99)))-1),Materiales!$A$2:$E$502,5,FALSE)*VALUE(MID(TRIM(MID(SUBSTITUTE($R154,";",REPT(" ",99)),298,99)),FIND(":",TRIM(MID(SUBSTITUTE($R154,";",REPT(" ",99)),298,99)))+1,99)),0) + IFERROR(VLOOKUP(LEFT(TRIM(MID(SUBSTITUTE($R154,";",REPT(" ",99)),397,99)),FIND(":",TRIM(MID(SUBSTITUTE($R154,";",REPT(" ",99)),397,99)))-1),Materiales!$A$2:$E$502,5,FALSE)*VALUE(MID(TRIM(MID(SUBSTITUTE($R154,";",REPT(" ",99)),397,99)),FIND(":",TRIM(MID(SUBSTITUTE($R154,";",REPT(" ",99)),397,99)))+1,99)),0) + IFERROR(VLOOKUP(LEFT(TRIM(MID(SUBSTITUTE($R154,";",REPT(" ",99)),496,99)),FIND(":",TRIM(MID(SUBSTITUTE($R154,";",REPT(" ",99)),496,99)))-1),Materiales!$A$2:$E$502,5,FALSE)*VALUE(MID(TRIM(MID(SUBSTITUTE($R154,";",REPT(" ",99)),496,99)),FIND(":",TRIM(MID(SUBSTITUTE($R154,";",REPT(" ",99)),496,99)))+1,99)),0) + IFERROR(VLOOKUP(LEFT(TRIM(MID(SUBSTITUTE($R154,";",REPT(" ",99)),595,99)),FIND(":",TRIM(MID(SUBSTITUTE($R154,";",REPT(" ",99)),595,99)))-1),Materiales!$A$2:$E$502,5,FALSE)*VALUE(MID(TRIM(MID(SUBSTITUTE($R154,";",REPT(" ",99)),595,99)),FIND(":",TRIM(MID(SUBSTITUTE($R154,";",REPT(" ",99)),595,99)))+1,99)),0) + IFERROR(VLOOKUP(LEFT(TRIM(MID(SUBSTITUTE($R154,";",REPT(" ",99)),694,99)),FIND(":",TRIM(MID(SUBSTITUTE($R154,";",REPT(" ",99)),694,99)))-1),Materiales!$A$2:$E$502,5,FALSE)*VALUE(MID(TRIM(MID(SUBSTITUTE($R154,";",REPT(" ",99)),694,99)),FIND(":",TRIM(MID(SUBSTITUTE($R154,";",REPT(" ",99)),694,99)))+1,99)),0) + IFERROR(VLOOKUP(LEFT(TRIM(MID(SUBSTITUTE($R154,";",REPT(" ",99)),793,99)),FIND(":",TRIM(MID(SUBSTITUTE($R154,";",REPT(" ",99)),793,99)))-1),Materiales!$A$2:$E$502,5,FALSE)*VALUE(MID(TRIM(MID(SUBSTITUTE($R154,";",REPT(" ",99)),793,99)),FIND(":",TRIM(MID(SUBSTITUTE($R154,";",REPT(" ",99)),793,99)))+1,99)),0) + IFERROR(VLOOKUP(LEFT(TRIM(MID(SUBSTITUTE($R154,";",REPT(" ",99)),892,99)),FIND(":",TRIM(MID(SUBSTITUTE($R154,";",REPT(" ",99)),892,99)))-1),Materiales!$A$2:$E$502,5,FALSE)*VALUE(MID(TRIM(MID(SUBSTITUTE($R154,";",REPT(" ",99)),892,99)),FIND(":",TRIM(MID(SUBSTITUTE($R154,";",REPT(" ",99)),892,99)))+1,99)),0)))</f>
        <v/>
      </c>
      <c r="T154" s="3"/>
      <c r="U154" s="5" t="str">
        <f t="array" ref="U154">IF($A154="","",IF($T154="",0,IFERROR(VLOOKUP(LEFT(TRIM(MID(SUBSTITUTE($T154,";",REPT(" ",99)),1,99)),FIND(":",TRIM(MID(SUBSTITUTE($T154,";",REPT(" ",99)),1,99)))-1),Materiales!$A$2:$E$502,5,FALSE)*VALUE(MID(TRIM(MID(SUBSTITUTE($T154,";",REPT(" ",99)),1,99)),FIND(":",TRIM(MID(SUBSTITUTE($T154,";",REPT(" ",99)),1,99)))+1,99)),0) + IFERROR(VLOOKUP(LEFT(TRIM(MID(SUBSTITUTE($T154,";",REPT(" ",99)),100,99)),FIND(":",TRIM(MID(SUBSTITUTE($T154,";",REPT(" ",99)),100,99)))-1),Materiales!$A$2:$E$502,5,FALSE)*VALUE(MID(TRIM(MID(SUBSTITUTE($T154,";",REPT(" ",99)),100,99)),FIND(":",TRIM(MID(SUBSTITUTE($T154,";",REPT(" ",99)),100,99)))+1,99)),0) + IFERROR(VLOOKUP(LEFT(TRIM(MID(SUBSTITUTE($T154,";",REPT(" ",99)),199,99)),FIND(":",TRIM(MID(SUBSTITUTE($T154,";",REPT(" ",99)),199,99)))-1),Materiales!$A$2:$E$502,5,FALSE)*VALUE(MID(TRIM(MID(SUBSTITUTE($T154,";",REPT(" ",99)),199,99)),FIND(":",TRIM(MID(SUBSTITUTE($T154,";",REPT(" ",99)),199,99)))+1,99)),0) + IFERROR(VLOOKUP(LEFT(TRIM(MID(SUBSTITUTE($T154,";",REPT(" ",99)),298,99)),FIND(":",TRIM(MID(SUBSTITUTE($T154,";",REPT(" ",99)),298,99)))-1),Materiales!$A$2:$E$502,5,FALSE)*VALUE(MID(TRIM(MID(SUBSTITUTE($T154,";",REPT(" ",99)),298,99)),FIND(":",TRIM(MID(SUBSTITUTE($T154,";",REPT(" ",99)),298,99)))+1,99)),0) + IFERROR(VLOOKUP(LEFT(TRIM(MID(SUBSTITUTE($T154,";",REPT(" ",99)),397,99)),FIND(":",TRIM(MID(SUBSTITUTE($T154,";",REPT(" ",99)),397,99)))-1),Materiales!$A$2:$E$502,5,FALSE)*VALUE(MID(TRIM(MID(SUBSTITUTE($T154,";",REPT(" ",99)),397,99)),FIND(":",TRIM(MID(SUBSTITUTE($T154,";",REPT(" ",99)),397,99)))+1,99)),0) + IFERROR(VLOOKUP(LEFT(TRIM(MID(SUBSTITUTE($T154,";",REPT(" ",99)),496,99)),FIND(":",TRIM(MID(SUBSTITUTE($T154,";",REPT(" ",99)),496,99)))-1),Materiales!$A$2:$E$502,5,FALSE)*VALUE(MID(TRIM(MID(SUBSTITUTE($T154,";",REPT(" ",99)),496,99)),FIND(":",TRIM(MID(SUBSTITUTE($T154,";",REPT(" ",99)),496,99)))+1,99)),0) + IFERROR(VLOOKUP(LEFT(TRIM(MID(SUBSTITUTE($T154,";",REPT(" ",99)),595,99)),FIND(":",TRIM(MID(SUBSTITUTE($T154,";",REPT(" ",99)),595,99)))-1),Materiales!$A$2:$E$502,5,FALSE)*VALUE(MID(TRIM(MID(SUBSTITUTE($T154,";",REPT(" ",99)),595,99)),FIND(":",TRIM(MID(SUBSTITUTE($T154,";",REPT(" ",99)),595,99)))+1,99)),0) + IFERROR(VLOOKUP(LEFT(TRIM(MID(SUBSTITUTE($T154,";",REPT(" ",99)),694,99)),FIND(":",TRIM(MID(SUBSTITUTE($T154,";",REPT(" ",99)),694,99)))-1),Materiales!$A$2:$E$502,5,FALSE)*VALUE(MID(TRIM(MID(SUBSTITUTE($T154,";",REPT(" ",99)),694,99)),FIND(":",TRIM(MID(SUBSTITUTE($T154,";",REPT(" ",99)),694,99)))+1,99)),0) + IFERROR(VLOOKUP(LEFT(TRIM(MID(SUBSTITUTE($T154,";",REPT(" ",99)),793,99)),FIND(":",TRIM(MID(SUBSTITUTE($T154,";",REPT(" ",99)),793,99)))-1),Materiales!$A$2:$E$502,5,FALSE)*VALUE(MID(TRIM(MID(SUBSTITUTE($T154,";",REPT(" ",99)),793,99)),FIND(":",TRIM(MID(SUBSTITUTE($T154,";",REPT(" ",99)),793,99)))+1,99)),0) + IFERROR(VLOOKUP(LEFT(TRIM(MID(SUBSTITUTE($T154,";",REPT(" ",99)),892,99)),FIND(":",TRIM(MID(SUBSTITUTE($T154,";",REPT(" ",99)),892,99)))-1),Materiales!$A$2:$E$502,5,FALSE)*VALUE(MID(TRIM(MID(SUBSTITUTE($T154,";",REPT(" ",99)),892,99)),FIND(":",TRIM(MID(SUBSTITUTE($T154,";",REPT(" ",99)),892,99)))+1,99)),0)))</f>
        <v/>
      </c>
      <c r="V154" s="3"/>
      <c r="W154" s="5" t="str">
        <f t="array" ref="W154">IF($A154="","",IF($V154="",0,IFERROR(VLOOKUP(LEFT(TRIM(MID(SUBSTITUTE($V154,";",REPT(" ",99)),1,99)),FIND(":",TRIM(MID(SUBSTITUTE($V154,";",REPT(" ",99)),1,99)))-1),Materiales!$A$2:$E$502,5,FALSE)*VALUE(MID(TRIM(MID(SUBSTITUTE($V154,";",REPT(" ",99)),1,99)),FIND(":",TRIM(MID(SUBSTITUTE($V154,";",REPT(" ",99)),1,99)))+1,99)),0) + IFERROR(VLOOKUP(LEFT(TRIM(MID(SUBSTITUTE($V154,";",REPT(" ",99)),100,99)),FIND(":",TRIM(MID(SUBSTITUTE($V154,";",REPT(" ",99)),100,99)))-1),Materiales!$A$2:$E$502,5,FALSE)*VALUE(MID(TRIM(MID(SUBSTITUTE($V154,";",REPT(" ",99)),100,99)),FIND(":",TRIM(MID(SUBSTITUTE($V154,";",REPT(" ",99)),100,99)))+1,99)),0) + IFERROR(VLOOKUP(LEFT(TRIM(MID(SUBSTITUTE($V154,";",REPT(" ",99)),199,99)),FIND(":",TRIM(MID(SUBSTITUTE($V154,";",REPT(" ",99)),199,99)))-1),Materiales!$A$2:$E$502,5,FALSE)*VALUE(MID(TRIM(MID(SUBSTITUTE($V154,";",REPT(" ",99)),199,99)),FIND(":",TRIM(MID(SUBSTITUTE($V154,";",REPT(" ",99)),199,99)))+1,99)),0) + IFERROR(VLOOKUP(LEFT(TRIM(MID(SUBSTITUTE($V154,";",REPT(" ",99)),298,99)),FIND(":",TRIM(MID(SUBSTITUTE($V154,";",REPT(" ",99)),298,99)))-1),Materiales!$A$2:$E$502,5,FALSE)*VALUE(MID(TRIM(MID(SUBSTITUTE($V154,";",REPT(" ",99)),298,99)),FIND(":",TRIM(MID(SUBSTITUTE($V154,";",REPT(" ",99)),298,99)))+1,99)),0) + IFERROR(VLOOKUP(LEFT(TRIM(MID(SUBSTITUTE($V154,";",REPT(" ",99)),397,99)),FIND(":",TRIM(MID(SUBSTITUTE($V154,";",REPT(" ",99)),397,99)))-1),Materiales!$A$2:$E$502,5,FALSE)*VALUE(MID(TRIM(MID(SUBSTITUTE($V154,";",REPT(" ",99)),397,99)),FIND(":",TRIM(MID(SUBSTITUTE($V154,";",REPT(" ",99)),397,99)))+1,99)),0) + IFERROR(VLOOKUP(LEFT(TRIM(MID(SUBSTITUTE($V154,";",REPT(" ",99)),496,99)),FIND(":",TRIM(MID(SUBSTITUTE($V154,";",REPT(" ",99)),496,99)))-1),Materiales!$A$2:$E$502,5,FALSE)*VALUE(MID(TRIM(MID(SUBSTITUTE($V154,";",REPT(" ",99)),496,99)),FIND(":",TRIM(MID(SUBSTITUTE($V154,";",REPT(" ",99)),496,99)))+1,99)),0) + IFERROR(VLOOKUP(LEFT(TRIM(MID(SUBSTITUTE($V154,";",REPT(" ",99)),595,99)),FIND(":",TRIM(MID(SUBSTITUTE($V154,";",REPT(" ",99)),595,99)))-1),Materiales!$A$2:$E$502,5,FALSE)*VALUE(MID(TRIM(MID(SUBSTITUTE($V154,";",REPT(" ",99)),595,99)),FIND(":",TRIM(MID(SUBSTITUTE($V154,";",REPT(" ",99)),595,99)))+1,99)),0) + IFERROR(VLOOKUP(LEFT(TRIM(MID(SUBSTITUTE($V154,";",REPT(" ",99)),694,99)),FIND(":",TRIM(MID(SUBSTITUTE($V154,";",REPT(" ",99)),694,99)))-1),Materiales!$A$2:$E$502,5,FALSE)*VALUE(MID(TRIM(MID(SUBSTITUTE($V154,";",REPT(" ",99)),694,99)),FIND(":",TRIM(MID(SUBSTITUTE($V154,";",REPT(" ",99)),694,99)))+1,99)),0) + IFERROR(VLOOKUP(LEFT(TRIM(MID(SUBSTITUTE($V154,";",REPT(" ",99)),793,99)),FIND(":",TRIM(MID(SUBSTITUTE($V154,";",REPT(" ",99)),793,99)))-1),Materiales!$A$2:$E$502,5,FALSE)*VALUE(MID(TRIM(MID(SUBSTITUTE($V154,";",REPT(" ",99)),793,99)),FIND(":",TRIM(MID(SUBSTITUTE($V154,";",REPT(" ",99)),793,99)))+1,99)),0) + IFERROR(VLOOKUP(LEFT(TRIM(MID(SUBSTITUTE($V154,";",REPT(" ",99)),892,99)),FIND(":",TRIM(MID(SUBSTITUTE($V154,";",REPT(" ",99)),892,99)))-1),Materiales!$A$2:$E$502,5,FALSE)*VALUE(MID(TRIM(MID(SUBSTITUTE($V154,";",REPT(" ",99)),892,99)),FIND(":",TRIM(MID(SUBSTITUTE($V154,";",REPT(" ",99)),892,99)))+1,99)),0)))</f>
        <v/>
      </c>
      <c r="X154" s="39" t="str">
        <f t="shared" si="13"/>
        <v/>
      </c>
      <c r="Y154" s="64"/>
      <c r="Z154" s="67"/>
      <c r="AA154" s="65"/>
      <c r="AB154" s="14"/>
      <c r="AC154" s="66"/>
      <c r="AD154" s="65"/>
      <c r="AE154" s="44">
        <f t="shared" si="17"/>
        <v>0</v>
      </c>
      <c r="AF154" s="45" t="str">
        <f t="shared" si="20"/>
        <v>#DIV/0!</v>
      </c>
    </row>
    <row r="155" ht="15.75" customHeight="1">
      <c r="A155" s="3"/>
      <c r="B155" s="3"/>
      <c r="C155" s="38"/>
      <c r="D155" s="38"/>
      <c r="E155" s="38"/>
      <c r="F155" s="14"/>
      <c r="G155" s="5" t="str">
        <f t="array" ref="G155">IF($A155="","",IFERROR($F155*(N($C155)*XLOOKUP($B155,Ceras!$A$2:$A$500,Ceras!$G$2:$G$500,0)+IF($D155="",0,N($E155)*XLOOKUP($D155,Ceras!$A$2:$A$500,Ceras!$G$2:$G$500,0))),"Revisar cera"))</f>
        <v/>
      </c>
      <c r="H155" s="5"/>
      <c r="I155" s="3"/>
      <c r="J155" s="14"/>
      <c r="K155" s="5" t="str">
        <f t="array" ref="K155">IF($A155="","",IFERROR($J155*XLOOKUP($I155,Pabilos!$A$2:$A$500,Pabilos!$H$2:$H$500,0),"Revisar pabilo"))</f>
        <v/>
      </c>
      <c r="L155" s="3"/>
      <c r="M155" s="14"/>
      <c r="N155" s="5" t="str">
        <f t="array" ref="N155">IF($A155="","",IFERROR($M155*XLOOKUP($L155,Esencias!$A$2:$A$501,Esencias!$G$2:$G$501,0),"Revisar esencia"))</f>
        <v/>
      </c>
      <c r="O155" s="3"/>
      <c r="P155" s="14"/>
      <c r="Q155" s="5" t="str">
        <f t="array" ref="Q155">IF($A155="","",IFERROR(IF($P155="",1,$P155)*XLOOKUP($O155,Colores!$A$2:$A$500,Colores!$H$2:$H$500,0),"Revisar color"))</f>
        <v/>
      </c>
      <c r="R155" s="3"/>
      <c r="S155" s="5" t="str">
        <f t="array" ref="S155">IF($A155="","",IF($R155="",0,IFERROR(VLOOKUP(LEFT(TRIM(MID(SUBSTITUTE($R155,";",REPT(" ",99)),1,99)),FIND(":",TRIM(MID(SUBSTITUTE($R155,";",REPT(" ",99)),1,99)))-1),Materiales!$A$2:$E$502,5,FALSE)*VALUE(MID(TRIM(MID(SUBSTITUTE($R155,";",REPT(" ",99)),1,99)),FIND(":",TRIM(MID(SUBSTITUTE($R155,";",REPT(" ",99)),1,99)))+1,99)),0) + IFERROR(VLOOKUP(LEFT(TRIM(MID(SUBSTITUTE($R155,";",REPT(" ",99)),100,99)),FIND(":",TRIM(MID(SUBSTITUTE($R155,";",REPT(" ",99)),100,99)))-1),Materiales!$A$2:$E$502,5,FALSE)*VALUE(MID(TRIM(MID(SUBSTITUTE($R155,";",REPT(" ",99)),100,99)),FIND(":",TRIM(MID(SUBSTITUTE($R155,";",REPT(" ",99)),100,99)))+1,99)),0) + IFERROR(VLOOKUP(LEFT(TRIM(MID(SUBSTITUTE($R155,";",REPT(" ",99)),199,99)),FIND(":",TRIM(MID(SUBSTITUTE($R155,";",REPT(" ",99)),199,99)))-1),Materiales!$A$2:$E$502,5,FALSE)*VALUE(MID(TRIM(MID(SUBSTITUTE($R155,";",REPT(" ",99)),199,99)),FIND(":",TRIM(MID(SUBSTITUTE($R155,";",REPT(" ",99)),199,99)))+1,99)),0) + IFERROR(VLOOKUP(LEFT(TRIM(MID(SUBSTITUTE($R155,";",REPT(" ",99)),298,99)),FIND(":",TRIM(MID(SUBSTITUTE($R155,";",REPT(" ",99)),298,99)))-1),Materiales!$A$2:$E$502,5,FALSE)*VALUE(MID(TRIM(MID(SUBSTITUTE($R155,";",REPT(" ",99)),298,99)),FIND(":",TRIM(MID(SUBSTITUTE($R155,";",REPT(" ",99)),298,99)))+1,99)),0) + IFERROR(VLOOKUP(LEFT(TRIM(MID(SUBSTITUTE($R155,";",REPT(" ",99)),397,99)),FIND(":",TRIM(MID(SUBSTITUTE($R155,";",REPT(" ",99)),397,99)))-1),Materiales!$A$2:$E$502,5,FALSE)*VALUE(MID(TRIM(MID(SUBSTITUTE($R155,";",REPT(" ",99)),397,99)),FIND(":",TRIM(MID(SUBSTITUTE($R155,";",REPT(" ",99)),397,99)))+1,99)),0) + IFERROR(VLOOKUP(LEFT(TRIM(MID(SUBSTITUTE($R155,";",REPT(" ",99)),496,99)),FIND(":",TRIM(MID(SUBSTITUTE($R155,";",REPT(" ",99)),496,99)))-1),Materiales!$A$2:$E$502,5,FALSE)*VALUE(MID(TRIM(MID(SUBSTITUTE($R155,";",REPT(" ",99)),496,99)),FIND(":",TRIM(MID(SUBSTITUTE($R155,";",REPT(" ",99)),496,99)))+1,99)),0) + IFERROR(VLOOKUP(LEFT(TRIM(MID(SUBSTITUTE($R155,";",REPT(" ",99)),595,99)),FIND(":",TRIM(MID(SUBSTITUTE($R155,";",REPT(" ",99)),595,99)))-1),Materiales!$A$2:$E$502,5,FALSE)*VALUE(MID(TRIM(MID(SUBSTITUTE($R155,";",REPT(" ",99)),595,99)),FIND(":",TRIM(MID(SUBSTITUTE($R155,";",REPT(" ",99)),595,99)))+1,99)),0) + IFERROR(VLOOKUP(LEFT(TRIM(MID(SUBSTITUTE($R155,";",REPT(" ",99)),694,99)),FIND(":",TRIM(MID(SUBSTITUTE($R155,";",REPT(" ",99)),694,99)))-1),Materiales!$A$2:$E$502,5,FALSE)*VALUE(MID(TRIM(MID(SUBSTITUTE($R155,";",REPT(" ",99)),694,99)),FIND(":",TRIM(MID(SUBSTITUTE($R155,";",REPT(" ",99)),694,99)))+1,99)),0) + IFERROR(VLOOKUP(LEFT(TRIM(MID(SUBSTITUTE($R155,";",REPT(" ",99)),793,99)),FIND(":",TRIM(MID(SUBSTITUTE($R155,";",REPT(" ",99)),793,99)))-1),Materiales!$A$2:$E$502,5,FALSE)*VALUE(MID(TRIM(MID(SUBSTITUTE($R155,";",REPT(" ",99)),793,99)),FIND(":",TRIM(MID(SUBSTITUTE($R155,";",REPT(" ",99)),793,99)))+1,99)),0) + IFERROR(VLOOKUP(LEFT(TRIM(MID(SUBSTITUTE($R155,";",REPT(" ",99)),892,99)),FIND(":",TRIM(MID(SUBSTITUTE($R155,";",REPT(" ",99)),892,99)))-1),Materiales!$A$2:$E$502,5,FALSE)*VALUE(MID(TRIM(MID(SUBSTITUTE($R155,";",REPT(" ",99)),892,99)),FIND(":",TRIM(MID(SUBSTITUTE($R155,";",REPT(" ",99)),892,99)))+1,99)),0)))</f>
        <v/>
      </c>
      <c r="T155" s="3"/>
      <c r="U155" s="5" t="str">
        <f t="array" ref="U155">IF($A155="","",IF($T155="",0,IFERROR(VLOOKUP(LEFT(TRIM(MID(SUBSTITUTE($T155,";",REPT(" ",99)),1,99)),FIND(":",TRIM(MID(SUBSTITUTE($T155,";",REPT(" ",99)),1,99)))-1),Materiales!$A$2:$E$502,5,FALSE)*VALUE(MID(TRIM(MID(SUBSTITUTE($T155,";",REPT(" ",99)),1,99)),FIND(":",TRIM(MID(SUBSTITUTE($T155,";",REPT(" ",99)),1,99)))+1,99)),0) + IFERROR(VLOOKUP(LEFT(TRIM(MID(SUBSTITUTE($T155,";",REPT(" ",99)),100,99)),FIND(":",TRIM(MID(SUBSTITUTE($T155,";",REPT(" ",99)),100,99)))-1),Materiales!$A$2:$E$502,5,FALSE)*VALUE(MID(TRIM(MID(SUBSTITUTE($T155,";",REPT(" ",99)),100,99)),FIND(":",TRIM(MID(SUBSTITUTE($T155,";",REPT(" ",99)),100,99)))+1,99)),0) + IFERROR(VLOOKUP(LEFT(TRIM(MID(SUBSTITUTE($T155,";",REPT(" ",99)),199,99)),FIND(":",TRIM(MID(SUBSTITUTE($T155,";",REPT(" ",99)),199,99)))-1),Materiales!$A$2:$E$502,5,FALSE)*VALUE(MID(TRIM(MID(SUBSTITUTE($T155,";",REPT(" ",99)),199,99)),FIND(":",TRIM(MID(SUBSTITUTE($T155,";",REPT(" ",99)),199,99)))+1,99)),0) + IFERROR(VLOOKUP(LEFT(TRIM(MID(SUBSTITUTE($T155,";",REPT(" ",99)),298,99)),FIND(":",TRIM(MID(SUBSTITUTE($T155,";",REPT(" ",99)),298,99)))-1),Materiales!$A$2:$E$502,5,FALSE)*VALUE(MID(TRIM(MID(SUBSTITUTE($T155,";",REPT(" ",99)),298,99)),FIND(":",TRIM(MID(SUBSTITUTE($T155,";",REPT(" ",99)),298,99)))+1,99)),0) + IFERROR(VLOOKUP(LEFT(TRIM(MID(SUBSTITUTE($T155,";",REPT(" ",99)),397,99)),FIND(":",TRIM(MID(SUBSTITUTE($T155,";",REPT(" ",99)),397,99)))-1),Materiales!$A$2:$E$502,5,FALSE)*VALUE(MID(TRIM(MID(SUBSTITUTE($T155,";",REPT(" ",99)),397,99)),FIND(":",TRIM(MID(SUBSTITUTE($T155,";",REPT(" ",99)),397,99)))+1,99)),0) + IFERROR(VLOOKUP(LEFT(TRIM(MID(SUBSTITUTE($T155,";",REPT(" ",99)),496,99)),FIND(":",TRIM(MID(SUBSTITUTE($T155,";",REPT(" ",99)),496,99)))-1),Materiales!$A$2:$E$502,5,FALSE)*VALUE(MID(TRIM(MID(SUBSTITUTE($T155,";",REPT(" ",99)),496,99)),FIND(":",TRIM(MID(SUBSTITUTE($T155,";",REPT(" ",99)),496,99)))+1,99)),0) + IFERROR(VLOOKUP(LEFT(TRIM(MID(SUBSTITUTE($T155,";",REPT(" ",99)),595,99)),FIND(":",TRIM(MID(SUBSTITUTE($T155,";",REPT(" ",99)),595,99)))-1),Materiales!$A$2:$E$502,5,FALSE)*VALUE(MID(TRIM(MID(SUBSTITUTE($T155,";",REPT(" ",99)),595,99)),FIND(":",TRIM(MID(SUBSTITUTE($T155,";",REPT(" ",99)),595,99)))+1,99)),0) + IFERROR(VLOOKUP(LEFT(TRIM(MID(SUBSTITUTE($T155,";",REPT(" ",99)),694,99)),FIND(":",TRIM(MID(SUBSTITUTE($T155,";",REPT(" ",99)),694,99)))-1),Materiales!$A$2:$E$502,5,FALSE)*VALUE(MID(TRIM(MID(SUBSTITUTE($T155,";",REPT(" ",99)),694,99)),FIND(":",TRIM(MID(SUBSTITUTE($T155,";",REPT(" ",99)),694,99)))+1,99)),0) + IFERROR(VLOOKUP(LEFT(TRIM(MID(SUBSTITUTE($T155,";",REPT(" ",99)),793,99)),FIND(":",TRIM(MID(SUBSTITUTE($T155,";",REPT(" ",99)),793,99)))-1),Materiales!$A$2:$E$502,5,FALSE)*VALUE(MID(TRIM(MID(SUBSTITUTE($T155,";",REPT(" ",99)),793,99)),FIND(":",TRIM(MID(SUBSTITUTE($T155,";",REPT(" ",99)),793,99)))+1,99)),0) + IFERROR(VLOOKUP(LEFT(TRIM(MID(SUBSTITUTE($T155,";",REPT(" ",99)),892,99)),FIND(":",TRIM(MID(SUBSTITUTE($T155,";",REPT(" ",99)),892,99)))-1),Materiales!$A$2:$E$502,5,FALSE)*VALUE(MID(TRIM(MID(SUBSTITUTE($T155,";",REPT(" ",99)),892,99)),FIND(":",TRIM(MID(SUBSTITUTE($T155,";",REPT(" ",99)),892,99)))+1,99)),0)))</f>
        <v/>
      </c>
      <c r="V155" s="3"/>
      <c r="W155" s="5" t="str">
        <f t="array" ref="W155">IF($A155="","",IF($V155="",0,IFERROR(VLOOKUP(LEFT(TRIM(MID(SUBSTITUTE($V155,";",REPT(" ",99)),1,99)),FIND(":",TRIM(MID(SUBSTITUTE($V155,";",REPT(" ",99)),1,99)))-1),Materiales!$A$2:$E$502,5,FALSE)*VALUE(MID(TRIM(MID(SUBSTITUTE($V155,";",REPT(" ",99)),1,99)),FIND(":",TRIM(MID(SUBSTITUTE($V155,";",REPT(" ",99)),1,99)))+1,99)),0) + IFERROR(VLOOKUP(LEFT(TRIM(MID(SUBSTITUTE($V155,";",REPT(" ",99)),100,99)),FIND(":",TRIM(MID(SUBSTITUTE($V155,";",REPT(" ",99)),100,99)))-1),Materiales!$A$2:$E$502,5,FALSE)*VALUE(MID(TRIM(MID(SUBSTITUTE($V155,";",REPT(" ",99)),100,99)),FIND(":",TRIM(MID(SUBSTITUTE($V155,";",REPT(" ",99)),100,99)))+1,99)),0) + IFERROR(VLOOKUP(LEFT(TRIM(MID(SUBSTITUTE($V155,";",REPT(" ",99)),199,99)),FIND(":",TRIM(MID(SUBSTITUTE($V155,";",REPT(" ",99)),199,99)))-1),Materiales!$A$2:$E$502,5,FALSE)*VALUE(MID(TRIM(MID(SUBSTITUTE($V155,";",REPT(" ",99)),199,99)),FIND(":",TRIM(MID(SUBSTITUTE($V155,";",REPT(" ",99)),199,99)))+1,99)),0) + IFERROR(VLOOKUP(LEFT(TRIM(MID(SUBSTITUTE($V155,";",REPT(" ",99)),298,99)),FIND(":",TRIM(MID(SUBSTITUTE($V155,";",REPT(" ",99)),298,99)))-1),Materiales!$A$2:$E$502,5,FALSE)*VALUE(MID(TRIM(MID(SUBSTITUTE($V155,";",REPT(" ",99)),298,99)),FIND(":",TRIM(MID(SUBSTITUTE($V155,";",REPT(" ",99)),298,99)))+1,99)),0) + IFERROR(VLOOKUP(LEFT(TRIM(MID(SUBSTITUTE($V155,";",REPT(" ",99)),397,99)),FIND(":",TRIM(MID(SUBSTITUTE($V155,";",REPT(" ",99)),397,99)))-1),Materiales!$A$2:$E$502,5,FALSE)*VALUE(MID(TRIM(MID(SUBSTITUTE($V155,";",REPT(" ",99)),397,99)),FIND(":",TRIM(MID(SUBSTITUTE($V155,";",REPT(" ",99)),397,99)))+1,99)),0) + IFERROR(VLOOKUP(LEFT(TRIM(MID(SUBSTITUTE($V155,";",REPT(" ",99)),496,99)),FIND(":",TRIM(MID(SUBSTITUTE($V155,";",REPT(" ",99)),496,99)))-1),Materiales!$A$2:$E$502,5,FALSE)*VALUE(MID(TRIM(MID(SUBSTITUTE($V155,";",REPT(" ",99)),496,99)),FIND(":",TRIM(MID(SUBSTITUTE($V155,";",REPT(" ",99)),496,99)))+1,99)),0) + IFERROR(VLOOKUP(LEFT(TRIM(MID(SUBSTITUTE($V155,";",REPT(" ",99)),595,99)),FIND(":",TRIM(MID(SUBSTITUTE($V155,";",REPT(" ",99)),595,99)))-1),Materiales!$A$2:$E$502,5,FALSE)*VALUE(MID(TRIM(MID(SUBSTITUTE($V155,";",REPT(" ",99)),595,99)),FIND(":",TRIM(MID(SUBSTITUTE($V155,";",REPT(" ",99)),595,99)))+1,99)),0) + IFERROR(VLOOKUP(LEFT(TRIM(MID(SUBSTITUTE($V155,";",REPT(" ",99)),694,99)),FIND(":",TRIM(MID(SUBSTITUTE($V155,";",REPT(" ",99)),694,99)))-1),Materiales!$A$2:$E$502,5,FALSE)*VALUE(MID(TRIM(MID(SUBSTITUTE($V155,";",REPT(" ",99)),694,99)),FIND(":",TRIM(MID(SUBSTITUTE($V155,";",REPT(" ",99)),694,99)))+1,99)),0) + IFERROR(VLOOKUP(LEFT(TRIM(MID(SUBSTITUTE($V155,";",REPT(" ",99)),793,99)),FIND(":",TRIM(MID(SUBSTITUTE($V155,";",REPT(" ",99)),793,99)))-1),Materiales!$A$2:$E$502,5,FALSE)*VALUE(MID(TRIM(MID(SUBSTITUTE($V155,";",REPT(" ",99)),793,99)),FIND(":",TRIM(MID(SUBSTITUTE($V155,";",REPT(" ",99)),793,99)))+1,99)),0) + IFERROR(VLOOKUP(LEFT(TRIM(MID(SUBSTITUTE($V155,";",REPT(" ",99)),892,99)),FIND(":",TRIM(MID(SUBSTITUTE($V155,";",REPT(" ",99)),892,99)))-1),Materiales!$A$2:$E$502,5,FALSE)*VALUE(MID(TRIM(MID(SUBSTITUTE($V155,";",REPT(" ",99)),892,99)),FIND(":",TRIM(MID(SUBSTITUTE($V155,";",REPT(" ",99)),892,99)))+1,99)),0)))</f>
        <v/>
      </c>
      <c r="X155" s="39" t="str">
        <f t="shared" si="13"/>
        <v/>
      </c>
      <c r="Y155" s="64"/>
      <c r="Z155" s="67"/>
      <c r="AA155" s="65"/>
      <c r="AB155" s="14"/>
      <c r="AC155" s="66"/>
      <c r="AD155" s="65"/>
      <c r="AE155" s="44">
        <f t="shared" si="17"/>
        <v>0</v>
      </c>
      <c r="AF155" s="45" t="str">
        <f t="shared" si="20"/>
        <v>#DIV/0!</v>
      </c>
    </row>
    <row r="156" ht="15.75" customHeight="1">
      <c r="A156" s="3"/>
      <c r="B156" s="3"/>
      <c r="C156" s="38"/>
      <c r="D156" s="38"/>
      <c r="E156" s="38"/>
      <c r="F156" s="14"/>
      <c r="G156" s="5" t="str">
        <f t="array" ref="G156">IF($A156="","",IFERROR($F156*(N($C156)*XLOOKUP($B156,Ceras!$A$2:$A$500,Ceras!$G$2:$G$500,0)+IF($D156="",0,N($E156)*XLOOKUP($D156,Ceras!$A$2:$A$500,Ceras!$G$2:$G$500,0))),"Revisar cera"))</f>
        <v/>
      </c>
      <c r="H156" s="5"/>
      <c r="I156" s="3"/>
      <c r="J156" s="14"/>
      <c r="K156" s="5" t="str">
        <f t="array" ref="K156">IF($A156="","",IFERROR($J156*XLOOKUP($I156,Pabilos!$A$2:$A$500,Pabilos!$H$2:$H$500,0),"Revisar pabilo"))</f>
        <v/>
      </c>
      <c r="L156" s="3"/>
      <c r="M156" s="14"/>
      <c r="N156" s="5" t="str">
        <f t="array" ref="N156">IF($A156="","",IFERROR($M156*XLOOKUP($L156,Esencias!$A$2:$A$501,Esencias!$G$2:$G$501,0),"Revisar esencia"))</f>
        <v/>
      </c>
      <c r="O156" s="3"/>
      <c r="P156" s="14"/>
      <c r="Q156" s="5" t="str">
        <f t="array" ref="Q156">IF($A156="","",IFERROR(IF($P156="",1,$P156)*XLOOKUP($O156,Colores!$A$2:$A$500,Colores!$H$2:$H$500,0),"Revisar color"))</f>
        <v/>
      </c>
      <c r="R156" s="3"/>
      <c r="S156" s="5" t="str">
        <f t="array" ref="S156">IF($A156="","",IF($R156="",0,IFERROR(VLOOKUP(LEFT(TRIM(MID(SUBSTITUTE($R156,";",REPT(" ",99)),1,99)),FIND(":",TRIM(MID(SUBSTITUTE($R156,";",REPT(" ",99)),1,99)))-1),Materiales!$A$2:$E$502,5,FALSE)*VALUE(MID(TRIM(MID(SUBSTITUTE($R156,";",REPT(" ",99)),1,99)),FIND(":",TRIM(MID(SUBSTITUTE($R156,";",REPT(" ",99)),1,99)))+1,99)),0) + IFERROR(VLOOKUP(LEFT(TRIM(MID(SUBSTITUTE($R156,";",REPT(" ",99)),100,99)),FIND(":",TRIM(MID(SUBSTITUTE($R156,";",REPT(" ",99)),100,99)))-1),Materiales!$A$2:$E$502,5,FALSE)*VALUE(MID(TRIM(MID(SUBSTITUTE($R156,";",REPT(" ",99)),100,99)),FIND(":",TRIM(MID(SUBSTITUTE($R156,";",REPT(" ",99)),100,99)))+1,99)),0) + IFERROR(VLOOKUP(LEFT(TRIM(MID(SUBSTITUTE($R156,";",REPT(" ",99)),199,99)),FIND(":",TRIM(MID(SUBSTITUTE($R156,";",REPT(" ",99)),199,99)))-1),Materiales!$A$2:$E$502,5,FALSE)*VALUE(MID(TRIM(MID(SUBSTITUTE($R156,";",REPT(" ",99)),199,99)),FIND(":",TRIM(MID(SUBSTITUTE($R156,";",REPT(" ",99)),199,99)))+1,99)),0) + IFERROR(VLOOKUP(LEFT(TRIM(MID(SUBSTITUTE($R156,";",REPT(" ",99)),298,99)),FIND(":",TRIM(MID(SUBSTITUTE($R156,";",REPT(" ",99)),298,99)))-1),Materiales!$A$2:$E$502,5,FALSE)*VALUE(MID(TRIM(MID(SUBSTITUTE($R156,";",REPT(" ",99)),298,99)),FIND(":",TRIM(MID(SUBSTITUTE($R156,";",REPT(" ",99)),298,99)))+1,99)),0) + IFERROR(VLOOKUP(LEFT(TRIM(MID(SUBSTITUTE($R156,";",REPT(" ",99)),397,99)),FIND(":",TRIM(MID(SUBSTITUTE($R156,";",REPT(" ",99)),397,99)))-1),Materiales!$A$2:$E$502,5,FALSE)*VALUE(MID(TRIM(MID(SUBSTITUTE($R156,";",REPT(" ",99)),397,99)),FIND(":",TRIM(MID(SUBSTITUTE($R156,";",REPT(" ",99)),397,99)))+1,99)),0) + IFERROR(VLOOKUP(LEFT(TRIM(MID(SUBSTITUTE($R156,";",REPT(" ",99)),496,99)),FIND(":",TRIM(MID(SUBSTITUTE($R156,";",REPT(" ",99)),496,99)))-1),Materiales!$A$2:$E$502,5,FALSE)*VALUE(MID(TRIM(MID(SUBSTITUTE($R156,";",REPT(" ",99)),496,99)),FIND(":",TRIM(MID(SUBSTITUTE($R156,";",REPT(" ",99)),496,99)))+1,99)),0) + IFERROR(VLOOKUP(LEFT(TRIM(MID(SUBSTITUTE($R156,";",REPT(" ",99)),595,99)),FIND(":",TRIM(MID(SUBSTITUTE($R156,";",REPT(" ",99)),595,99)))-1),Materiales!$A$2:$E$502,5,FALSE)*VALUE(MID(TRIM(MID(SUBSTITUTE($R156,";",REPT(" ",99)),595,99)),FIND(":",TRIM(MID(SUBSTITUTE($R156,";",REPT(" ",99)),595,99)))+1,99)),0) + IFERROR(VLOOKUP(LEFT(TRIM(MID(SUBSTITUTE($R156,";",REPT(" ",99)),694,99)),FIND(":",TRIM(MID(SUBSTITUTE($R156,";",REPT(" ",99)),694,99)))-1),Materiales!$A$2:$E$502,5,FALSE)*VALUE(MID(TRIM(MID(SUBSTITUTE($R156,";",REPT(" ",99)),694,99)),FIND(":",TRIM(MID(SUBSTITUTE($R156,";",REPT(" ",99)),694,99)))+1,99)),0) + IFERROR(VLOOKUP(LEFT(TRIM(MID(SUBSTITUTE($R156,";",REPT(" ",99)),793,99)),FIND(":",TRIM(MID(SUBSTITUTE($R156,";",REPT(" ",99)),793,99)))-1),Materiales!$A$2:$E$502,5,FALSE)*VALUE(MID(TRIM(MID(SUBSTITUTE($R156,";",REPT(" ",99)),793,99)),FIND(":",TRIM(MID(SUBSTITUTE($R156,";",REPT(" ",99)),793,99)))+1,99)),0) + IFERROR(VLOOKUP(LEFT(TRIM(MID(SUBSTITUTE($R156,";",REPT(" ",99)),892,99)),FIND(":",TRIM(MID(SUBSTITUTE($R156,";",REPT(" ",99)),892,99)))-1),Materiales!$A$2:$E$502,5,FALSE)*VALUE(MID(TRIM(MID(SUBSTITUTE($R156,";",REPT(" ",99)),892,99)),FIND(":",TRIM(MID(SUBSTITUTE($R156,";",REPT(" ",99)),892,99)))+1,99)),0)))</f>
        <v/>
      </c>
      <c r="T156" s="3"/>
      <c r="U156" s="5" t="str">
        <f t="array" ref="U156">IF($A156="","",IF($T156="",0,IFERROR(VLOOKUP(LEFT(TRIM(MID(SUBSTITUTE($T156,";",REPT(" ",99)),1,99)),FIND(":",TRIM(MID(SUBSTITUTE($T156,";",REPT(" ",99)),1,99)))-1),Materiales!$A$2:$E$502,5,FALSE)*VALUE(MID(TRIM(MID(SUBSTITUTE($T156,";",REPT(" ",99)),1,99)),FIND(":",TRIM(MID(SUBSTITUTE($T156,";",REPT(" ",99)),1,99)))+1,99)),0) + IFERROR(VLOOKUP(LEFT(TRIM(MID(SUBSTITUTE($T156,";",REPT(" ",99)),100,99)),FIND(":",TRIM(MID(SUBSTITUTE($T156,";",REPT(" ",99)),100,99)))-1),Materiales!$A$2:$E$502,5,FALSE)*VALUE(MID(TRIM(MID(SUBSTITUTE($T156,";",REPT(" ",99)),100,99)),FIND(":",TRIM(MID(SUBSTITUTE($T156,";",REPT(" ",99)),100,99)))+1,99)),0) + IFERROR(VLOOKUP(LEFT(TRIM(MID(SUBSTITUTE($T156,";",REPT(" ",99)),199,99)),FIND(":",TRIM(MID(SUBSTITUTE($T156,";",REPT(" ",99)),199,99)))-1),Materiales!$A$2:$E$502,5,FALSE)*VALUE(MID(TRIM(MID(SUBSTITUTE($T156,";",REPT(" ",99)),199,99)),FIND(":",TRIM(MID(SUBSTITUTE($T156,";",REPT(" ",99)),199,99)))+1,99)),0) + IFERROR(VLOOKUP(LEFT(TRIM(MID(SUBSTITUTE($T156,";",REPT(" ",99)),298,99)),FIND(":",TRIM(MID(SUBSTITUTE($T156,";",REPT(" ",99)),298,99)))-1),Materiales!$A$2:$E$502,5,FALSE)*VALUE(MID(TRIM(MID(SUBSTITUTE($T156,";",REPT(" ",99)),298,99)),FIND(":",TRIM(MID(SUBSTITUTE($T156,";",REPT(" ",99)),298,99)))+1,99)),0) + IFERROR(VLOOKUP(LEFT(TRIM(MID(SUBSTITUTE($T156,";",REPT(" ",99)),397,99)),FIND(":",TRIM(MID(SUBSTITUTE($T156,";",REPT(" ",99)),397,99)))-1),Materiales!$A$2:$E$502,5,FALSE)*VALUE(MID(TRIM(MID(SUBSTITUTE($T156,";",REPT(" ",99)),397,99)),FIND(":",TRIM(MID(SUBSTITUTE($T156,";",REPT(" ",99)),397,99)))+1,99)),0) + IFERROR(VLOOKUP(LEFT(TRIM(MID(SUBSTITUTE($T156,";",REPT(" ",99)),496,99)),FIND(":",TRIM(MID(SUBSTITUTE($T156,";",REPT(" ",99)),496,99)))-1),Materiales!$A$2:$E$502,5,FALSE)*VALUE(MID(TRIM(MID(SUBSTITUTE($T156,";",REPT(" ",99)),496,99)),FIND(":",TRIM(MID(SUBSTITUTE($T156,";",REPT(" ",99)),496,99)))+1,99)),0) + IFERROR(VLOOKUP(LEFT(TRIM(MID(SUBSTITUTE($T156,";",REPT(" ",99)),595,99)),FIND(":",TRIM(MID(SUBSTITUTE($T156,";",REPT(" ",99)),595,99)))-1),Materiales!$A$2:$E$502,5,FALSE)*VALUE(MID(TRIM(MID(SUBSTITUTE($T156,";",REPT(" ",99)),595,99)),FIND(":",TRIM(MID(SUBSTITUTE($T156,";",REPT(" ",99)),595,99)))+1,99)),0) + IFERROR(VLOOKUP(LEFT(TRIM(MID(SUBSTITUTE($T156,";",REPT(" ",99)),694,99)),FIND(":",TRIM(MID(SUBSTITUTE($T156,";",REPT(" ",99)),694,99)))-1),Materiales!$A$2:$E$502,5,FALSE)*VALUE(MID(TRIM(MID(SUBSTITUTE($T156,";",REPT(" ",99)),694,99)),FIND(":",TRIM(MID(SUBSTITUTE($T156,";",REPT(" ",99)),694,99)))+1,99)),0) + IFERROR(VLOOKUP(LEFT(TRIM(MID(SUBSTITUTE($T156,";",REPT(" ",99)),793,99)),FIND(":",TRIM(MID(SUBSTITUTE($T156,";",REPT(" ",99)),793,99)))-1),Materiales!$A$2:$E$502,5,FALSE)*VALUE(MID(TRIM(MID(SUBSTITUTE($T156,";",REPT(" ",99)),793,99)),FIND(":",TRIM(MID(SUBSTITUTE($T156,";",REPT(" ",99)),793,99)))+1,99)),0) + IFERROR(VLOOKUP(LEFT(TRIM(MID(SUBSTITUTE($T156,";",REPT(" ",99)),892,99)),FIND(":",TRIM(MID(SUBSTITUTE($T156,";",REPT(" ",99)),892,99)))-1),Materiales!$A$2:$E$502,5,FALSE)*VALUE(MID(TRIM(MID(SUBSTITUTE($T156,";",REPT(" ",99)),892,99)),FIND(":",TRIM(MID(SUBSTITUTE($T156,";",REPT(" ",99)),892,99)))+1,99)),0)))</f>
        <v/>
      </c>
      <c r="V156" s="3"/>
      <c r="W156" s="5" t="str">
        <f t="array" ref="W156">IF($A156="","",IF($V156="",0,IFERROR(VLOOKUP(LEFT(TRIM(MID(SUBSTITUTE($V156,";",REPT(" ",99)),1,99)),FIND(":",TRIM(MID(SUBSTITUTE($V156,";",REPT(" ",99)),1,99)))-1),Materiales!$A$2:$E$502,5,FALSE)*VALUE(MID(TRIM(MID(SUBSTITUTE($V156,";",REPT(" ",99)),1,99)),FIND(":",TRIM(MID(SUBSTITUTE($V156,";",REPT(" ",99)),1,99)))+1,99)),0) + IFERROR(VLOOKUP(LEFT(TRIM(MID(SUBSTITUTE($V156,";",REPT(" ",99)),100,99)),FIND(":",TRIM(MID(SUBSTITUTE($V156,";",REPT(" ",99)),100,99)))-1),Materiales!$A$2:$E$502,5,FALSE)*VALUE(MID(TRIM(MID(SUBSTITUTE($V156,";",REPT(" ",99)),100,99)),FIND(":",TRIM(MID(SUBSTITUTE($V156,";",REPT(" ",99)),100,99)))+1,99)),0) + IFERROR(VLOOKUP(LEFT(TRIM(MID(SUBSTITUTE($V156,";",REPT(" ",99)),199,99)),FIND(":",TRIM(MID(SUBSTITUTE($V156,";",REPT(" ",99)),199,99)))-1),Materiales!$A$2:$E$502,5,FALSE)*VALUE(MID(TRIM(MID(SUBSTITUTE($V156,";",REPT(" ",99)),199,99)),FIND(":",TRIM(MID(SUBSTITUTE($V156,";",REPT(" ",99)),199,99)))+1,99)),0) + IFERROR(VLOOKUP(LEFT(TRIM(MID(SUBSTITUTE($V156,";",REPT(" ",99)),298,99)),FIND(":",TRIM(MID(SUBSTITUTE($V156,";",REPT(" ",99)),298,99)))-1),Materiales!$A$2:$E$502,5,FALSE)*VALUE(MID(TRIM(MID(SUBSTITUTE($V156,";",REPT(" ",99)),298,99)),FIND(":",TRIM(MID(SUBSTITUTE($V156,";",REPT(" ",99)),298,99)))+1,99)),0) + IFERROR(VLOOKUP(LEFT(TRIM(MID(SUBSTITUTE($V156,";",REPT(" ",99)),397,99)),FIND(":",TRIM(MID(SUBSTITUTE($V156,";",REPT(" ",99)),397,99)))-1),Materiales!$A$2:$E$502,5,FALSE)*VALUE(MID(TRIM(MID(SUBSTITUTE($V156,";",REPT(" ",99)),397,99)),FIND(":",TRIM(MID(SUBSTITUTE($V156,";",REPT(" ",99)),397,99)))+1,99)),0) + IFERROR(VLOOKUP(LEFT(TRIM(MID(SUBSTITUTE($V156,";",REPT(" ",99)),496,99)),FIND(":",TRIM(MID(SUBSTITUTE($V156,";",REPT(" ",99)),496,99)))-1),Materiales!$A$2:$E$502,5,FALSE)*VALUE(MID(TRIM(MID(SUBSTITUTE($V156,";",REPT(" ",99)),496,99)),FIND(":",TRIM(MID(SUBSTITUTE($V156,";",REPT(" ",99)),496,99)))+1,99)),0) + IFERROR(VLOOKUP(LEFT(TRIM(MID(SUBSTITUTE($V156,";",REPT(" ",99)),595,99)),FIND(":",TRIM(MID(SUBSTITUTE($V156,";",REPT(" ",99)),595,99)))-1),Materiales!$A$2:$E$502,5,FALSE)*VALUE(MID(TRIM(MID(SUBSTITUTE($V156,";",REPT(" ",99)),595,99)),FIND(":",TRIM(MID(SUBSTITUTE($V156,";",REPT(" ",99)),595,99)))+1,99)),0) + IFERROR(VLOOKUP(LEFT(TRIM(MID(SUBSTITUTE($V156,";",REPT(" ",99)),694,99)),FIND(":",TRIM(MID(SUBSTITUTE($V156,";",REPT(" ",99)),694,99)))-1),Materiales!$A$2:$E$502,5,FALSE)*VALUE(MID(TRIM(MID(SUBSTITUTE($V156,";",REPT(" ",99)),694,99)),FIND(":",TRIM(MID(SUBSTITUTE($V156,";",REPT(" ",99)),694,99)))+1,99)),0) + IFERROR(VLOOKUP(LEFT(TRIM(MID(SUBSTITUTE($V156,";",REPT(" ",99)),793,99)),FIND(":",TRIM(MID(SUBSTITUTE($V156,";",REPT(" ",99)),793,99)))-1),Materiales!$A$2:$E$502,5,FALSE)*VALUE(MID(TRIM(MID(SUBSTITUTE($V156,";",REPT(" ",99)),793,99)),FIND(":",TRIM(MID(SUBSTITUTE($V156,";",REPT(" ",99)),793,99)))+1,99)),0) + IFERROR(VLOOKUP(LEFT(TRIM(MID(SUBSTITUTE($V156,";",REPT(" ",99)),892,99)),FIND(":",TRIM(MID(SUBSTITUTE($V156,";",REPT(" ",99)),892,99)))-1),Materiales!$A$2:$E$502,5,FALSE)*VALUE(MID(TRIM(MID(SUBSTITUTE($V156,";",REPT(" ",99)),892,99)),FIND(":",TRIM(MID(SUBSTITUTE($V156,";",REPT(" ",99)),892,99)))+1,99)),0)))</f>
        <v/>
      </c>
      <c r="X156" s="39" t="str">
        <f t="shared" si="13"/>
        <v/>
      </c>
      <c r="Y156" s="64"/>
      <c r="Z156" s="67"/>
      <c r="AA156" s="65"/>
      <c r="AB156" s="14"/>
      <c r="AC156" s="66"/>
      <c r="AD156" s="65"/>
      <c r="AE156" s="44"/>
      <c r="AF156" s="45" t="str">
        <f t="shared" si="20"/>
        <v>#DIV/0!</v>
      </c>
    </row>
    <row r="157" ht="15.75" customHeight="1">
      <c r="A157" s="3"/>
      <c r="B157" s="3"/>
      <c r="C157" s="38"/>
      <c r="D157" s="38"/>
      <c r="E157" s="38"/>
      <c r="F157" s="14"/>
      <c r="G157" s="5" t="str">
        <f t="array" ref="G157">IF($A157="","",IFERROR($F157*(N($C157)*XLOOKUP($B157,Ceras!$A$2:$A$500,Ceras!$G$2:$G$500,0)+IF($D157="",0,N($E157)*XLOOKUP($D157,Ceras!$A$2:$A$500,Ceras!$G$2:$G$500,0))),"Revisar cera"))</f>
        <v/>
      </c>
      <c r="H157" s="5"/>
      <c r="I157" s="3"/>
      <c r="J157" s="14"/>
      <c r="K157" s="5" t="str">
        <f t="array" ref="K157">IF($A157="","",IFERROR($J157*XLOOKUP($I157,Pabilos!$A$2:$A$500,Pabilos!$H$2:$H$500,0),"Revisar pabilo"))</f>
        <v/>
      </c>
      <c r="L157" s="3"/>
      <c r="M157" s="14"/>
      <c r="N157" s="5" t="str">
        <f t="array" ref="N157">IF($A157="","",IFERROR($M157*XLOOKUP($L157,Esencias!$A$2:$A$501,Esencias!$G$2:$G$501,0),"Revisar esencia"))</f>
        <v/>
      </c>
      <c r="O157" s="3"/>
      <c r="P157" s="14"/>
      <c r="Q157" s="5" t="str">
        <f t="array" ref="Q157">IF($A157="","",IFERROR(IF($P157="",1,$P157)*XLOOKUP($O157,Colores!$A$2:$A$500,Colores!$H$2:$H$500,0),"Revisar color"))</f>
        <v/>
      </c>
      <c r="R157" s="3"/>
      <c r="S157" s="5" t="str">
        <f t="array" ref="S157">IF($A157="","",IF($R157="",0,IFERROR(VLOOKUP(LEFT(TRIM(MID(SUBSTITUTE($R157,";",REPT(" ",99)),1,99)),FIND(":",TRIM(MID(SUBSTITUTE($R157,";",REPT(" ",99)),1,99)))-1),Materiales!$A$2:$E$502,5,FALSE)*VALUE(MID(TRIM(MID(SUBSTITUTE($R157,";",REPT(" ",99)),1,99)),FIND(":",TRIM(MID(SUBSTITUTE($R157,";",REPT(" ",99)),1,99)))+1,99)),0) + IFERROR(VLOOKUP(LEFT(TRIM(MID(SUBSTITUTE($R157,";",REPT(" ",99)),100,99)),FIND(":",TRIM(MID(SUBSTITUTE($R157,";",REPT(" ",99)),100,99)))-1),Materiales!$A$2:$E$502,5,FALSE)*VALUE(MID(TRIM(MID(SUBSTITUTE($R157,";",REPT(" ",99)),100,99)),FIND(":",TRIM(MID(SUBSTITUTE($R157,";",REPT(" ",99)),100,99)))+1,99)),0) + IFERROR(VLOOKUP(LEFT(TRIM(MID(SUBSTITUTE($R157,";",REPT(" ",99)),199,99)),FIND(":",TRIM(MID(SUBSTITUTE($R157,";",REPT(" ",99)),199,99)))-1),Materiales!$A$2:$E$502,5,FALSE)*VALUE(MID(TRIM(MID(SUBSTITUTE($R157,";",REPT(" ",99)),199,99)),FIND(":",TRIM(MID(SUBSTITUTE($R157,";",REPT(" ",99)),199,99)))+1,99)),0) + IFERROR(VLOOKUP(LEFT(TRIM(MID(SUBSTITUTE($R157,";",REPT(" ",99)),298,99)),FIND(":",TRIM(MID(SUBSTITUTE($R157,";",REPT(" ",99)),298,99)))-1),Materiales!$A$2:$E$502,5,FALSE)*VALUE(MID(TRIM(MID(SUBSTITUTE($R157,";",REPT(" ",99)),298,99)),FIND(":",TRIM(MID(SUBSTITUTE($R157,";",REPT(" ",99)),298,99)))+1,99)),0) + IFERROR(VLOOKUP(LEFT(TRIM(MID(SUBSTITUTE($R157,";",REPT(" ",99)),397,99)),FIND(":",TRIM(MID(SUBSTITUTE($R157,";",REPT(" ",99)),397,99)))-1),Materiales!$A$2:$E$502,5,FALSE)*VALUE(MID(TRIM(MID(SUBSTITUTE($R157,";",REPT(" ",99)),397,99)),FIND(":",TRIM(MID(SUBSTITUTE($R157,";",REPT(" ",99)),397,99)))+1,99)),0) + IFERROR(VLOOKUP(LEFT(TRIM(MID(SUBSTITUTE($R157,";",REPT(" ",99)),496,99)),FIND(":",TRIM(MID(SUBSTITUTE($R157,";",REPT(" ",99)),496,99)))-1),Materiales!$A$2:$E$502,5,FALSE)*VALUE(MID(TRIM(MID(SUBSTITUTE($R157,";",REPT(" ",99)),496,99)),FIND(":",TRIM(MID(SUBSTITUTE($R157,";",REPT(" ",99)),496,99)))+1,99)),0) + IFERROR(VLOOKUP(LEFT(TRIM(MID(SUBSTITUTE($R157,";",REPT(" ",99)),595,99)),FIND(":",TRIM(MID(SUBSTITUTE($R157,";",REPT(" ",99)),595,99)))-1),Materiales!$A$2:$E$502,5,FALSE)*VALUE(MID(TRIM(MID(SUBSTITUTE($R157,";",REPT(" ",99)),595,99)),FIND(":",TRIM(MID(SUBSTITUTE($R157,";",REPT(" ",99)),595,99)))+1,99)),0) + IFERROR(VLOOKUP(LEFT(TRIM(MID(SUBSTITUTE($R157,";",REPT(" ",99)),694,99)),FIND(":",TRIM(MID(SUBSTITUTE($R157,";",REPT(" ",99)),694,99)))-1),Materiales!$A$2:$E$502,5,FALSE)*VALUE(MID(TRIM(MID(SUBSTITUTE($R157,";",REPT(" ",99)),694,99)),FIND(":",TRIM(MID(SUBSTITUTE($R157,";",REPT(" ",99)),694,99)))+1,99)),0) + IFERROR(VLOOKUP(LEFT(TRIM(MID(SUBSTITUTE($R157,";",REPT(" ",99)),793,99)),FIND(":",TRIM(MID(SUBSTITUTE($R157,";",REPT(" ",99)),793,99)))-1),Materiales!$A$2:$E$502,5,FALSE)*VALUE(MID(TRIM(MID(SUBSTITUTE($R157,";",REPT(" ",99)),793,99)),FIND(":",TRIM(MID(SUBSTITUTE($R157,";",REPT(" ",99)),793,99)))+1,99)),0) + IFERROR(VLOOKUP(LEFT(TRIM(MID(SUBSTITUTE($R157,";",REPT(" ",99)),892,99)),FIND(":",TRIM(MID(SUBSTITUTE($R157,";",REPT(" ",99)),892,99)))-1),Materiales!$A$2:$E$502,5,FALSE)*VALUE(MID(TRIM(MID(SUBSTITUTE($R157,";",REPT(" ",99)),892,99)),FIND(":",TRIM(MID(SUBSTITUTE($R157,";",REPT(" ",99)),892,99)))+1,99)),0)))</f>
        <v/>
      </c>
      <c r="T157" s="3"/>
      <c r="U157" s="5" t="str">
        <f t="array" ref="U157">IF($A157="","",IF($T157="",0,IFERROR(VLOOKUP(LEFT(TRIM(MID(SUBSTITUTE($T157,";",REPT(" ",99)),1,99)),FIND(":",TRIM(MID(SUBSTITUTE($T157,";",REPT(" ",99)),1,99)))-1),Materiales!$A$2:$E$502,5,FALSE)*VALUE(MID(TRIM(MID(SUBSTITUTE($T157,";",REPT(" ",99)),1,99)),FIND(":",TRIM(MID(SUBSTITUTE($T157,";",REPT(" ",99)),1,99)))+1,99)),0) + IFERROR(VLOOKUP(LEFT(TRIM(MID(SUBSTITUTE($T157,";",REPT(" ",99)),100,99)),FIND(":",TRIM(MID(SUBSTITUTE($T157,";",REPT(" ",99)),100,99)))-1),Materiales!$A$2:$E$502,5,FALSE)*VALUE(MID(TRIM(MID(SUBSTITUTE($T157,";",REPT(" ",99)),100,99)),FIND(":",TRIM(MID(SUBSTITUTE($T157,";",REPT(" ",99)),100,99)))+1,99)),0) + IFERROR(VLOOKUP(LEFT(TRIM(MID(SUBSTITUTE($T157,";",REPT(" ",99)),199,99)),FIND(":",TRIM(MID(SUBSTITUTE($T157,";",REPT(" ",99)),199,99)))-1),Materiales!$A$2:$E$502,5,FALSE)*VALUE(MID(TRIM(MID(SUBSTITUTE($T157,";",REPT(" ",99)),199,99)),FIND(":",TRIM(MID(SUBSTITUTE($T157,";",REPT(" ",99)),199,99)))+1,99)),0) + IFERROR(VLOOKUP(LEFT(TRIM(MID(SUBSTITUTE($T157,";",REPT(" ",99)),298,99)),FIND(":",TRIM(MID(SUBSTITUTE($T157,";",REPT(" ",99)),298,99)))-1),Materiales!$A$2:$E$502,5,FALSE)*VALUE(MID(TRIM(MID(SUBSTITUTE($T157,";",REPT(" ",99)),298,99)),FIND(":",TRIM(MID(SUBSTITUTE($T157,";",REPT(" ",99)),298,99)))+1,99)),0) + IFERROR(VLOOKUP(LEFT(TRIM(MID(SUBSTITUTE($T157,";",REPT(" ",99)),397,99)),FIND(":",TRIM(MID(SUBSTITUTE($T157,";",REPT(" ",99)),397,99)))-1),Materiales!$A$2:$E$502,5,FALSE)*VALUE(MID(TRIM(MID(SUBSTITUTE($T157,";",REPT(" ",99)),397,99)),FIND(":",TRIM(MID(SUBSTITUTE($T157,";",REPT(" ",99)),397,99)))+1,99)),0) + IFERROR(VLOOKUP(LEFT(TRIM(MID(SUBSTITUTE($T157,";",REPT(" ",99)),496,99)),FIND(":",TRIM(MID(SUBSTITUTE($T157,";",REPT(" ",99)),496,99)))-1),Materiales!$A$2:$E$502,5,FALSE)*VALUE(MID(TRIM(MID(SUBSTITUTE($T157,";",REPT(" ",99)),496,99)),FIND(":",TRIM(MID(SUBSTITUTE($T157,";",REPT(" ",99)),496,99)))+1,99)),0) + IFERROR(VLOOKUP(LEFT(TRIM(MID(SUBSTITUTE($T157,";",REPT(" ",99)),595,99)),FIND(":",TRIM(MID(SUBSTITUTE($T157,";",REPT(" ",99)),595,99)))-1),Materiales!$A$2:$E$502,5,FALSE)*VALUE(MID(TRIM(MID(SUBSTITUTE($T157,";",REPT(" ",99)),595,99)),FIND(":",TRIM(MID(SUBSTITUTE($T157,";",REPT(" ",99)),595,99)))+1,99)),0) + IFERROR(VLOOKUP(LEFT(TRIM(MID(SUBSTITUTE($T157,";",REPT(" ",99)),694,99)),FIND(":",TRIM(MID(SUBSTITUTE($T157,";",REPT(" ",99)),694,99)))-1),Materiales!$A$2:$E$502,5,FALSE)*VALUE(MID(TRIM(MID(SUBSTITUTE($T157,";",REPT(" ",99)),694,99)),FIND(":",TRIM(MID(SUBSTITUTE($T157,";",REPT(" ",99)),694,99)))+1,99)),0) + IFERROR(VLOOKUP(LEFT(TRIM(MID(SUBSTITUTE($T157,";",REPT(" ",99)),793,99)),FIND(":",TRIM(MID(SUBSTITUTE($T157,";",REPT(" ",99)),793,99)))-1),Materiales!$A$2:$E$502,5,FALSE)*VALUE(MID(TRIM(MID(SUBSTITUTE($T157,";",REPT(" ",99)),793,99)),FIND(":",TRIM(MID(SUBSTITUTE($T157,";",REPT(" ",99)),793,99)))+1,99)),0) + IFERROR(VLOOKUP(LEFT(TRIM(MID(SUBSTITUTE($T157,";",REPT(" ",99)),892,99)),FIND(":",TRIM(MID(SUBSTITUTE($T157,";",REPT(" ",99)),892,99)))-1),Materiales!$A$2:$E$502,5,FALSE)*VALUE(MID(TRIM(MID(SUBSTITUTE($T157,";",REPT(" ",99)),892,99)),FIND(":",TRIM(MID(SUBSTITUTE($T157,";",REPT(" ",99)),892,99)))+1,99)),0)))</f>
        <v/>
      </c>
      <c r="V157" s="3"/>
      <c r="W157" s="5" t="str">
        <f t="array" ref="W157">IF($A157="","",IF($V157="",0,IFERROR(VLOOKUP(LEFT(TRIM(MID(SUBSTITUTE($V157,";",REPT(" ",99)),1,99)),FIND(":",TRIM(MID(SUBSTITUTE($V157,";",REPT(" ",99)),1,99)))-1),Materiales!$A$2:$E$502,5,FALSE)*VALUE(MID(TRIM(MID(SUBSTITUTE($V157,";",REPT(" ",99)),1,99)),FIND(":",TRIM(MID(SUBSTITUTE($V157,";",REPT(" ",99)),1,99)))+1,99)),0) + IFERROR(VLOOKUP(LEFT(TRIM(MID(SUBSTITUTE($V157,";",REPT(" ",99)),100,99)),FIND(":",TRIM(MID(SUBSTITUTE($V157,";",REPT(" ",99)),100,99)))-1),Materiales!$A$2:$E$502,5,FALSE)*VALUE(MID(TRIM(MID(SUBSTITUTE($V157,";",REPT(" ",99)),100,99)),FIND(":",TRIM(MID(SUBSTITUTE($V157,";",REPT(" ",99)),100,99)))+1,99)),0) + IFERROR(VLOOKUP(LEFT(TRIM(MID(SUBSTITUTE($V157,";",REPT(" ",99)),199,99)),FIND(":",TRIM(MID(SUBSTITUTE($V157,";",REPT(" ",99)),199,99)))-1),Materiales!$A$2:$E$502,5,FALSE)*VALUE(MID(TRIM(MID(SUBSTITUTE($V157,";",REPT(" ",99)),199,99)),FIND(":",TRIM(MID(SUBSTITUTE($V157,";",REPT(" ",99)),199,99)))+1,99)),0) + IFERROR(VLOOKUP(LEFT(TRIM(MID(SUBSTITUTE($V157,";",REPT(" ",99)),298,99)),FIND(":",TRIM(MID(SUBSTITUTE($V157,";",REPT(" ",99)),298,99)))-1),Materiales!$A$2:$E$502,5,FALSE)*VALUE(MID(TRIM(MID(SUBSTITUTE($V157,";",REPT(" ",99)),298,99)),FIND(":",TRIM(MID(SUBSTITUTE($V157,";",REPT(" ",99)),298,99)))+1,99)),0) + IFERROR(VLOOKUP(LEFT(TRIM(MID(SUBSTITUTE($V157,";",REPT(" ",99)),397,99)),FIND(":",TRIM(MID(SUBSTITUTE($V157,";",REPT(" ",99)),397,99)))-1),Materiales!$A$2:$E$502,5,FALSE)*VALUE(MID(TRIM(MID(SUBSTITUTE($V157,";",REPT(" ",99)),397,99)),FIND(":",TRIM(MID(SUBSTITUTE($V157,";",REPT(" ",99)),397,99)))+1,99)),0) + IFERROR(VLOOKUP(LEFT(TRIM(MID(SUBSTITUTE($V157,";",REPT(" ",99)),496,99)),FIND(":",TRIM(MID(SUBSTITUTE($V157,";",REPT(" ",99)),496,99)))-1),Materiales!$A$2:$E$502,5,FALSE)*VALUE(MID(TRIM(MID(SUBSTITUTE($V157,";",REPT(" ",99)),496,99)),FIND(":",TRIM(MID(SUBSTITUTE($V157,";",REPT(" ",99)),496,99)))+1,99)),0) + IFERROR(VLOOKUP(LEFT(TRIM(MID(SUBSTITUTE($V157,";",REPT(" ",99)),595,99)),FIND(":",TRIM(MID(SUBSTITUTE($V157,";",REPT(" ",99)),595,99)))-1),Materiales!$A$2:$E$502,5,FALSE)*VALUE(MID(TRIM(MID(SUBSTITUTE($V157,";",REPT(" ",99)),595,99)),FIND(":",TRIM(MID(SUBSTITUTE($V157,";",REPT(" ",99)),595,99)))+1,99)),0) + IFERROR(VLOOKUP(LEFT(TRIM(MID(SUBSTITUTE($V157,";",REPT(" ",99)),694,99)),FIND(":",TRIM(MID(SUBSTITUTE($V157,";",REPT(" ",99)),694,99)))-1),Materiales!$A$2:$E$502,5,FALSE)*VALUE(MID(TRIM(MID(SUBSTITUTE($V157,";",REPT(" ",99)),694,99)),FIND(":",TRIM(MID(SUBSTITUTE($V157,";",REPT(" ",99)),694,99)))+1,99)),0) + IFERROR(VLOOKUP(LEFT(TRIM(MID(SUBSTITUTE($V157,";",REPT(" ",99)),793,99)),FIND(":",TRIM(MID(SUBSTITUTE($V157,";",REPT(" ",99)),793,99)))-1),Materiales!$A$2:$E$502,5,FALSE)*VALUE(MID(TRIM(MID(SUBSTITUTE($V157,";",REPT(" ",99)),793,99)),FIND(":",TRIM(MID(SUBSTITUTE($V157,";",REPT(" ",99)),793,99)))+1,99)),0) + IFERROR(VLOOKUP(LEFT(TRIM(MID(SUBSTITUTE($V157,";",REPT(" ",99)),892,99)),FIND(":",TRIM(MID(SUBSTITUTE($V157,";",REPT(" ",99)),892,99)))-1),Materiales!$A$2:$E$502,5,FALSE)*VALUE(MID(TRIM(MID(SUBSTITUTE($V157,";",REPT(" ",99)),892,99)),FIND(":",TRIM(MID(SUBSTITUTE($V157,";",REPT(" ",99)),892,99)))+1,99)),0)))</f>
        <v/>
      </c>
      <c r="X157" s="39" t="str">
        <f t="shared" si="13"/>
        <v/>
      </c>
      <c r="Y157" s="64"/>
      <c r="Z157" s="67"/>
      <c r="AA157" s="65"/>
      <c r="AB157" s="14"/>
      <c r="AC157" s="66"/>
      <c r="AD157" s="65"/>
      <c r="AE157" s="44"/>
      <c r="AF157" s="45" t="str">
        <f t="shared" si="20"/>
        <v>#DIV/0!</v>
      </c>
    </row>
    <row r="158" ht="15.75" customHeight="1">
      <c r="A158" s="3"/>
      <c r="B158" s="3"/>
      <c r="C158" s="38"/>
      <c r="D158" s="38"/>
      <c r="E158" s="38"/>
      <c r="F158" s="14"/>
      <c r="G158" s="5" t="str">
        <f t="array" ref="G158">IF($A158="","",IFERROR($F158*(N($C158)*XLOOKUP($B158,Ceras!$A$2:$A$500,Ceras!$G$2:$G$500,0)+IF($D158="",0,N($E158)*XLOOKUP($D158,Ceras!$A$2:$A$500,Ceras!$G$2:$G$500,0))),"Revisar cera"))</f>
        <v/>
      </c>
      <c r="H158" s="5"/>
      <c r="I158" s="3"/>
      <c r="J158" s="14"/>
      <c r="K158" s="5" t="str">
        <f t="array" ref="K158">IF($A158="","",IFERROR($J158*XLOOKUP($I158,Pabilos!$A$2:$A$500,Pabilos!$H$2:$H$500,0),"Revisar pabilo"))</f>
        <v/>
      </c>
      <c r="L158" s="3"/>
      <c r="M158" s="14"/>
      <c r="N158" s="5" t="str">
        <f t="array" ref="N158">IF($A158="","",IFERROR($M158*XLOOKUP($L158,Esencias!$A$2:$A$501,Esencias!$G$2:$G$501,0),"Revisar esencia"))</f>
        <v/>
      </c>
      <c r="O158" s="3"/>
      <c r="P158" s="14"/>
      <c r="Q158" s="5" t="str">
        <f t="array" ref="Q158">IF($A158="","",IFERROR(IF($P158="",1,$P158)*XLOOKUP($O158,Colores!$A$2:$A$500,Colores!$H$2:$H$500,0),"Revisar color"))</f>
        <v/>
      </c>
      <c r="R158" s="3"/>
      <c r="S158" s="5" t="str">
        <f t="array" ref="S158">IF($A158="","",IF($R158="",0,IFERROR(VLOOKUP(LEFT(TRIM(MID(SUBSTITUTE($R158,";",REPT(" ",99)),1,99)),FIND(":",TRIM(MID(SUBSTITUTE($R158,";",REPT(" ",99)),1,99)))-1),Materiales!$A$2:$E$502,5,FALSE)*VALUE(MID(TRIM(MID(SUBSTITUTE($R158,";",REPT(" ",99)),1,99)),FIND(":",TRIM(MID(SUBSTITUTE($R158,";",REPT(" ",99)),1,99)))+1,99)),0) + IFERROR(VLOOKUP(LEFT(TRIM(MID(SUBSTITUTE($R158,";",REPT(" ",99)),100,99)),FIND(":",TRIM(MID(SUBSTITUTE($R158,";",REPT(" ",99)),100,99)))-1),Materiales!$A$2:$E$502,5,FALSE)*VALUE(MID(TRIM(MID(SUBSTITUTE($R158,";",REPT(" ",99)),100,99)),FIND(":",TRIM(MID(SUBSTITUTE($R158,";",REPT(" ",99)),100,99)))+1,99)),0) + IFERROR(VLOOKUP(LEFT(TRIM(MID(SUBSTITUTE($R158,";",REPT(" ",99)),199,99)),FIND(":",TRIM(MID(SUBSTITUTE($R158,";",REPT(" ",99)),199,99)))-1),Materiales!$A$2:$E$502,5,FALSE)*VALUE(MID(TRIM(MID(SUBSTITUTE($R158,";",REPT(" ",99)),199,99)),FIND(":",TRIM(MID(SUBSTITUTE($R158,";",REPT(" ",99)),199,99)))+1,99)),0) + IFERROR(VLOOKUP(LEFT(TRIM(MID(SUBSTITUTE($R158,";",REPT(" ",99)),298,99)),FIND(":",TRIM(MID(SUBSTITUTE($R158,";",REPT(" ",99)),298,99)))-1),Materiales!$A$2:$E$502,5,FALSE)*VALUE(MID(TRIM(MID(SUBSTITUTE($R158,";",REPT(" ",99)),298,99)),FIND(":",TRIM(MID(SUBSTITUTE($R158,";",REPT(" ",99)),298,99)))+1,99)),0) + IFERROR(VLOOKUP(LEFT(TRIM(MID(SUBSTITUTE($R158,";",REPT(" ",99)),397,99)),FIND(":",TRIM(MID(SUBSTITUTE($R158,";",REPT(" ",99)),397,99)))-1),Materiales!$A$2:$E$502,5,FALSE)*VALUE(MID(TRIM(MID(SUBSTITUTE($R158,";",REPT(" ",99)),397,99)),FIND(":",TRIM(MID(SUBSTITUTE($R158,";",REPT(" ",99)),397,99)))+1,99)),0) + IFERROR(VLOOKUP(LEFT(TRIM(MID(SUBSTITUTE($R158,";",REPT(" ",99)),496,99)),FIND(":",TRIM(MID(SUBSTITUTE($R158,";",REPT(" ",99)),496,99)))-1),Materiales!$A$2:$E$502,5,FALSE)*VALUE(MID(TRIM(MID(SUBSTITUTE($R158,";",REPT(" ",99)),496,99)),FIND(":",TRIM(MID(SUBSTITUTE($R158,";",REPT(" ",99)),496,99)))+1,99)),0) + IFERROR(VLOOKUP(LEFT(TRIM(MID(SUBSTITUTE($R158,";",REPT(" ",99)),595,99)),FIND(":",TRIM(MID(SUBSTITUTE($R158,";",REPT(" ",99)),595,99)))-1),Materiales!$A$2:$E$502,5,FALSE)*VALUE(MID(TRIM(MID(SUBSTITUTE($R158,";",REPT(" ",99)),595,99)),FIND(":",TRIM(MID(SUBSTITUTE($R158,";",REPT(" ",99)),595,99)))+1,99)),0) + IFERROR(VLOOKUP(LEFT(TRIM(MID(SUBSTITUTE($R158,";",REPT(" ",99)),694,99)),FIND(":",TRIM(MID(SUBSTITUTE($R158,";",REPT(" ",99)),694,99)))-1),Materiales!$A$2:$E$502,5,FALSE)*VALUE(MID(TRIM(MID(SUBSTITUTE($R158,";",REPT(" ",99)),694,99)),FIND(":",TRIM(MID(SUBSTITUTE($R158,";",REPT(" ",99)),694,99)))+1,99)),0) + IFERROR(VLOOKUP(LEFT(TRIM(MID(SUBSTITUTE($R158,";",REPT(" ",99)),793,99)),FIND(":",TRIM(MID(SUBSTITUTE($R158,";",REPT(" ",99)),793,99)))-1),Materiales!$A$2:$E$502,5,FALSE)*VALUE(MID(TRIM(MID(SUBSTITUTE($R158,";",REPT(" ",99)),793,99)),FIND(":",TRIM(MID(SUBSTITUTE($R158,";",REPT(" ",99)),793,99)))+1,99)),0) + IFERROR(VLOOKUP(LEFT(TRIM(MID(SUBSTITUTE($R158,";",REPT(" ",99)),892,99)),FIND(":",TRIM(MID(SUBSTITUTE($R158,";",REPT(" ",99)),892,99)))-1),Materiales!$A$2:$E$502,5,FALSE)*VALUE(MID(TRIM(MID(SUBSTITUTE($R158,";",REPT(" ",99)),892,99)),FIND(":",TRIM(MID(SUBSTITUTE($R158,";",REPT(" ",99)),892,99)))+1,99)),0)))</f>
        <v/>
      </c>
      <c r="T158" s="3"/>
      <c r="U158" s="5" t="str">
        <f t="array" ref="U158">IF($A158="","",IF($T158="",0,IFERROR(VLOOKUP(LEFT(TRIM(MID(SUBSTITUTE($T158,";",REPT(" ",99)),1,99)),FIND(":",TRIM(MID(SUBSTITUTE($T158,";",REPT(" ",99)),1,99)))-1),Materiales!$A$2:$E$502,5,FALSE)*VALUE(MID(TRIM(MID(SUBSTITUTE($T158,";",REPT(" ",99)),1,99)),FIND(":",TRIM(MID(SUBSTITUTE($T158,";",REPT(" ",99)),1,99)))+1,99)),0) + IFERROR(VLOOKUP(LEFT(TRIM(MID(SUBSTITUTE($T158,";",REPT(" ",99)),100,99)),FIND(":",TRIM(MID(SUBSTITUTE($T158,";",REPT(" ",99)),100,99)))-1),Materiales!$A$2:$E$502,5,FALSE)*VALUE(MID(TRIM(MID(SUBSTITUTE($T158,";",REPT(" ",99)),100,99)),FIND(":",TRIM(MID(SUBSTITUTE($T158,";",REPT(" ",99)),100,99)))+1,99)),0) + IFERROR(VLOOKUP(LEFT(TRIM(MID(SUBSTITUTE($T158,";",REPT(" ",99)),199,99)),FIND(":",TRIM(MID(SUBSTITUTE($T158,";",REPT(" ",99)),199,99)))-1),Materiales!$A$2:$E$502,5,FALSE)*VALUE(MID(TRIM(MID(SUBSTITUTE($T158,";",REPT(" ",99)),199,99)),FIND(":",TRIM(MID(SUBSTITUTE($T158,";",REPT(" ",99)),199,99)))+1,99)),0) + IFERROR(VLOOKUP(LEFT(TRIM(MID(SUBSTITUTE($T158,";",REPT(" ",99)),298,99)),FIND(":",TRIM(MID(SUBSTITUTE($T158,";",REPT(" ",99)),298,99)))-1),Materiales!$A$2:$E$502,5,FALSE)*VALUE(MID(TRIM(MID(SUBSTITUTE($T158,";",REPT(" ",99)),298,99)),FIND(":",TRIM(MID(SUBSTITUTE($T158,";",REPT(" ",99)),298,99)))+1,99)),0) + IFERROR(VLOOKUP(LEFT(TRIM(MID(SUBSTITUTE($T158,";",REPT(" ",99)),397,99)),FIND(":",TRIM(MID(SUBSTITUTE($T158,";",REPT(" ",99)),397,99)))-1),Materiales!$A$2:$E$502,5,FALSE)*VALUE(MID(TRIM(MID(SUBSTITUTE($T158,";",REPT(" ",99)),397,99)),FIND(":",TRIM(MID(SUBSTITUTE($T158,";",REPT(" ",99)),397,99)))+1,99)),0) + IFERROR(VLOOKUP(LEFT(TRIM(MID(SUBSTITUTE($T158,";",REPT(" ",99)),496,99)),FIND(":",TRIM(MID(SUBSTITUTE($T158,";",REPT(" ",99)),496,99)))-1),Materiales!$A$2:$E$502,5,FALSE)*VALUE(MID(TRIM(MID(SUBSTITUTE($T158,";",REPT(" ",99)),496,99)),FIND(":",TRIM(MID(SUBSTITUTE($T158,";",REPT(" ",99)),496,99)))+1,99)),0) + IFERROR(VLOOKUP(LEFT(TRIM(MID(SUBSTITUTE($T158,";",REPT(" ",99)),595,99)),FIND(":",TRIM(MID(SUBSTITUTE($T158,";",REPT(" ",99)),595,99)))-1),Materiales!$A$2:$E$502,5,FALSE)*VALUE(MID(TRIM(MID(SUBSTITUTE($T158,";",REPT(" ",99)),595,99)),FIND(":",TRIM(MID(SUBSTITUTE($T158,";",REPT(" ",99)),595,99)))+1,99)),0) + IFERROR(VLOOKUP(LEFT(TRIM(MID(SUBSTITUTE($T158,";",REPT(" ",99)),694,99)),FIND(":",TRIM(MID(SUBSTITUTE($T158,";",REPT(" ",99)),694,99)))-1),Materiales!$A$2:$E$502,5,FALSE)*VALUE(MID(TRIM(MID(SUBSTITUTE($T158,";",REPT(" ",99)),694,99)),FIND(":",TRIM(MID(SUBSTITUTE($T158,";",REPT(" ",99)),694,99)))+1,99)),0) + IFERROR(VLOOKUP(LEFT(TRIM(MID(SUBSTITUTE($T158,";",REPT(" ",99)),793,99)),FIND(":",TRIM(MID(SUBSTITUTE($T158,";",REPT(" ",99)),793,99)))-1),Materiales!$A$2:$E$502,5,FALSE)*VALUE(MID(TRIM(MID(SUBSTITUTE($T158,";",REPT(" ",99)),793,99)),FIND(":",TRIM(MID(SUBSTITUTE($T158,";",REPT(" ",99)),793,99)))+1,99)),0) + IFERROR(VLOOKUP(LEFT(TRIM(MID(SUBSTITUTE($T158,";",REPT(" ",99)),892,99)),FIND(":",TRIM(MID(SUBSTITUTE($T158,";",REPT(" ",99)),892,99)))-1),Materiales!$A$2:$E$502,5,FALSE)*VALUE(MID(TRIM(MID(SUBSTITUTE($T158,";",REPT(" ",99)),892,99)),FIND(":",TRIM(MID(SUBSTITUTE($T158,";",REPT(" ",99)),892,99)))+1,99)),0)))</f>
        <v/>
      </c>
      <c r="V158" s="3"/>
      <c r="W158" s="5" t="str">
        <f t="array" ref="W158">IF($A158="","",IF($V158="",0,IFERROR(VLOOKUP(LEFT(TRIM(MID(SUBSTITUTE($V158,";",REPT(" ",99)),1,99)),FIND(":",TRIM(MID(SUBSTITUTE($V158,";",REPT(" ",99)),1,99)))-1),Materiales!$A$2:$E$502,5,FALSE)*VALUE(MID(TRIM(MID(SUBSTITUTE($V158,";",REPT(" ",99)),1,99)),FIND(":",TRIM(MID(SUBSTITUTE($V158,";",REPT(" ",99)),1,99)))+1,99)),0) + IFERROR(VLOOKUP(LEFT(TRIM(MID(SUBSTITUTE($V158,";",REPT(" ",99)),100,99)),FIND(":",TRIM(MID(SUBSTITUTE($V158,";",REPT(" ",99)),100,99)))-1),Materiales!$A$2:$E$502,5,FALSE)*VALUE(MID(TRIM(MID(SUBSTITUTE($V158,";",REPT(" ",99)),100,99)),FIND(":",TRIM(MID(SUBSTITUTE($V158,";",REPT(" ",99)),100,99)))+1,99)),0) + IFERROR(VLOOKUP(LEFT(TRIM(MID(SUBSTITUTE($V158,";",REPT(" ",99)),199,99)),FIND(":",TRIM(MID(SUBSTITUTE($V158,";",REPT(" ",99)),199,99)))-1),Materiales!$A$2:$E$502,5,FALSE)*VALUE(MID(TRIM(MID(SUBSTITUTE($V158,";",REPT(" ",99)),199,99)),FIND(":",TRIM(MID(SUBSTITUTE($V158,";",REPT(" ",99)),199,99)))+1,99)),0) + IFERROR(VLOOKUP(LEFT(TRIM(MID(SUBSTITUTE($V158,";",REPT(" ",99)),298,99)),FIND(":",TRIM(MID(SUBSTITUTE($V158,";",REPT(" ",99)),298,99)))-1),Materiales!$A$2:$E$502,5,FALSE)*VALUE(MID(TRIM(MID(SUBSTITUTE($V158,";",REPT(" ",99)),298,99)),FIND(":",TRIM(MID(SUBSTITUTE($V158,";",REPT(" ",99)),298,99)))+1,99)),0) + IFERROR(VLOOKUP(LEFT(TRIM(MID(SUBSTITUTE($V158,";",REPT(" ",99)),397,99)),FIND(":",TRIM(MID(SUBSTITUTE($V158,";",REPT(" ",99)),397,99)))-1),Materiales!$A$2:$E$502,5,FALSE)*VALUE(MID(TRIM(MID(SUBSTITUTE($V158,";",REPT(" ",99)),397,99)),FIND(":",TRIM(MID(SUBSTITUTE($V158,";",REPT(" ",99)),397,99)))+1,99)),0) + IFERROR(VLOOKUP(LEFT(TRIM(MID(SUBSTITUTE($V158,";",REPT(" ",99)),496,99)),FIND(":",TRIM(MID(SUBSTITUTE($V158,";",REPT(" ",99)),496,99)))-1),Materiales!$A$2:$E$502,5,FALSE)*VALUE(MID(TRIM(MID(SUBSTITUTE($V158,";",REPT(" ",99)),496,99)),FIND(":",TRIM(MID(SUBSTITUTE($V158,";",REPT(" ",99)),496,99)))+1,99)),0) + IFERROR(VLOOKUP(LEFT(TRIM(MID(SUBSTITUTE($V158,";",REPT(" ",99)),595,99)),FIND(":",TRIM(MID(SUBSTITUTE($V158,";",REPT(" ",99)),595,99)))-1),Materiales!$A$2:$E$502,5,FALSE)*VALUE(MID(TRIM(MID(SUBSTITUTE($V158,";",REPT(" ",99)),595,99)),FIND(":",TRIM(MID(SUBSTITUTE($V158,";",REPT(" ",99)),595,99)))+1,99)),0) + IFERROR(VLOOKUP(LEFT(TRIM(MID(SUBSTITUTE($V158,";",REPT(" ",99)),694,99)),FIND(":",TRIM(MID(SUBSTITUTE($V158,";",REPT(" ",99)),694,99)))-1),Materiales!$A$2:$E$502,5,FALSE)*VALUE(MID(TRIM(MID(SUBSTITUTE($V158,";",REPT(" ",99)),694,99)),FIND(":",TRIM(MID(SUBSTITUTE($V158,";",REPT(" ",99)),694,99)))+1,99)),0) + IFERROR(VLOOKUP(LEFT(TRIM(MID(SUBSTITUTE($V158,";",REPT(" ",99)),793,99)),FIND(":",TRIM(MID(SUBSTITUTE($V158,";",REPT(" ",99)),793,99)))-1),Materiales!$A$2:$E$502,5,FALSE)*VALUE(MID(TRIM(MID(SUBSTITUTE($V158,";",REPT(" ",99)),793,99)),FIND(":",TRIM(MID(SUBSTITUTE($V158,";",REPT(" ",99)),793,99)))+1,99)),0) + IFERROR(VLOOKUP(LEFT(TRIM(MID(SUBSTITUTE($V158,";",REPT(" ",99)),892,99)),FIND(":",TRIM(MID(SUBSTITUTE($V158,";",REPT(" ",99)),892,99)))-1),Materiales!$A$2:$E$502,5,FALSE)*VALUE(MID(TRIM(MID(SUBSTITUTE($V158,";",REPT(" ",99)),892,99)),FIND(":",TRIM(MID(SUBSTITUTE($V158,";",REPT(" ",99)),892,99)))+1,99)),0)))</f>
        <v/>
      </c>
      <c r="X158" s="39" t="str">
        <f t="shared" si="13"/>
        <v/>
      </c>
      <c r="Y158" s="64"/>
      <c r="Z158" s="67"/>
      <c r="AA158" s="65"/>
      <c r="AB158" s="14"/>
      <c r="AC158" s="66"/>
      <c r="AD158" s="65"/>
      <c r="AE158" s="44"/>
      <c r="AF158" s="45" t="str">
        <f t="shared" si="20"/>
        <v>#DIV/0!</v>
      </c>
    </row>
    <row r="159" ht="15.75" customHeight="1">
      <c r="A159" s="3"/>
      <c r="B159" s="3"/>
      <c r="C159" s="38"/>
      <c r="D159" s="38"/>
      <c r="E159" s="38"/>
      <c r="F159" s="14"/>
      <c r="G159" s="5" t="str">
        <f t="array" ref="G159">IF($A159="","",IFERROR($F159*(N($C159)*XLOOKUP($B159,Ceras!$A$2:$A$500,Ceras!$G$2:$G$500,0)+IF($D159="",0,N($E159)*XLOOKUP($D159,Ceras!$A$2:$A$500,Ceras!$G$2:$G$500,0))),"Revisar cera"))</f>
        <v/>
      </c>
      <c r="H159" s="5"/>
      <c r="I159" s="3"/>
      <c r="J159" s="14"/>
      <c r="K159" s="5" t="str">
        <f t="array" ref="K159">IF($A159="","",IFERROR($J159*XLOOKUP($I159,Pabilos!$A$2:$A$500,Pabilos!$H$2:$H$500,0),"Revisar pabilo"))</f>
        <v/>
      </c>
      <c r="L159" s="3"/>
      <c r="M159" s="14"/>
      <c r="N159" s="5" t="str">
        <f t="array" ref="N159">IF($A159="","",IFERROR($M159*XLOOKUP($L159,Esencias!$A$2:$A$501,Esencias!$G$2:$G$501,0),"Revisar esencia"))</f>
        <v/>
      </c>
      <c r="O159" s="3"/>
      <c r="P159" s="14"/>
      <c r="Q159" s="5" t="str">
        <f t="array" ref="Q159">IF($A159="","",IFERROR(IF($P159="",1,$P159)*XLOOKUP($O159,Colores!$A$2:$A$500,Colores!$H$2:$H$500,0),"Revisar color"))</f>
        <v/>
      </c>
      <c r="R159" s="3"/>
      <c r="S159" s="5" t="str">
        <f t="array" ref="S159">IF($A159="","",IF($R159="",0,IFERROR(VLOOKUP(LEFT(TRIM(MID(SUBSTITUTE($R159,";",REPT(" ",99)),1,99)),FIND(":",TRIM(MID(SUBSTITUTE($R159,";",REPT(" ",99)),1,99)))-1),Materiales!$A$2:$E$502,5,FALSE)*VALUE(MID(TRIM(MID(SUBSTITUTE($R159,";",REPT(" ",99)),1,99)),FIND(":",TRIM(MID(SUBSTITUTE($R159,";",REPT(" ",99)),1,99)))+1,99)),0) + IFERROR(VLOOKUP(LEFT(TRIM(MID(SUBSTITUTE($R159,";",REPT(" ",99)),100,99)),FIND(":",TRIM(MID(SUBSTITUTE($R159,";",REPT(" ",99)),100,99)))-1),Materiales!$A$2:$E$502,5,FALSE)*VALUE(MID(TRIM(MID(SUBSTITUTE($R159,";",REPT(" ",99)),100,99)),FIND(":",TRIM(MID(SUBSTITUTE($R159,";",REPT(" ",99)),100,99)))+1,99)),0) + IFERROR(VLOOKUP(LEFT(TRIM(MID(SUBSTITUTE($R159,";",REPT(" ",99)),199,99)),FIND(":",TRIM(MID(SUBSTITUTE($R159,";",REPT(" ",99)),199,99)))-1),Materiales!$A$2:$E$502,5,FALSE)*VALUE(MID(TRIM(MID(SUBSTITUTE($R159,";",REPT(" ",99)),199,99)),FIND(":",TRIM(MID(SUBSTITUTE($R159,";",REPT(" ",99)),199,99)))+1,99)),0) + IFERROR(VLOOKUP(LEFT(TRIM(MID(SUBSTITUTE($R159,";",REPT(" ",99)),298,99)),FIND(":",TRIM(MID(SUBSTITUTE($R159,";",REPT(" ",99)),298,99)))-1),Materiales!$A$2:$E$502,5,FALSE)*VALUE(MID(TRIM(MID(SUBSTITUTE($R159,";",REPT(" ",99)),298,99)),FIND(":",TRIM(MID(SUBSTITUTE($R159,";",REPT(" ",99)),298,99)))+1,99)),0) + IFERROR(VLOOKUP(LEFT(TRIM(MID(SUBSTITUTE($R159,";",REPT(" ",99)),397,99)),FIND(":",TRIM(MID(SUBSTITUTE($R159,";",REPT(" ",99)),397,99)))-1),Materiales!$A$2:$E$502,5,FALSE)*VALUE(MID(TRIM(MID(SUBSTITUTE($R159,";",REPT(" ",99)),397,99)),FIND(":",TRIM(MID(SUBSTITUTE($R159,";",REPT(" ",99)),397,99)))+1,99)),0) + IFERROR(VLOOKUP(LEFT(TRIM(MID(SUBSTITUTE($R159,";",REPT(" ",99)),496,99)),FIND(":",TRIM(MID(SUBSTITUTE($R159,";",REPT(" ",99)),496,99)))-1),Materiales!$A$2:$E$502,5,FALSE)*VALUE(MID(TRIM(MID(SUBSTITUTE($R159,";",REPT(" ",99)),496,99)),FIND(":",TRIM(MID(SUBSTITUTE($R159,";",REPT(" ",99)),496,99)))+1,99)),0) + IFERROR(VLOOKUP(LEFT(TRIM(MID(SUBSTITUTE($R159,";",REPT(" ",99)),595,99)),FIND(":",TRIM(MID(SUBSTITUTE($R159,";",REPT(" ",99)),595,99)))-1),Materiales!$A$2:$E$502,5,FALSE)*VALUE(MID(TRIM(MID(SUBSTITUTE($R159,";",REPT(" ",99)),595,99)),FIND(":",TRIM(MID(SUBSTITUTE($R159,";",REPT(" ",99)),595,99)))+1,99)),0) + IFERROR(VLOOKUP(LEFT(TRIM(MID(SUBSTITUTE($R159,";",REPT(" ",99)),694,99)),FIND(":",TRIM(MID(SUBSTITUTE($R159,";",REPT(" ",99)),694,99)))-1),Materiales!$A$2:$E$502,5,FALSE)*VALUE(MID(TRIM(MID(SUBSTITUTE($R159,";",REPT(" ",99)),694,99)),FIND(":",TRIM(MID(SUBSTITUTE($R159,";",REPT(" ",99)),694,99)))+1,99)),0) + IFERROR(VLOOKUP(LEFT(TRIM(MID(SUBSTITUTE($R159,";",REPT(" ",99)),793,99)),FIND(":",TRIM(MID(SUBSTITUTE($R159,";",REPT(" ",99)),793,99)))-1),Materiales!$A$2:$E$502,5,FALSE)*VALUE(MID(TRIM(MID(SUBSTITUTE($R159,";",REPT(" ",99)),793,99)),FIND(":",TRIM(MID(SUBSTITUTE($R159,";",REPT(" ",99)),793,99)))+1,99)),0) + IFERROR(VLOOKUP(LEFT(TRIM(MID(SUBSTITUTE($R159,";",REPT(" ",99)),892,99)),FIND(":",TRIM(MID(SUBSTITUTE($R159,";",REPT(" ",99)),892,99)))-1),Materiales!$A$2:$E$502,5,FALSE)*VALUE(MID(TRIM(MID(SUBSTITUTE($R159,";",REPT(" ",99)),892,99)),FIND(":",TRIM(MID(SUBSTITUTE($R159,";",REPT(" ",99)),892,99)))+1,99)),0)))</f>
        <v/>
      </c>
      <c r="T159" s="3"/>
      <c r="U159" s="5" t="str">
        <f t="array" ref="U159">IF($A159="","",IF($T159="",0,IFERROR(VLOOKUP(LEFT(TRIM(MID(SUBSTITUTE($T159,";",REPT(" ",99)),1,99)),FIND(":",TRIM(MID(SUBSTITUTE($T159,";",REPT(" ",99)),1,99)))-1),Materiales!$A$2:$E$502,5,FALSE)*VALUE(MID(TRIM(MID(SUBSTITUTE($T159,";",REPT(" ",99)),1,99)),FIND(":",TRIM(MID(SUBSTITUTE($T159,";",REPT(" ",99)),1,99)))+1,99)),0) + IFERROR(VLOOKUP(LEFT(TRIM(MID(SUBSTITUTE($T159,";",REPT(" ",99)),100,99)),FIND(":",TRIM(MID(SUBSTITUTE($T159,";",REPT(" ",99)),100,99)))-1),Materiales!$A$2:$E$502,5,FALSE)*VALUE(MID(TRIM(MID(SUBSTITUTE($T159,";",REPT(" ",99)),100,99)),FIND(":",TRIM(MID(SUBSTITUTE($T159,";",REPT(" ",99)),100,99)))+1,99)),0) + IFERROR(VLOOKUP(LEFT(TRIM(MID(SUBSTITUTE($T159,";",REPT(" ",99)),199,99)),FIND(":",TRIM(MID(SUBSTITUTE($T159,";",REPT(" ",99)),199,99)))-1),Materiales!$A$2:$E$502,5,FALSE)*VALUE(MID(TRIM(MID(SUBSTITUTE($T159,";",REPT(" ",99)),199,99)),FIND(":",TRIM(MID(SUBSTITUTE($T159,";",REPT(" ",99)),199,99)))+1,99)),0) + IFERROR(VLOOKUP(LEFT(TRIM(MID(SUBSTITUTE($T159,";",REPT(" ",99)),298,99)),FIND(":",TRIM(MID(SUBSTITUTE($T159,";",REPT(" ",99)),298,99)))-1),Materiales!$A$2:$E$502,5,FALSE)*VALUE(MID(TRIM(MID(SUBSTITUTE($T159,";",REPT(" ",99)),298,99)),FIND(":",TRIM(MID(SUBSTITUTE($T159,";",REPT(" ",99)),298,99)))+1,99)),0) + IFERROR(VLOOKUP(LEFT(TRIM(MID(SUBSTITUTE($T159,";",REPT(" ",99)),397,99)),FIND(":",TRIM(MID(SUBSTITUTE($T159,";",REPT(" ",99)),397,99)))-1),Materiales!$A$2:$E$502,5,FALSE)*VALUE(MID(TRIM(MID(SUBSTITUTE($T159,";",REPT(" ",99)),397,99)),FIND(":",TRIM(MID(SUBSTITUTE($T159,";",REPT(" ",99)),397,99)))+1,99)),0) + IFERROR(VLOOKUP(LEFT(TRIM(MID(SUBSTITUTE($T159,";",REPT(" ",99)),496,99)),FIND(":",TRIM(MID(SUBSTITUTE($T159,";",REPT(" ",99)),496,99)))-1),Materiales!$A$2:$E$502,5,FALSE)*VALUE(MID(TRIM(MID(SUBSTITUTE($T159,";",REPT(" ",99)),496,99)),FIND(":",TRIM(MID(SUBSTITUTE($T159,";",REPT(" ",99)),496,99)))+1,99)),0) + IFERROR(VLOOKUP(LEFT(TRIM(MID(SUBSTITUTE($T159,";",REPT(" ",99)),595,99)),FIND(":",TRIM(MID(SUBSTITUTE($T159,";",REPT(" ",99)),595,99)))-1),Materiales!$A$2:$E$502,5,FALSE)*VALUE(MID(TRIM(MID(SUBSTITUTE($T159,";",REPT(" ",99)),595,99)),FIND(":",TRIM(MID(SUBSTITUTE($T159,";",REPT(" ",99)),595,99)))+1,99)),0) + IFERROR(VLOOKUP(LEFT(TRIM(MID(SUBSTITUTE($T159,";",REPT(" ",99)),694,99)),FIND(":",TRIM(MID(SUBSTITUTE($T159,";",REPT(" ",99)),694,99)))-1),Materiales!$A$2:$E$502,5,FALSE)*VALUE(MID(TRIM(MID(SUBSTITUTE($T159,";",REPT(" ",99)),694,99)),FIND(":",TRIM(MID(SUBSTITUTE($T159,";",REPT(" ",99)),694,99)))+1,99)),0) + IFERROR(VLOOKUP(LEFT(TRIM(MID(SUBSTITUTE($T159,";",REPT(" ",99)),793,99)),FIND(":",TRIM(MID(SUBSTITUTE($T159,";",REPT(" ",99)),793,99)))-1),Materiales!$A$2:$E$502,5,FALSE)*VALUE(MID(TRIM(MID(SUBSTITUTE($T159,";",REPT(" ",99)),793,99)),FIND(":",TRIM(MID(SUBSTITUTE($T159,";",REPT(" ",99)),793,99)))+1,99)),0) + IFERROR(VLOOKUP(LEFT(TRIM(MID(SUBSTITUTE($T159,";",REPT(" ",99)),892,99)),FIND(":",TRIM(MID(SUBSTITUTE($T159,";",REPT(" ",99)),892,99)))-1),Materiales!$A$2:$E$502,5,FALSE)*VALUE(MID(TRIM(MID(SUBSTITUTE($T159,";",REPT(" ",99)),892,99)),FIND(":",TRIM(MID(SUBSTITUTE($T159,";",REPT(" ",99)),892,99)))+1,99)),0)))</f>
        <v/>
      </c>
      <c r="V159" s="3"/>
      <c r="W159" s="5" t="str">
        <f t="array" ref="W159">IF($A159="","",IF($V159="",0,IFERROR(VLOOKUP(LEFT(TRIM(MID(SUBSTITUTE($V159,";",REPT(" ",99)),1,99)),FIND(":",TRIM(MID(SUBSTITUTE($V159,";",REPT(" ",99)),1,99)))-1),Materiales!$A$2:$E$502,5,FALSE)*VALUE(MID(TRIM(MID(SUBSTITUTE($V159,";",REPT(" ",99)),1,99)),FIND(":",TRIM(MID(SUBSTITUTE($V159,";",REPT(" ",99)),1,99)))+1,99)),0) + IFERROR(VLOOKUP(LEFT(TRIM(MID(SUBSTITUTE($V159,";",REPT(" ",99)),100,99)),FIND(":",TRIM(MID(SUBSTITUTE($V159,";",REPT(" ",99)),100,99)))-1),Materiales!$A$2:$E$502,5,FALSE)*VALUE(MID(TRIM(MID(SUBSTITUTE($V159,";",REPT(" ",99)),100,99)),FIND(":",TRIM(MID(SUBSTITUTE($V159,";",REPT(" ",99)),100,99)))+1,99)),0) + IFERROR(VLOOKUP(LEFT(TRIM(MID(SUBSTITUTE($V159,";",REPT(" ",99)),199,99)),FIND(":",TRIM(MID(SUBSTITUTE($V159,";",REPT(" ",99)),199,99)))-1),Materiales!$A$2:$E$502,5,FALSE)*VALUE(MID(TRIM(MID(SUBSTITUTE($V159,";",REPT(" ",99)),199,99)),FIND(":",TRIM(MID(SUBSTITUTE($V159,";",REPT(" ",99)),199,99)))+1,99)),0) + IFERROR(VLOOKUP(LEFT(TRIM(MID(SUBSTITUTE($V159,";",REPT(" ",99)),298,99)),FIND(":",TRIM(MID(SUBSTITUTE($V159,";",REPT(" ",99)),298,99)))-1),Materiales!$A$2:$E$502,5,FALSE)*VALUE(MID(TRIM(MID(SUBSTITUTE($V159,";",REPT(" ",99)),298,99)),FIND(":",TRIM(MID(SUBSTITUTE($V159,";",REPT(" ",99)),298,99)))+1,99)),0) + IFERROR(VLOOKUP(LEFT(TRIM(MID(SUBSTITUTE($V159,";",REPT(" ",99)),397,99)),FIND(":",TRIM(MID(SUBSTITUTE($V159,";",REPT(" ",99)),397,99)))-1),Materiales!$A$2:$E$502,5,FALSE)*VALUE(MID(TRIM(MID(SUBSTITUTE($V159,";",REPT(" ",99)),397,99)),FIND(":",TRIM(MID(SUBSTITUTE($V159,";",REPT(" ",99)),397,99)))+1,99)),0) + IFERROR(VLOOKUP(LEFT(TRIM(MID(SUBSTITUTE($V159,";",REPT(" ",99)),496,99)),FIND(":",TRIM(MID(SUBSTITUTE($V159,";",REPT(" ",99)),496,99)))-1),Materiales!$A$2:$E$502,5,FALSE)*VALUE(MID(TRIM(MID(SUBSTITUTE($V159,";",REPT(" ",99)),496,99)),FIND(":",TRIM(MID(SUBSTITUTE($V159,";",REPT(" ",99)),496,99)))+1,99)),0) + IFERROR(VLOOKUP(LEFT(TRIM(MID(SUBSTITUTE($V159,";",REPT(" ",99)),595,99)),FIND(":",TRIM(MID(SUBSTITUTE($V159,";",REPT(" ",99)),595,99)))-1),Materiales!$A$2:$E$502,5,FALSE)*VALUE(MID(TRIM(MID(SUBSTITUTE($V159,";",REPT(" ",99)),595,99)),FIND(":",TRIM(MID(SUBSTITUTE($V159,";",REPT(" ",99)),595,99)))+1,99)),0) + IFERROR(VLOOKUP(LEFT(TRIM(MID(SUBSTITUTE($V159,";",REPT(" ",99)),694,99)),FIND(":",TRIM(MID(SUBSTITUTE($V159,";",REPT(" ",99)),694,99)))-1),Materiales!$A$2:$E$502,5,FALSE)*VALUE(MID(TRIM(MID(SUBSTITUTE($V159,";",REPT(" ",99)),694,99)),FIND(":",TRIM(MID(SUBSTITUTE($V159,";",REPT(" ",99)),694,99)))+1,99)),0) + IFERROR(VLOOKUP(LEFT(TRIM(MID(SUBSTITUTE($V159,";",REPT(" ",99)),793,99)),FIND(":",TRIM(MID(SUBSTITUTE($V159,";",REPT(" ",99)),793,99)))-1),Materiales!$A$2:$E$502,5,FALSE)*VALUE(MID(TRIM(MID(SUBSTITUTE($V159,";",REPT(" ",99)),793,99)),FIND(":",TRIM(MID(SUBSTITUTE($V159,";",REPT(" ",99)),793,99)))+1,99)),0) + IFERROR(VLOOKUP(LEFT(TRIM(MID(SUBSTITUTE($V159,";",REPT(" ",99)),892,99)),FIND(":",TRIM(MID(SUBSTITUTE($V159,";",REPT(" ",99)),892,99)))-1),Materiales!$A$2:$E$502,5,FALSE)*VALUE(MID(TRIM(MID(SUBSTITUTE($V159,";",REPT(" ",99)),892,99)),FIND(":",TRIM(MID(SUBSTITUTE($V159,";",REPT(" ",99)),892,99)))+1,99)),0)))</f>
        <v/>
      </c>
      <c r="X159" s="39" t="str">
        <f t="shared" si="13"/>
        <v/>
      </c>
      <c r="Y159" s="64"/>
      <c r="Z159" s="67"/>
      <c r="AA159" s="65"/>
      <c r="AB159" s="14"/>
      <c r="AC159" s="66"/>
      <c r="AD159" s="65"/>
      <c r="AE159" s="44"/>
      <c r="AF159" s="45" t="str">
        <f t="shared" si="20"/>
        <v>#DIV/0!</v>
      </c>
    </row>
    <row r="160" ht="15.75" customHeight="1">
      <c r="A160" s="3"/>
      <c r="B160" s="3"/>
      <c r="C160" s="38"/>
      <c r="D160" s="38"/>
      <c r="E160" s="38"/>
      <c r="F160" s="14"/>
      <c r="G160" s="5" t="str">
        <f t="array" ref="G160">IF($A160="","",IFERROR($F160*(N($C160)*XLOOKUP($B160,Ceras!$A$2:$A$500,Ceras!$G$2:$G$500,0)+IF($D160="",0,N($E160)*XLOOKUP($D160,Ceras!$A$2:$A$500,Ceras!$G$2:$G$500,0))),"Revisar cera"))</f>
        <v/>
      </c>
      <c r="H160" s="5"/>
      <c r="I160" s="3"/>
      <c r="J160" s="14"/>
      <c r="K160" s="5" t="str">
        <f t="array" ref="K160">IF($A160="","",IFERROR($J160*XLOOKUP($I160,Pabilos!$A$2:$A$500,Pabilos!$H$2:$H$500,0),"Revisar pabilo"))</f>
        <v/>
      </c>
      <c r="L160" s="3"/>
      <c r="M160" s="14"/>
      <c r="N160" s="5" t="str">
        <f t="array" ref="N160">IF($A160="","",IFERROR($M160*XLOOKUP($L160,Esencias!$A$2:$A$501,Esencias!$G$2:$G$501,0),"Revisar esencia"))</f>
        <v/>
      </c>
      <c r="O160" s="3"/>
      <c r="P160" s="14"/>
      <c r="Q160" s="5" t="str">
        <f t="array" ref="Q160">IF($A160="","",IFERROR(IF($P160="",1,$P160)*XLOOKUP($O160,Colores!$A$2:$A$500,Colores!$H$2:$H$500,0),"Revisar color"))</f>
        <v/>
      </c>
      <c r="R160" s="3"/>
      <c r="S160" s="5" t="str">
        <f t="array" ref="S160">IF($A160="","",IF($R160="",0,IFERROR(VLOOKUP(LEFT(TRIM(MID(SUBSTITUTE($R160,";",REPT(" ",99)),1,99)),FIND(":",TRIM(MID(SUBSTITUTE($R160,";",REPT(" ",99)),1,99)))-1),Materiales!$A$2:$E$502,5,FALSE)*VALUE(MID(TRIM(MID(SUBSTITUTE($R160,";",REPT(" ",99)),1,99)),FIND(":",TRIM(MID(SUBSTITUTE($R160,";",REPT(" ",99)),1,99)))+1,99)),0) + IFERROR(VLOOKUP(LEFT(TRIM(MID(SUBSTITUTE($R160,";",REPT(" ",99)),100,99)),FIND(":",TRIM(MID(SUBSTITUTE($R160,";",REPT(" ",99)),100,99)))-1),Materiales!$A$2:$E$502,5,FALSE)*VALUE(MID(TRIM(MID(SUBSTITUTE($R160,";",REPT(" ",99)),100,99)),FIND(":",TRIM(MID(SUBSTITUTE($R160,";",REPT(" ",99)),100,99)))+1,99)),0) + IFERROR(VLOOKUP(LEFT(TRIM(MID(SUBSTITUTE($R160,";",REPT(" ",99)),199,99)),FIND(":",TRIM(MID(SUBSTITUTE($R160,";",REPT(" ",99)),199,99)))-1),Materiales!$A$2:$E$502,5,FALSE)*VALUE(MID(TRIM(MID(SUBSTITUTE($R160,";",REPT(" ",99)),199,99)),FIND(":",TRIM(MID(SUBSTITUTE($R160,";",REPT(" ",99)),199,99)))+1,99)),0) + IFERROR(VLOOKUP(LEFT(TRIM(MID(SUBSTITUTE($R160,";",REPT(" ",99)),298,99)),FIND(":",TRIM(MID(SUBSTITUTE($R160,";",REPT(" ",99)),298,99)))-1),Materiales!$A$2:$E$502,5,FALSE)*VALUE(MID(TRIM(MID(SUBSTITUTE($R160,";",REPT(" ",99)),298,99)),FIND(":",TRIM(MID(SUBSTITUTE($R160,";",REPT(" ",99)),298,99)))+1,99)),0) + IFERROR(VLOOKUP(LEFT(TRIM(MID(SUBSTITUTE($R160,";",REPT(" ",99)),397,99)),FIND(":",TRIM(MID(SUBSTITUTE($R160,";",REPT(" ",99)),397,99)))-1),Materiales!$A$2:$E$502,5,FALSE)*VALUE(MID(TRIM(MID(SUBSTITUTE($R160,";",REPT(" ",99)),397,99)),FIND(":",TRIM(MID(SUBSTITUTE($R160,";",REPT(" ",99)),397,99)))+1,99)),0) + IFERROR(VLOOKUP(LEFT(TRIM(MID(SUBSTITUTE($R160,";",REPT(" ",99)),496,99)),FIND(":",TRIM(MID(SUBSTITUTE($R160,";",REPT(" ",99)),496,99)))-1),Materiales!$A$2:$E$502,5,FALSE)*VALUE(MID(TRIM(MID(SUBSTITUTE($R160,";",REPT(" ",99)),496,99)),FIND(":",TRIM(MID(SUBSTITUTE($R160,";",REPT(" ",99)),496,99)))+1,99)),0) + IFERROR(VLOOKUP(LEFT(TRIM(MID(SUBSTITUTE($R160,";",REPT(" ",99)),595,99)),FIND(":",TRIM(MID(SUBSTITUTE($R160,";",REPT(" ",99)),595,99)))-1),Materiales!$A$2:$E$502,5,FALSE)*VALUE(MID(TRIM(MID(SUBSTITUTE($R160,";",REPT(" ",99)),595,99)),FIND(":",TRIM(MID(SUBSTITUTE($R160,";",REPT(" ",99)),595,99)))+1,99)),0) + IFERROR(VLOOKUP(LEFT(TRIM(MID(SUBSTITUTE($R160,";",REPT(" ",99)),694,99)),FIND(":",TRIM(MID(SUBSTITUTE($R160,";",REPT(" ",99)),694,99)))-1),Materiales!$A$2:$E$502,5,FALSE)*VALUE(MID(TRIM(MID(SUBSTITUTE($R160,";",REPT(" ",99)),694,99)),FIND(":",TRIM(MID(SUBSTITUTE($R160,";",REPT(" ",99)),694,99)))+1,99)),0) + IFERROR(VLOOKUP(LEFT(TRIM(MID(SUBSTITUTE($R160,";",REPT(" ",99)),793,99)),FIND(":",TRIM(MID(SUBSTITUTE($R160,";",REPT(" ",99)),793,99)))-1),Materiales!$A$2:$E$502,5,FALSE)*VALUE(MID(TRIM(MID(SUBSTITUTE($R160,";",REPT(" ",99)),793,99)),FIND(":",TRIM(MID(SUBSTITUTE($R160,";",REPT(" ",99)),793,99)))+1,99)),0) + IFERROR(VLOOKUP(LEFT(TRIM(MID(SUBSTITUTE($R160,";",REPT(" ",99)),892,99)),FIND(":",TRIM(MID(SUBSTITUTE($R160,";",REPT(" ",99)),892,99)))-1),Materiales!$A$2:$E$502,5,FALSE)*VALUE(MID(TRIM(MID(SUBSTITUTE($R160,";",REPT(" ",99)),892,99)),FIND(":",TRIM(MID(SUBSTITUTE($R160,";",REPT(" ",99)),892,99)))+1,99)),0)))</f>
        <v/>
      </c>
      <c r="T160" s="3"/>
      <c r="U160" s="5" t="str">
        <f t="array" ref="U160">IF($A160="","",IF($T160="",0,IFERROR(VLOOKUP(LEFT(TRIM(MID(SUBSTITUTE($T160,";",REPT(" ",99)),1,99)),FIND(":",TRIM(MID(SUBSTITUTE($T160,";",REPT(" ",99)),1,99)))-1),Materiales!$A$2:$E$502,5,FALSE)*VALUE(MID(TRIM(MID(SUBSTITUTE($T160,";",REPT(" ",99)),1,99)),FIND(":",TRIM(MID(SUBSTITUTE($T160,";",REPT(" ",99)),1,99)))+1,99)),0) + IFERROR(VLOOKUP(LEFT(TRIM(MID(SUBSTITUTE($T160,";",REPT(" ",99)),100,99)),FIND(":",TRIM(MID(SUBSTITUTE($T160,";",REPT(" ",99)),100,99)))-1),Materiales!$A$2:$E$502,5,FALSE)*VALUE(MID(TRIM(MID(SUBSTITUTE($T160,";",REPT(" ",99)),100,99)),FIND(":",TRIM(MID(SUBSTITUTE($T160,";",REPT(" ",99)),100,99)))+1,99)),0) + IFERROR(VLOOKUP(LEFT(TRIM(MID(SUBSTITUTE($T160,";",REPT(" ",99)),199,99)),FIND(":",TRIM(MID(SUBSTITUTE($T160,";",REPT(" ",99)),199,99)))-1),Materiales!$A$2:$E$502,5,FALSE)*VALUE(MID(TRIM(MID(SUBSTITUTE($T160,";",REPT(" ",99)),199,99)),FIND(":",TRIM(MID(SUBSTITUTE($T160,";",REPT(" ",99)),199,99)))+1,99)),0) + IFERROR(VLOOKUP(LEFT(TRIM(MID(SUBSTITUTE($T160,";",REPT(" ",99)),298,99)),FIND(":",TRIM(MID(SUBSTITUTE($T160,";",REPT(" ",99)),298,99)))-1),Materiales!$A$2:$E$502,5,FALSE)*VALUE(MID(TRIM(MID(SUBSTITUTE($T160,";",REPT(" ",99)),298,99)),FIND(":",TRIM(MID(SUBSTITUTE($T160,";",REPT(" ",99)),298,99)))+1,99)),0) + IFERROR(VLOOKUP(LEFT(TRIM(MID(SUBSTITUTE($T160,";",REPT(" ",99)),397,99)),FIND(":",TRIM(MID(SUBSTITUTE($T160,";",REPT(" ",99)),397,99)))-1),Materiales!$A$2:$E$502,5,FALSE)*VALUE(MID(TRIM(MID(SUBSTITUTE($T160,";",REPT(" ",99)),397,99)),FIND(":",TRIM(MID(SUBSTITUTE($T160,";",REPT(" ",99)),397,99)))+1,99)),0) + IFERROR(VLOOKUP(LEFT(TRIM(MID(SUBSTITUTE($T160,";",REPT(" ",99)),496,99)),FIND(":",TRIM(MID(SUBSTITUTE($T160,";",REPT(" ",99)),496,99)))-1),Materiales!$A$2:$E$502,5,FALSE)*VALUE(MID(TRIM(MID(SUBSTITUTE($T160,";",REPT(" ",99)),496,99)),FIND(":",TRIM(MID(SUBSTITUTE($T160,";",REPT(" ",99)),496,99)))+1,99)),0) + IFERROR(VLOOKUP(LEFT(TRIM(MID(SUBSTITUTE($T160,";",REPT(" ",99)),595,99)),FIND(":",TRIM(MID(SUBSTITUTE($T160,";",REPT(" ",99)),595,99)))-1),Materiales!$A$2:$E$502,5,FALSE)*VALUE(MID(TRIM(MID(SUBSTITUTE($T160,";",REPT(" ",99)),595,99)),FIND(":",TRIM(MID(SUBSTITUTE($T160,";",REPT(" ",99)),595,99)))+1,99)),0) + IFERROR(VLOOKUP(LEFT(TRIM(MID(SUBSTITUTE($T160,";",REPT(" ",99)),694,99)),FIND(":",TRIM(MID(SUBSTITUTE($T160,";",REPT(" ",99)),694,99)))-1),Materiales!$A$2:$E$502,5,FALSE)*VALUE(MID(TRIM(MID(SUBSTITUTE($T160,";",REPT(" ",99)),694,99)),FIND(":",TRIM(MID(SUBSTITUTE($T160,";",REPT(" ",99)),694,99)))+1,99)),0) + IFERROR(VLOOKUP(LEFT(TRIM(MID(SUBSTITUTE($T160,";",REPT(" ",99)),793,99)),FIND(":",TRIM(MID(SUBSTITUTE($T160,";",REPT(" ",99)),793,99)))-1),Materiales!$A$2:$E$502,5,FALSE)*VALUE(MID(TRIM(MID(SUBSTITUTE($T160,";",REPT(" ",99)),793,99)),FIND(":",TRIM(MID(SUBSTITUTE($T160,";",REPT(" ",99)),793,99)))+1,99)),0) + IFERROR(VLOOKUP(LEFT(TRIM(MID(SUBSTITUTE($T160,";",REPT(" ",99)),892,99)),FIND(":",TRIM(MID(SUBSTITUTE($T160,";",REPT(" ",99)),892,99)))-1),Materiales!$A$2:$E$502,5,FALSE)*VALUE(MID(TRIM(MID(SUBSTITUTE($T160,";",REPT(" ",99)),892,99)),FIND(":",TRIM(MID(SUBSTITUTE($T160,";",REPT(" ",99)),892,99)))+1,99)),0)))</f>
        <v/>
      </c>
      <c r="V160" s="3"/>
      <c r="W160" s="5" t="str">
        <f t="array" ref="W160">IF($A160="","",IF($V160="",0,IFERROR(VLOOKUP(LEFT(TRIM(MID(SUBSTITUTE($V160,";",REPT(" ",99)),1,99)),FIND(":",TRIM(MID(SUBSTITUTE($V160,";",REPT(" ",99)),1,99)))-1),Materiales!$A$2:$E$502,5,FALSE)*VALUE(MID(TRIM(MID(SUBSTITUTE($V160,";",REPT(" ",99)),1,99)),FIND(":",TRIM(MID(SUBSTITUTE($V160,";",REPT(" ",99)),1,99)))+1,99)),0) + IFERROR(VLOOKUP(LEFT(TRIM(MID(SUBSTITUTE($V160,";",REPT(" ",99)),100,99)),FIND(":",TRIM(MID(SUBSTITUTE($V160,";",REPT(" ",99)),100,99)))-1),Materiales!$A$2:$E$502,5,FALSE)*VALUE(MID(TRIM(MID(SUBSTITUTE($V160,";",REPT(" ",99)),100,99)),FIND(":",TRIM(MID(SUBSTITUTE($V160,";",REPT(" ",99)),100,99)))+1,99)),0) + IFERROR(VLOOKUP(LEFT(TRIM(MID(SUBSTITUTE($V160,";",REPT(" ",99)),199,99)),FIND(":",TRIM(MID(SUBSTITUTE($V160,";",REPT(" ",99)),199,99)))-1),Materiales!$A$2:$E$502,5,FALSE)*VALUE(MID(TRIM(MID(SUBSTITUTE($V160,";",REPT(" ",99)),199,99)),FIND(":",TRIM(MID(SUBSTITUTE($V160,";",REPT(" ",99)),199,99)))+1,99)),0) + IFERROR(VLOOKUP(LEFT(TRIM(MID(SUBSTITUTE($V160,";",REPT(" ",99)),298,99)),FIND(":",TRIM(MID(SUBSTITUTE($V160,";",REPT(" ",99)),298,99)))-1),Materiales!$A$2:$E$502,5,FALSE)*VALUE(MID(TRIM(MID(SUBSTITUTE($V160,";",REPT(" ",99)),298,99)),FIND(":",TRIM(MID(SUBSTITUTE($V160,";",REPT(" ",99)),298,99)))+1,99)),0) + IFERROR(VLOOKUP(LEFT(TRIM(MID(SUBSTITUTE($V160,";",REPT(" ",99)),397,99)),FIND(":",TRIM(MID(SUBSTITUTE($V160,";",REPT(" ",99)),397,99)))-1),Materiales!$A$2:$E$502,5,FALSE)*VALUE(MID(TRIM(MID(SUBSTITUTE($V160,";",REPT(" ",99)),397,99)),FIND(":",TRIM(MID(SUBSTITUTE($V160,";",REPT(" ",99)),397,99)))+1,99)),0) + IFERROR(VLOOKUP(LEFT(TRIM(MID(SUBSTITUTE($V160,";",REPT(" ",99)),496,99)),FIND(":",TRIM(MID(SUBSTITUTE($V160,";",REPT(" ",99)),496,99)))-1),Materiales!$A$2:$E$502,5,FALSE)*VALUE(MID(TRIM(MID(SUBSTITUTE($V160,";",REPT(" ",99)),496,99)),FIND(":",TRIM(MID(SUBSTITUTE($V160,";",REPT(" ",99)),496,99)))+1,99)),0) + IFERROR(VLOOKUP(LEFT(TRIM(MID(SUBSTITUTE($V160,";",REPT(" ",99)),595,99)),FIND(":",TRIM(MID(SUBSTITUTE($V160,";",REPT(" ",99)),595,99)))-1),Materiales!$A$2:$E$502,5,FALSE)*VALUE(MID(TRIM(MID(SUBSTITUTE($V160,";",REPT(" ",99)),595,99)),FIND(":",TRIM(MID(SUBSTITUTE($V160,";",REPT(" ",99)),595,99)))+1,99)),0) + IFERROR(VLOOKUP(LEFT(TRIM(MID(SUBSTITUTE($V160,";",REPT(" ",99)),694,99)),FIND(":",TRIM(MID(SUBSTITUTE($V160,";",REPT(" ",99)),694,99)))-1),Materiales!$A$2:$E$502,5,FALSE)*VALUE(MID(TRIM(MID(SUBSTITUTE($V160,";",REPT(" ",99)),694,99)),FIND(":",TRIM(MID(SUBSTITUTE($V160,";",REPT(" ",99)),694,99)))+1,99)),0) + IFERROR(VLOOKUP(LEFT(TRIM(MID(SUBSTITUTE($V160,";",REPT(" ",99)),793,99)),FIND(":",TRIM(MID(SUBSTITUTE($V160,";",REPT(" ",99)),793,99)))-1),Materiales!$A$2:$E$502,5,FALSE)*VALUE(MID(TRIM(MID(SUBSTITUTE($V160,";",REPT(" ",99)),793,99)),FIND(":",TRIM(MID(SUBSTITUTE($V160,";",REPT(" ",99)),793,99)))+1,99)),0) + IFERROR(VLOOKUP(LEFT(TRIM(MID(SUBSTITUTE($V160,";",REPT(" ",99)),892,99)),FIND(":",TRIM(MID(SUBSTITUTE($V160,";",REPT(" ",99)),892,99)))-1),Materiales!$A$2:$E$502,5,FALSE)*VALUE(MID(TRIM(MID(SUBSTITUTE($V160,";",REPT(" ",99)),892,99)),FIND(":",TRIM(MID(SUBSTITUTE($V160,";",REPT(" ",99)),892,99)))+1,99)),0)))</f>
        <v/>
      </c>
      <c r="X160" s="39" t="str">
        <f t="shared" si="13"/>
        <v/>
      </c>
      <c r="Y160" s="64"/>
      <c r="Z160" s="67"/>
      <c r="AA160" s="65"/>
      <c r="AB160" s="14"/>
      <c r="AC160" s="66"/>
      <c r="AD160" s="65"/>
      <c r="AE160" s="44"/>
      <c r="AF160" s="45" t="str">
        <f t="shared" si="20"/>
        <v>#DIV/0!</v>
      </c>
    </row>
    <row r="161" ht="15.75" customHeight="1">
      <c r="A161" s="3"/>
      <c r="B161" s="3"/>
      <c r="C161" s="38"/>
      <c r="D161" s="38"/>
      <c r="E161" s="38"/>
      <c r="F161" s="14"/>
      <c r="G161" s="5" t="str">
        <f t="array" ref="G161">IF($A161="","",IFERROR($F161*(N($C161)*XLOOKUP($B161,Ceras!$A$2:$A$500,Ceras!$G$2:$G$500,0)+IF($D161="",0,N($E161)*XLOOKUP($D161,Ceras!$A$2:$A$500,Ceras!$G$2:$G$500,0))),"Revisar cera"))</f>
        <v/>
      </c>
      <c r="H161" s="5"/>
      <c r="I161" s="3"/>
      <c r="J161" s="14"/>
      <c r="K161" s="5" t="str">
        <f t="array" ref="K161">IF($A161="","",IFERROR($J161*XLOOKUP($I161,Pabilos!$A$2:$A$500,Pabilos!$H$2:$H$500,0),"Revisar pabilo"))</f>
        <v/>
      </c>
      <c r="L161" s="3"/>
      <c r="M161" s="14"/>
      <c r="N161" s="5" t="str">
        <f t="array" ref="N161">IF($A161="","",IFERROR($M161*XLOOKUP($L161,Esencias!$A$2:$A$501,Esencias!$G$2:$G$501,0),"Revisar esencia"))</f>
        <v/>
      </c>
      <c r="O161" s="3"/>
      <c r="P161" s="14"/>
      <c r="Q161" s="5" t="str">
        <f t="array" ref="Q161">IF($A161="","",IFERROR(IF($P161="",1,$P161)*XLOOKUP($O161,Colores!$A$2:$A$500,Colores!$H$2:$H$500,0),"Revisar color"))</f>
        <v/>
      </c>
      <c r="R161" s="3"/>
      <c r="S161" s="5" t="str">
        <f t="array" ref="S161">IF($A161="","",IF($R161="",0,IFERROR(VLOOKUP(LEFT(TRIM(MID(SUBSTITUTE($R161,";",REPT(" ",99)),1,99)),FIND(":",TRIM(MID(SUBSTITUTE($R161,";",REPT(" ",99)),1,99)))-1),Materiales!$A$2:$E$502,5,FALSE)*VALUE(MID(TRIM(MID(SUBSTITUTE($R161,";",REPT(" ",99)),1,99)),FIND(":",TRIM(MID(SUBSTITUTE($R161,";",REPT(" ",99)),1,99)))+1,99)),0) + IFERROR(VLOOKUP(LEFT(TRIM(MID(SUBSTITUTE($R161,";",REPT(" ",99)),100,99)),FIND(":",TRIM(MID(SUBSTITUTE($R161,";",REPT(" ",99)),100,99)))-1),Materiales!$A$2:$E$502,5,FALSE)*VALUE(MID(TRIM(MID(SUBSTITUTE($R161,";",REPT(" ",99)),100,99)),FIND(":",TRIM(MID(SUBSTITUTE($R161,";",REPT(" ",99)),100,99)))+1,99)),0) + IFERROR(VLOOKUP(LEFT(TRIM(MID(SUBSTITUTE($R161,";",REPT(" ",99)),199,99)),FIND(":",TRIM(MID(SUBSTITUTE($R161,";",REPT(" ",99)),199,99)))-1),Materiales!$A$2:$E$502,5,FALSE)*VALUE(MID(TRIM(MID(SUBSTITUTE($R161,";",REPT(" ",99)),199,99)),FIND(":",TRIM(MID(SUBSTITUTE($R161,";",REPT(" ",99)),199,99)))+1,99)),0) + IFERROR(VLOOKUP(LEFT(TRIM(MID(SUBSTITUTE($R161,";",REPT(" ",99)),298,99)),FIND(":",TRIM(MID(SUBSTITUTE($R161,";",REPT(" ",99)),298,99)))-1),Materiales!$A$2:$E$502,5,FALSE)*VALUE(MID(TRIM(MID(SUBSTITUTE($R161,";",REPT(" ",99)),298,99)),FIND(":",TRIM(MID(SUBSTITUTE($R161,";",REPT(" ",99)),298,99)))+1,99)),0) + IFERROR(VLOOKUP(LEFT(TRIM(MID(SUBSTITUTE($R161,";",REPT(" ",99)),397,99)),FIND(":",TRIM(MID(SUBSTITUTE($R161,";",REPT(" ",99)),397,99)))-1),Materiales!$A$2:$E$502,5,FALSE)*VALUE(MID(TRIM(MID(SUBSTITUTE($R161,";",REPT(" ",99)),397,99)),FIND(":",TRIM(MID(SUBSTITUTE($R161,";",REPT(" ",99)),397,99)))+1,99)),0) + IFERROR(VLOOKUP(LEFT(TRIM(MID(SUBSTITUTE($R161,";",REPT(" ",99)),496,99)),FIND(":",TRIM(MID(SUBSTITUTE($R161,";",REPT(" ",99)),496,99)))-1),Materiales!$A$2:$E$502,5,FALSE)*VALUE(MID(TRIM(MID(SUBSTITUTE($R161,";",REPT(" ",99)),496,99)),FIND(":",TRIM(MID(SUBSTITUTE($R161,";",REPT(" ",99)),496,99)))+1,99)),0) + IFERROR(VLOOKUP(LEFT(TRIM(MID(SUBSTITUTE($R161,";",REPT(" ",99)),595,99)),FIND(":",TRIM(MID(SUBSTITUTE($R161,";",REPT(" ",99)),595,99)))-1),Materiales!$A$2:$E$502,5,FALSE)*VALUE(MID(TRIM(MID(SUBSTITUTE($R161,";",REPT(" ",99)),595,99)),FIND(":",TRIM(MID(SUBSTITUTE($R161,";",REPT(" ",99)),595,99)))+1,99)),0) + IFERROR(VLOOKUP(LEFT(TRIM(MID(SUBSTITUTE($R161,";",REPT(" ",99)),694,99)),FIND(":",TRIM(MID(SUBSTITUTE($R161,";",REPT(" ",99)),694,99)))-1),Materiales!$A$2:$E$502,5,FALSE)*VALUE(MID(TRIM(MID(SUBSTITUTE($R161,";",REPT(" ",99)),694,99)),FIND(":",TRIM(MID(SUBSTITUTE($R161,";",REPT(" ",99)),694,99)))+1,99)),0) + IFERROR(VLOOKUP(LEFT(TRIM(MID(SUBSTITUTE($R161,";",REPT(" ",99)),793,99)),FIND(":",TRIM(MID(SUBSTITUTE($R161,";",REPT(" ",99)),793,99)))-1),Materiales!$A$2:$E$502,5,FALSE)*VALUE(MID(TRIM(MID(SUBSTITUTE($R161,";",REPT(" ",99)),793,99)),FIND(":",TRIM(MID(SUBSTITUTE($R161,";",REPT(" ",99)),793,99)))+1,99)),0) + IFERROR(VLOOKUP(LEFT(TRIM(MID(SUBSTITUTE($R161,";",REPT(" ",99)),892,99)),FIND(":",TRIM(MID(SUBSTITUTE($R161,";",REPT(" ",99)),892,99)))-1),Materiales!$A$2:$E$502,5,FALSE)*VALUE(MID(TRIM(MID(SUBSTITUTE($R161,";",REPT(" ",99)),892,99)),FIND(":",TRIM(MID(SUBSTITUTE($R161,";",REPT(" ",99)),892,99)))+1,99)),0)))</f>
        <v/>
      </c>
      <c r="T161" s="3"/>
      <c r="U161" s="5" t="str">
        <f t="array" ref="U161">IF($A161="","",IF($T161="",0,IFERROR(VLOOKUP(LEFT(TRIM(MID(SUBSTITUTE($T161,";",REPT(" ",99)),1,99)),FIND(":",TRIM(MID(SUBSTITUTE($T161,";",REPT(" ",99)),1,99)))-1),Materiales!$A$2:$E$502,5,FALSE)*VALUE(MID(TRIM(MID(SUBSTITUTE($T161,";",REPT(" ",99)),1,99)),FIND(":",TRIM(MID(SUBSTITUTE($T161,";",REPT(" ",99)),1,99)))+1,99)),0) + IFERROR(VLOOKUP(LEFT(TRIM(MID(SUBSTITUTE($T161,";",REPT(" ",99)),100,99)),FIND(":",TRIM(MID(SUBSTITUTE($T161,";",REPT(" ",99)),100,99)))-1),Materiales!$A$2:$E$502,5,FALSE)*VALUE(MID(TRIM(MID(SUBSTITUTE($T161,";",REPT(" ",99)),100,99)),FIND(":",TRIM(MID(SUBSTITUTE($T161,";",REPT(" ",99)),100,99)))+1,99)),0) + IFERROR(VLOOKUP(LEFT(TRIM(MID(SUBSTITUTE($T161,";",REPT(" ",99)),199,99)),FIND(":",TRIM(MID(SUBSTITUTE($T161,";",REPT(" ",99)),199,99)))-1),Materiales!$A$2:$E$502,5,FALSE)*VALUE(MID(TRIM(MID(SUBSTITUTE($T161,";",REPT(" ",99)),199,99)),FIND(":",TRIM(MID(SUBSTITUTE($T161,";",REPT(" ",99)),199,99)))+1,99)),0) + IFERROR(VLOOKUP(LEFT(TRIM(MID(SUBSTITUTE($T161,";",REPT(" ",99)),298,99)),FIND(":",TRIM(MID(SUBSTITUTE($T161,";",REPT(" ",99)),298,99)))-1),Materiales!$A$2:$E$502,5,FALSE)*VALUE(MID(TRIM(MID(SUBSTITUTE($T161,";",REPT(" ",99)),298,99)),FIND(":",TRIM(MID(SUBSTITUTE($T161,";",REPT(" ",99)),298,99)))+1,99)),0) + IFERROR(VLOOKUP(LEFT(TRIM(MID(SUBSTITUTE($T161,";",REPT(" ",99)),397,99)),FIND(":",TRIM(MID(SUBSTITUTE($T161,";",REPT(" ",99)),397,99)))-1),Materiales!$A$2:$E$502,5,FALSE)*VALUE(MID(TRIM(MID(SUBSTITUTE($T161,";",REPT(" ",99)),397,99)),FIND(":",TRIM(MID(SUBSTITUTE($T161,";",REPT(" ",99)),397,99)))+1,99)),0) + IFERROR(VLOOKUP(LEFT(TRIM(MID(SUBSTITUTE($T161,";",REPT(" ",99)),496,99)),FIND(":",TRIM(MID(SUBSTITUTE($T161,";",REPT(" ",99)),496,99)))-1),Materiales!$A$2:$E$502,5,FALSE)*VALUE(MID(TRIM(MID(SUBSTITUTE($T161,";",REPT(" ",99)),496,99)),FIND(":",TRIM(MID(SUBSTITUTE($T161,";",REPT(" ",99)),496,99)))+1,99)),0) + IFERROR(VLOOKUP(LEFT(TRIM(MID(SUBSTITUTE($T161,";",REPT(" ",99)),595,99)),FIND(":",TRIM(MID(SUBSTITUTE($T161,";",REPT(" ",99)),595,99)))-1),Materiales!$A$2:$E$502,5,FALSE)*VALUE(MID(TRIM(MID(SUBSTITUTE($T161,";",REPT(" ",99)),595,99)),FIND(":",TRIM(MID(SUBSTITUTE($T161,";",REPT(" ",99)),595,99)))+1,99)),0) + IFERROR(VLOOKUP(LEFT(TRIM(MID(SUBSTITUTE($T161,";",REPT(" ",99)),694,99)),FIND(":",TRIM(MID(SUBSTITUTE($T161,";",REPT(" ",99)),694,99)))-1),Materiales!$A$2:$E$502,5,FALSE)*VALUE(MID(TRIM(MID(SUBSTITUTE($T161,";",REPT(" ",99)),694,99)),FIND(":",TRIM(MID(SUBSTITUTE($T161,";",REPT(" ",99)),694,99)))+1,99)),0) + IFERROR(VLOOKUP(LEFT(TRIM(MID(SUBSTITUTE($T161,";",REPT(" ",99)),793,99)),FIND(":",TRIM(MID(SUBSTITUTE($T161,";",REPT(" ",99)),793,99)))-1),Materiales!$A$2:$E$502,5,FALSE)*VALUE(MID(TRIM(MID(SUBSTITUTE($T161,";",REPT(" ",99)),793,99)),FIND(":",TRIM(MID(SUBSTITUTE($T161,";",REPT(" ",99)),793,99)))+1,99)),0) + IFERROR(VLOOKUP(LEFT(TRIM(MID(SUBSTITUTE($T161,";",REPT(" ",99)),892,99)),FIND(":",TRIM(MID(SUBSTITUTE($T161,";",REPT(" ",99)),892,99)))-1),Materiales!$A$2:$E$502,5,FALSE)*VALUE(MID(TRIM(MID(SUBSTITUTE($T161,";",REPT(" ",99)),892,99)),FIND(":",TRIM(MID(SUBSTITUTE($T161,";",REPT(" ",99)),892,99)))+1,99)),0)))</f>
        <v/>
      </c>
      <c r="V161" s="3"/>
      <c r="W161" s="5" t="str">
        <f t="array" ref="W161">IF($A161="","",IF($V161="",0,IFERROR(VLOOKUP(LEFT(TRIM(MID(SUBSTITUTE($V161,";",REPT(" ",99)),1,99)),FIND(":",TRIM(MID(SUBSTITUTE($V161,";",REPT(" ",99)),1,99)))-1),Materiales!$A$2:$E$502,5,FALSE)*VALUE(MID(TRIM(MID(SUBSTITUTE($V161,";",REPT(" ",99)),1,99)),FIND(":",TRIM(MID(SUBSTITUTE($V161,";",REPT(" ",99)),1,99)))+1,99)),0) + IFERROR(VLOOKUP(LEFT(TRIM(MID(SUBSTITUTE($V161,";",REPT(" ",99)),100,99)),FIND(":",TRIM(MID(SUBSTITUTE($V161,";",REPT(" ",99)),100,99)))-1),Materiales!$A$2:$E$502,5,FALSE)*VALUE(MID(TRIM(MID(SUBSTITUTE($V161,";",REPT(" ",99)),100,99)),FIND(":",TRIM(MID(SUBSTITUTE($V161,";",REPT(" ",99)),100,99)))+1,99)),0) + IFERROR(VLOOKUP(LEFT(TRIM(MID(SUBSTITUTE($V161,";",REPT(" ",99)),199,99)),FIND(":",TRIM(MID(SUBSTITUTE($V161,";",REPT(" ",99)),199,99)))-1),Materiales!$A$2:$E$502,5,FALSE)*VALUE(MID(TRIM(MID(SUBSTITUTE($V161,";",REPT(" ",99)),199,99)),FIND(":",TRIM(MID(SUBSTITUTE($V161,";",REPT(" ",99)),199,99)))+1,99)),0) + IFERROR(VLOOKUP(LEFT(TRIM(MID(SUBSTITUTE($V161,";",REPT(" ",99)),298,99)),FIND(":",TRIM(MID(SUBSTITUTE($V161,";",REPT(" ",99)),298,99)))-1),Materiales!$A$2:$E$502,5,FALSE)*VALUE(MID(TRIM(MID(SUBSTITUTE($V161,";",REPT(" ",99)),298,99)),FIND(":",TRIM(MID(SUBSTITUTE($V161,";",REPT(" ",99)),298,99)))+1,99)),0) + IFERROR(VLOOKUP(LEFT(TRIM(MID(SUBSTITUTE($V161,";",REPT(" ",99)),397,99)),FIND(":",TRIM(MID(SUBSTITUTE($V161,";",REPT(" ",99)),397,99)))-1),Materiales!$A$2:$E$502,5,FALSE)*VALUE(MID(TRIM(MID(SUBSTITUTE($V161,";",REPT(" ",99)),397,99)),FIND(":",TRIM(MID(SUBSTITUTE($V161,";",REPT(" ",99)),397,99)))+1,99)),0) + IFERROR(VLOOKUP(LEFT(TRIM(MID(SUBSTITUTE($V161,";",REPT(" ",99)),496,99)),FIND(":",TRIM(MID(SUBSTITUTE($V161,";",REPT(" ",99)),496,99)))-1),Materiales!$A$2:$E$502,5,FALSE)*VALUE(MID(TRIM(MID(SUBSTITUTE($V161,";",REPT(" ",99)),496,99)),FIND(":",TRIM(MID(SUBSTITUTE($V161,";",REPT(" ",99)),496,99)))+1,99)),0) + IFERROR(VLOOKUP(LEFT(TRIM(MID(SUBSTITUTE($V161,";",REPT(" ",99)),595,99)),FIND(":",TRIM(MID(SUBSTITUTE($V161,";",REPT(" ",99)),595,99)))-1),Materiales!$A$2:$E$502,5,FALSE)*VALUE(MID(TRIM(MID(SUBSTITUTE($V161,";",REPT(" ",99)),595,99)),FIND(":",TRIM(MID(SUBSTITUTE($V161,";",REPT(" ",99)),595,99)))+1,99)),0) + IFERROR(VLOOKUP(LEFT(TRIM(MID(SUBSTITUTE($V161,";",REPT(" ",99)),694,99)),FIND(":",TRIM(MID(SUBSTITUTE($V161,";",REPT(" ",99)),694,99)))-1),Materiales!$A$2:$E$502,5,FALSE)*VALUE(MID(TRIM(MID(SUBSTITUTE($V161,";",REPT(" ",99)),694,99)),FIND(":",TRIM(MID(SUBSTITUTE($V161,";",REPT(" ",99)),694,99)))+1,99)),0) + IFERROR(VLOOKUP(LEFT(TRIM(MID(SUBSTITUTE($V161,";",REPT(" ",99)),793,99)),FIND(":",TRIM(MID(SUBSTITUTE($V161,";",REPT(" ",99)),793,99)))-1),Materiales!$A$2:$E$502,5,FALSE)*VALUE(MID(TRIM(MID(SUBSTITUTE($V161,";",REPT(" ",99)),793,99)),FIND(":",TRIM(MID(SUBSTITUTE($V161,";",REPT(" ",99)),793,99)))+1,99)),0) + IFERROR(VLOOKUP(LEFT(TRIM(MID(SUBSTITUTE($V161,";",REPT(" ",99)),892,99)),FIND(":",TRIM(MID(SUBSTITUTE($V161,";",REPT(" ",99)),892,99)))-1),Materiales!$A$2:$E$502,5,FALSE)*VALUE(MID(TRIM(MID(SUBSTITUTE($V161,";",REPT(" ",99)),892,99)),FIND(":",TRIM(MID(SUBSTITUTE($V161,";",REPT(" ",99)),892,99)))+1,99)),0)))</f>
        <v/>
      </c>
      <c r="X161" s="39" t="str">
        <f t="shared" si="13"/>
        <v/>
      </c>
      <c r="Y161" s="64"/>
      <c r="Z161" s="67"/>
      <c r="AA161" s="65"/>
      <c r="AB161" s="14"/>
      <c r="AC161" s="66"/>
      <c r="AD161" s="65"/>
      <c r="AE161" s="44"/>
      <c r="AF161" s="45" t="str">
        <f t="shared" si="20"/>
        <v>#DIV/0!</v>
      </c>
    </row>
    <row r="162" ht="15.75" customHeight="1">
      <c r="A162" s="3"/>
      <c r="B162" s="3"/>
      <c r="C162" s="38"/>
      <c r="D162" s="38"/>
      <c r="E162" s="38"/>
      <c r="F162" s="14"/>
      <c r="G162" s="5" t="str">
        <f t="array" ref="G162">IF($A162="","",IFERROR($F162*(N($C162)*XLOOKUP($B162,Ceras!$A$2:$A$500,Ceras!$G$2:$G$500,0)+IF($D162="",0,N($E162)*XLOOKUP($D162,Ceras!$A$2:$A$500,Ceras!$G$2:$G$500,0))),"Revisar cera"))</f>
        <v/>
      </c>
      <c r="H162" s="5"/>
      <c r="I162" s="3"/>
      <c r="J162" s="14"/>
      <c r="K162" s="5" t="str">
        <f t="array" ref="K162">IF($A162="","",IFERROR($J162*XLOOKUP($I162,Pabilos!$A$2:$A$500,Pabilos!$H$2:$H$500,0),"Revisar pabilo"))</f>
        <v/>
      </c>
      <c r="L162" s="3"/>
      <c r="M162" s="14"/>
      <c r="N162" s="5" t="str">
        <f t="array" ref="N162">IF($A162="","",IFERROR($M162*XLOOKUP($L162,Esencias!$A$2:$A$501,Esencias!$G$2:$G$501,0),"Revisar esencia"))</f>
        <v/>
      </c>
      <c r="O162" s="3"/>
      <c r="P162" s="14"/>
      <c r="Q162" s="5" t="str">
        <f t="array" ref="Q162">IF($A162="","",IFERROR(IF($P162="",1,$P162)*XLOOKUP($O162,Colores!$A$2:$A$500,Colores!$H$2:$H$500,0),"Revisar color"))</f>
        <v/>
      </c>
      <c r="R162" s="3"/>
      <c r="S162" s="5" t="str">
        <f t="array" ref="S162">IF($A162="","",IF($R162="",0,IFERROR(VLOOKUP(LEFT(TRIM(MID(SUBSTITUTE($R162,";",REPT(" ",99)),1,99)),FIND(":",TRIM(MID(SUBSTITUTE($R162,";",REPT(" ",99)),1,99)))-1),Materiales!$A$2:$E$502,5,FALSE)*VALUE(MID(TRIM(MID(SUBSTITUTE($R162,";",REPT(" ",99)),1,99)),FIND(":",TRIM(MID(SUBSTITUTE($R162,";",REPT(" ",99)),1,99)))+1,99)),0) + IFERROR(VLOOKUP(LEFT(TRIM(MID(SUBSTITUTE($R162,";",REPT(" ",99)),100,99)),FIND(":",TRIM(MID(SUBSTITUTE($R162,";",REPT(" ",99)),100,99)))-1),Materiales!$A$2:$E$502,5,FALSE)*VALUE(MID(TRIM(MID(SUBSTITUTE($R162,";",REPT(" ",99)),100,99)),FIND(":",TRIM(MID(SUBSTITUTE($R162,";",REPT(" ",99)),100,99)))+1,99)),0) + IFERROR(VLOOKUP(LEFT(TRIM(MID(SUBSTITUTE($R162,";",REPT(" ",99)),199,99)),FIND(":",TRIM(MID(SUBSTITUTE($R162,";",REPT(" ",99)),199,99)))-1),Materiales!$A$2:$E$502,5,FALSE)*VALUE(MID(TRIM(MID(SUBSTITUTE($R162,";",REPT(" ",99)),199,99)),FIND(":",TRIM(MID(SUBSTITUTE($R162,";",REPT(" ",99)),199,99)))+1,99)),0) + IFERROR(VLOOKUP(LEFT(TRIM(MID(SUBSTITUTE($R162,";",REPT(" ",99)),298,99)),FIND(":",TRIM(MID(SUBSTITUTE($R162,";",REPT(" ",99)),298,99)))-1),Materiales!$A$2:$E$502,5,FALSE)*VALUE(MID(TRIM(MID(SUBSTITUTE($R162,";",REPT(" ",99)),298,99)),FIND(":",TRIM(MID(SUBSTITUTE($R162,";",REPT(" ",99)),298,99)))+1,99)),0) + IFERROR(VLOOKUP(LEFT(TRIM(MID(SUBSTITUTE($R162,";",REPT(" ",99)),397,99)),FIND(":",TRIM(MID(SUBSTITUTE($R162,";",REPT(" ",99)),397,99)))-1),Materiales!$A$2:$E$502,5,FALSE)*VALUE(MID(TRIM(MID(SUBSTITUTE($R162,";",REPT(" ",99)),397,99)),FIND(":",TRIM(MID(SUBSTITUTE($R162,";",REPT(" ",99)),397,99)))+1,99)),0) + IFERROR(VLOOKUP(LEFT(TRIM(MID(SUBSTITUTE($R162,";",REPT(" ",99)),496,99)),FIND(":",TRIM(MID(SUBSTITUTE($R162,";",REPT(" ",99)),496,99)))-1),Materiales!$A$2:$E$502,5,FALSE)*VALUE(MID(TRIM(MID(SUBSTITUTE($R162,";",REPT(" ",99)),496,99)),FIND(":",TRIM(MID(SUBSTITUTE($R162,";",REPT(" ",99)),496,99)))+1,99)),0) + IFERROR(VLOOKUP(LEFT(TRIM(MID(SUBSTITUTE($R162,";",REPT(" ",99)),595,99)),FIND(":",TRIM(MID(SUBSTITUTE($R162,";",REPT(" ",99)),595,99)))-1),Materiales!$A$2:$E$502,5,FALSE)*VALUE(MID(TRIM(MID(SUBSTITUTE($R162,";",REPT(" ",99)),595,99)),FIND(":",TRIM(MID(SUBSTITUTE($R162,";",REPT(" ",99)),595,99)))+1,99)),0) + IFERROR(VLOOKUP(LEFT(TRIM(MID(SUBSTITUTE($R162,";",REPT(" ",99)),694,99)),FIND(":",TRIM(MID(SUBSTITUTE($R162,";",REPT(" ",99)),694,99)))-1),Materiales!$A$2:$E$502,5,FALSE)*VALUE(MID(TRIM(MID(SUBSTITUTE($R162,";",REPT(" ",99)),694,99)),FIND(":",TRIM(MID(SUBSTITUTE($R162,";",REPT(" ",99)),694,99)))+1,99)),0) + IFERROR(VLOOKUP(LEFT(TRIM(MID(SUBSTITUTE($R162,";",REPT(" ",99)),793,99)),FIND(":",TRIM(MID(SUBSTITUTE($R162,";",REPT(" ",99)),793,99)))-1),Materiales!$A$2:$E$502,5,FALSE)*VALUE(MID(TRIM(MID(SUBSTITUTE($R162,";",REPT(" ",99)),793,99)),FIND(":",TRIM(MID(SUBSTITUTE($R162,";",REPT(" ",99)),793,99)))+1,99)),0) + IFERROR(VLOOKUP(LEFT(TRIM(MID(SUBSTITUTE($R162,";",REPT(" ",99)),892,99)),FIND(":",TRIM(MID(SUBSTITUTE($R162,";",REPT(" ",99)),892,99)))-1),Materiales!$A$2:$E$502,5,FALSE)*VALUE(MID(TRIM(MID(SUBSTITUTE($R162,";",REPT(" ",99)),892,99)),FIND(":",TRIM(MID(SUBSTITUTE($R162,";",REPT(" ",99)),892,99)))+1,99)),0)))</f>
        <v/>
      </c>
      <c r="T162" s="3"/>
      <c r="U162" s="5" t="str">
        <f t="array" ref="U162">IF($A162="","",IF($T162="",0,IFERROR(VLOOKUP(LEFT(TRIM(MID(SUBSTITUTE($T162,";",REPT(" ",99)),1,99)),FIND(":",TRIM(MID(SUBSTITUTE($T162,";",REPT(" ",99)),1,99)))-1),Materiales!$A$2:$E$502,5,FALSE)*VALUE(MID(TRIM(MID(SUBSTITUTE($T162,";",REPT(" ",99)),1,99)),FIND(":",TRIM(MID(SUBSTITUTE($T162,";",REPT(" ",99)),1,99)))+1,99)),0) + IFERROR(VLOOKUP(LEFT(TRIM(MID(SUBSTITUTE($T162,";",REPT(" ",99)),100,99)),FIND(":",TRIM(MID(SUBSTITUTE($T162,";",REPT(" ",99)),100,99)))-1),Materiales!$A$2:$E$502,5,FALSE)*VALUE(MID(TRIM(MID(SUBSTITUTE($T162,";",REPT(" ",99)),100,99)),FIND(":",TRIM(MID(SUBSTITUTE($T162,";",REPT(" ",99)),100,99)))+1,99)),0) + IFERROR(VLOOKUP(LEFT(TRIM(MID(SUBSTITUTE($T162,";",REPT(" ",99)),199,99)),FIND(":",TRIM(MID(SUBSTITUTE($T162,";",REPT(" ",99)),199,99)))-1),Materiales!$A$2:$E$502,5,FALSE)*VALUE(MID(TRIM(MID(SUBSTITUTE($T162,";",REPT(" ",99)),199,99)),FIND(":",TRIM(MID(SUBSTITUTE($T162,";",REPT(" ",99)),199,99)))+1,99)),0) + IFERROR(VLOOKUP(LEFT(TRIM(MID(SUBSTITUTE($T162,";",REPT(" ",99)),298,99)),FIND(":",TRIM(MID(SUBSTITUTE($T162,";",REPT(" ",99)),298,99)))-1),Materiales!$A$2:$E$502,5,FALSE)*VALUE(MID(TRIM(MID(SUBSTITUTE($T162,";",REPT(" ",99)),298,99)),FIND(":",TRIM(MID(SUBSTITUTE($T162,";",REPT(" ",99)),298,99)))+1,99)),0) + IFERROR(VLOOKUP(LEFT(TRIM(MID(SUBSTITUTE($T162,";",REPT(" ",99)),397,99)),FIND(":",TRIM(MID(SUBSTITUTE($T162,";",REPT(" ",99)),397,99)))-1),Materiales!$A$2:$E$502,5,FALSE)*VALUE(MID(TRIM(MID(SUBSTITUTE($T162,";",REPT(" ",99)),397,99)),FIND(":",TRIM(MID(SUBSTITUTE($T162,";",REPT(" ",99)),397,99)))+1,99)),0) + IFERROR(VLOOKUP(LEFT(TRIM(MID(SUBSTITUTE($T162,";",REPT(" ",99)),496,99)),FIND(":",TRIM(MID(SUBSTITUTE($T162,";",REPT(" ",99)),496,99)))-1),Materiales!$A$2:$E$502,5,FALSE)*VALUE(MID(TRIM(MID(SUBSTITUTE($T162,";",REPT(" ",99)),496,99)),FIND(":",TRIM(MID(SUBSTITUTE($T162,";",REPT(" ",99)),496,99)))+1,99)),0) + IFERROR(VLOOKUP(LEFT(TRIM(MID(SUBSTITUTE($T162,";",REPT(" ",99)),595,99)),FIND(":",TRIM(MID(SUBSTITUTE($T162,";",REPT(" ",99)),595,99)))-1),Materiales!$A$2:$E$502,5,FALSE)*VALUE(MID(TRIM(MID(SUBSTITUTE($T162,";",REPT(" ",99)),595,99)),FIND(":",TRIM(MID(SUBSTITUTE($T162,";",REPT(" ",99)),595,99)))+1,99)),0) + IFERROR(VLOOKUP(LEFT(TRIM(MID(SUBSTITUTE($T162,";",REPT(" ",99)),694,99)),FIND(":",TRIM(MID(SUBSTITUTE($T162,";",REPT(" ",99)),694,99)))-1),Materiales!$A$2:$E$502,5,FALSE)*VALUE(MID(TRIM(MID(SUBSTITUTE($T162,";",REPT(" ",99)),694,99)),FIND(":",TRIM(MID(SUBSTITUTE($T162,";",REPT(" ",99)),694,99)))+1,99)),0) + IFERROR(VLOOKUP(LEFT(TRIM(MID(SUBSTITUTE($T162,";",REPT(" ",99)),793,99)),FIND(":",TRIM(MID(SUBSTITUTE($T162,";",REPT(" ",99)),793,99)))-1),Materiales!$A$2:$E$502,5,FALSE)*VALUE(MID(TRIM(MID(SUBSTITUTE($T162,";",REPT(" ",99)),793,99)),FIND(":",TRIM(MID(SUBSTITUTE($T162,";",REPT(" ",99)),793,99)))+1,99)),0) + IFERROR(VLOOKUP(LEFT(TRIM(MID(SUBSTITUTE($T162,";",REPT(" ",99)),892,99)),FIND(":",TRIM(MID(SUBSTITUTE($T162,";",REPT(" ",99)),892,99)))-1),Materiales!$A$2:$E$502,5,FALSE)*VALUE(MID(TRIM(MID(SUBSTITUTE($T162,";",REPT(" ",99)),892,99)),FIND(":",TRIM(MID(SUBSTITUTE($T162,";",REPT(" ",99)),892,99)))+1,99)),0)))</f>
        <v/>
      </c>
      <c r="V162" s="3"/>
      <c r="W162" s="5" t="str">
        <f t="array" ref="W162">IF($A162="","",IF($V162="",0,IFERROR(VLOOKUP(LEFT(TRIM(MID(SUBSTITUTE($V162,";",REPT(" ",99)),1,99)),FIND(":",TRIM(MID(SUBSTITUTE($V162,";",REPT(" ",99)),1,99)))-1),Materiales!$A$2:$E$502,5,FALSE)*VALUE(MID(TRIM(MID(SUBSTITUTE($V162,";",REPT(" ",99)),1,99)),FIND(":",TRIM(MID(SUBSTITUTE($V162,";",REPT(" ",99)),1,99)))+1,99)),0) + IFERROR(VLOOKUP(LEFT(TRIM(MID(SUBSTITUTE($V162,";",REPT(" ",99)),100,99)),FIND(":",TRIM(MID(SUBSTITUTE($V162,";",REPT(" ",99)),100,99)))-1),Materiales!$A$2:$E$502,5,FALSE)*VALUE(MID(TRIM(MID(SUBSTITUTE($V162,";",REPT(" ",99)),100,99)),FIND(":",TRIM(MID(SUBSTITUTE($V162,";",REPT(" ",99)),100,99)))+1,99)),0) + IFERROR(VLOOKUP(LEFT(TRIM(MID(SUBSTITUTE($V162,";",REPT(" ",99)),199,99)),FIND(":",TRIM(MID(SUBSTITUTE($V162,";",REPT(" ",99)),199,99)))-1),Materiales!$A$2:$E$502,5,FALSE)*VALUE(MID(TRIM(MID(SUBSTITUTE($V162,";",REPT(" ",99)),199,99)),FIND(":",TRIM(MID(SUBSTITUTE($V162,";",REPT(" ",99)),199,99)))+1,99)),0) + IFERROR(VLOOKUP(LEFT(TRIM(MID(SUBSTITUTE($V162,";",REPT(" ",99)),298,99)),FIND(":",TRIM(MID(SUBSTITUTE($V162,";",REPT(" ",99)),298,99)))-1),Materiales!$A$2:$E$502,5,FALSE)*VALUE(MID(TRIM(MID(SUBSTITUTE($V162,";",REPT(" ",99)),298,99)),FIND(":",TRIM(MID(SUBSTITUTE($V162,";",REPT(" ",99)),298,99)))+1,99)),0) + IFERROR(VLOOKUP(LEFT(TRIM(MID(SUBSTITUTE($V162,";",REPT(" ",99)),397,99)),FIND(":",TRIM(MID(SUBSTITUTE($V162,";",REPT(" ",99)),397,99)))-1),Materiales!$A$2:$E$502,5,FALSE)*VALUE(MID(TRIM(MID(SUBSTITUTE($V162,";",REPT(" ",99)),397,99)),FIND(":",TRIM(MID(SUBSTITUTE($V162,";",REPT(" ",99)),397,99)))+1,99)),0) + IFERROR(VLOOKUP(LEFT(TRIM(MID(SUBSTITUTE($V162,";",REPT(" ",99)),496,99)),FIND(":",TRIM(MID(SUBSTITUTE($V162,";",REPT(" ",99)),496,99)))-1),Materiales!$A$2:$E$502,5,FALSE)*VALUE(MID(TRIM(MID(SUBSTITUTE($V162,";",REPT(" ",99)),496,99)),FIND(":",TRIM(MID(SUBSTITUTE($V162,";",REPT(" ",99)),496,99)))+1,99)),0) + IFERROR(VLOOKUP(LEFT(TRIM(MID(SUBSTITUTE($V162,";",REPT(" ",99)),595,99)),FIND(":",TRIM(MID(SUBSTITUTE($V162,";",REPT(" ",99)),595,99)))-1),Materiales!$A$2:$E$502,5,FALSE)*VALUE(MID(TRIM(MID(SUBSTITUTE($V162,";",REPT(" ",99)),595,99)),FIND(":",TRIM(MID(SUBSTITUTE($V162,";",REPT(" ",99)),595,99)))+1,99)),0) + IFERROR(VLOOKUP(LEFT(TRIM(MID(SUBSTITUTE($V162,";",REPT(" ",99)),694,99)),FIND(":",TRIM(MID(SUBSTITUTE($V162,";",REPT(" ",99)),694,99)))-1),Materiales!$A$2:$E$502,5,FALSE)*VALUE(MID(TRIM(MID(SUBSTITUTE($V162,";",REPT(" ",99)),694,99)),FIND(":",TRIM(MID(SUBSTITUTE($V162,";",REPT(" ",99)),694,99)))+1,99)),0) + IFERROR(VLOOKUP(LEFT(TRIM(MID(SUBSTITUTE($V162,";",REPT(" ",99)),793,99)),FIND(":",TRIM(MID(SUBSTITUTE($V162,";",REPT(" ",99)),793,99)))-1),Materiales!$A$2:$E$502,5,FALSE)*VALUE(MID(TRIM(MID(SUBSTITUTE($V162,";",REPT(" ",99)),793,99)),FIND(":",TRIM(MID(SUBSTITUTE($V162,";",REPT(" ",99)),793,99)))+1,99)),0) + IFERROR(VLOOKUP(LEFT(TRIM(MID(SUBSTITUTE($V162,";",REPT(" ",99)),892,99)),FIND(":",TRIM(MID(SUBSTITUTE($V162,";",REPT(" ",99)),892,99)))-1),Materiales!$A$2:$E$502,5,FALSE)*VALUE(MID(TRIM(MID(SUBSTITUTE($V162,";",REPT(" ",99)),892,99)),FIND(":",TRIM(MID(SUBSTITUTE($V162,";",REPT(" ",99)),892,99)))+1,99)),0)))</f>
        <v/>
      </c>
      <c r="X162" s="39" t="str">
        <f t="shared" si="13"/>
        <v/>
      </c>
      <c r="Y162" s="64"/>
      <c r="Z162" s="67"/>
      <c r="AA162" s="65"/>
      <c r="AB162" s="14"/>
      <c r="AC162" s="66"/>
      <c r="AD162" s="65"/>
      <c r="AE162" s="44"/>
      <c r="AF162" s="45" t="str">
        <f t="shared" si="20"/>
        <v>#DIV/0!</v>
      </c>
    </row>
    <row r="163" ht="15.75" customHeight="1">
      <c r="A163" s="3"/>
      <c r="B163" s="3"/>
      <c r="C163" s="38"/>
      <c r="D163" s="38"/>
      <c r="E163" s="38"/>
      <c r="F163" s="14"/>
      <c r="G163" s="5" t="str">
        <f t="array" ref="G163">IF($A163="","",IFERROR($F163*(N($C163)*XLOOKUP($B163,Ceras!$A$2:$A$500,Ceras!$G$2:$G$500,0)+IF($D163="",0,N($E163)*XLOOKUP($D163,Ceras!$A$2:$A$500,Ceras!$G$2:$G$500,0))),"Revisar cera"))</f>
        <v/>
      </c>
      <c r="H163" s="5"/>
      <c r="I163" s="3"/>
      <c r="J163" s="14"/>
      <c r="K163" s="5" t="str">
        <f t="array" ref="K163">IF($A163="","",IFERROR($J163*XLOOKUP($I163,Pabilos!$A$2:$A$500,Pabilos!$H$2:$H$500,0),"Revisar pabilo"))</f>
        <v/>
      </c>
      <c r="L163" s="3"/>
      <c r="M163" s="14"/>
      <c r="N163" s="5" t="str">
        <f t="array" ref="N163">IF($A163="","",IFERROR($M163*XLOOKUP($L163,Esencias!$A$2:$A$501,Esencias!$G$2:$G$501,0),"Revisar esencia"))</f>
        <v/>
      </c>
      <c r="O163" s="3"/>
      <c r="P163" s="14"/>
      <c r="Q163" s="5" t="str">
        <f t="array" ref="Q163">IF($A163="","",IFERROR(IF($P163="",1,$P163)*XLOOKUP($O163,Colores!$A$2:$A$500,Colores!$H$2:$H$500,0),"Revisar color"))</f>
        <v/>
      </c>
      <c r="R163" s="3"/>
      <c r="S163" s="5" t="str">
        <f t="array" ref="S163">IF($A163="","",IF($R163="",0,IFERROR(VLOOKUP(LEFT(TRIM(MID(SUBSTITUTE($R163,";",REPT(" ",99)),1,99)),FIND(":",TRIM(MID(SUBSTITUTE($R163,";",REPT(" ",99)),1,99)))-1),Materiales!$A$2:$E$502,5,FALSE)*VALUE(MID(TRIM(MID(SUBSTITUTE($R163,";",REPT(" ",99)),1,99)),FIND(":",TRIM(MID(SUBSTITUTE($R163,";",REPT(" ",99)),1,99)))+1,99)),0) + IFERROR(VLOOKUP(LEFT(TRIM(MID(SUBSTITUTE($R163,";",REPT(" ",99)),100,99)),FIND(":",TRIM(MID(SUBSTITUTE($R163,";",REPT(" ",99)),100,99)))-1),Materiales!$A$2:$E$502,5,FALSE)*VALUE(MID(TRIM(MID(SUBSTITUTE($R163,";",REPT(" ",99)),100,99)),FIND(":",TRIM(MID(SUBSTITUTE($R163,";",REPT(" ",99)),100,99)))+1,99)),0) + IFERROR(VLOOKUP(LEFT(TRIM(MID(SUBSTITUTE($R163,";",REPT(" ",99)),199,99)),FIND(":",TRIM(MID(SUBSTITUTE($R163,";",REPT(" ",99)),199,99)))-1),Materiales!$A$2:$E$502,5,FALSE)*VALUE(MID(TRIM(MID(SUBSTITUTE($R163,";",REPT(" ",99)),199,99)),FIND(":",TRIM(MID(SUBSTITUTE($R163,";",REPT(" ",99)),199,99)))+1,99)),0) + IFERROR(VLOOKUP(LEFT(TRIM(MID(SUBSTITUTE($R163,";",REPT(" ",99)),298,99)),FIND(":",TRIM(MID(SUBSTITUTE($R163,";",REPT(" ",99)),298,99)))-1),Materiales!$A$2:$E$502,5,FALSE)*VALUE(MID(TRIM(MID(SUBSTITUTE($R163,";",REPT(" ",99)),298,99)),FIND(":",TRIM(MID(SUBSTITUTE($R163,";",REPT(" ",99)),298,99)))+1,99)),0) + IFERROR(VLOOKUP(LEFT(TRIM(MID(SUBSTITUTE($R163,";",REPT(" ",99)),397,99)),FIND(":",TRIM(MID(SUBSTITUTE($R163,";",REPT(" ",99)),397,99)))-1),Materiales!$A$2:$E$502,5,FALSE)*VALUE(MID(TRIM(MID(SUBSTITUTE($R163,";",REPT(" ",99)),397,99)),FIND(":",TRIM(MID(SUBSTITUTE($R163,";",REPT(" ",99)),397,99)))+1,99)),0) + IFERROR(VLOOKUP(LEFT(TRIM(MID(SUBSTITUTE($R163,";",REPT(" ",99)),496,99)),FIND(":",TRIM(MID(SUBSTITUTE($R163,";",REPT(" ",99)),496,99)))-1),Materiales!$A$2:$E$502,5,FALSE)*VALUE(MID(TRIM(MID(SUBSTITUTE($R163,";",REPT(" ",99)),496,99)),FIND(":",TRIM(MID(SUBSTITUTE($R163,";",REPT(" ",99)),496,99)))+1,99)),0) + IFERROR(VLOOKUP(LEFT(TRIM(MID(SUBSTITUTE($R163,";",REPT(" ",99)),595,99)),FIND(":",TRIM(MID(SUBSTITUTE($R163,";",REPT(" ",99)),595,99)))-1),Materiales!$A$2:$E$502,5,FALSE)*VALUE(MID(TRIM(MID(SUBSTITUTE($R163,";",REPT(" ",99)),595,99)),FIND(":",TRIM(MID(SUBSTITUTE($R163,";",REPT(" ",99)),595,99)))+1,99)),0) + IFERROR(VLOOKUP(LEFT(TRIM(MID(SUBSTITUTE($R163,";",REPT(" ",99)),694,99)),FIND(":",TRIM(MID(SUBSTITUTE($R163,";",REPT(" ",99)),694,99)))-1),Materiales!$A$2:$E$502,5,FALSE)*VALUE(MID(TRIM(MID(SUBSTITUTE($R163,";",REPT(" ",99)),694,99)),FIND(":",TRIM(MID(SUBSTITUTE($R163,";",REPT(" ",99)),694,99)))+1,99)),0) + IFERROR(VLOOKUP(LEFT(TRIM(MID(SUBSTITUTE($R163,";",REPT(" ",99)),793,99)),FIND(":",TRIM(MID(SUBSTITUTE($R163,";",REPT(" ",99)),793,99)))-1),Materiales!$A$2:$E$502,5,FALSE)*VALUE(MID(TRIM(MID(SUBSTITUTE($R163,";",REPT(" ",99)),793,99)),FIND(":",TRIM(MID(SUBSTITUTE($R163,";",REPT(" ",99)),793,99)))+1,99)),0) + IFERROR(VLOOKUP(LEFT(TRIM(MID(SUBSTITUTE($R163,";",REPT(" ",99)),892,99)),FIND(":",TRIM(MID(SUBSTITUTE($R163,";",REPT(" ",99)),892,99)))-1),Materiales!$A$2:$E$502,5,FALSE)*VALUE(MID(TRIM(MID(SUBSTITUTE($R163,";",REPT(" ",99)),892,99)),FIND(":",TRIM(MID(SUBSTITUTE($R163,";",REPT(" ",99)),892,99)))+1,99)),0)))</f>
        <v/>
      </c>
      <c r="T163" s="3"/>
      <c r="U163" s="5" t="str">
        <f t="array" ref="U163">IF($A163="","",IF($T163="",0,IFERROR(VLOOKUP(LEFT(TRIM(MID(SUBSTITUTE($T163,";",REPT(" ",99)),1,99)),FIND(":",TRIM(MID(SUBSTITUTE($T163,";",REPT(" ",99)),1,99)))-1),Materiales!$A$2:$E$502,5,FALSE)*VALUE(MID(TRIM(MID(SUBSTITUTE($T163,";",REPT(" ",99)),1,99)),FIND(":",TRIM(MID(SUBSTITUTE($T163,";",REPT(" ",99)),1,99)))+1,99)),0) + IFERROR(VLOOKUP(LEFT(TRIM(MID(SUBSTITUTE($T163,";",REPT(" ",99)),100,99)),FIND(":",TRIM(MID(SUBSTITUTE($T163,";",REPT(" ",99)),100,99)))-1),Materiales!$A$2:$E$502,5,FALSE)*VALUE(MID(TRIM(MID(SUBSTITUTE($T163,";",REPT(" ",99)),100,99)),FIND(":",TRIM(MID(SUBSTITUTE($T163,";",REPT(" ",99)),100,99)))+1,99)),0) + IFERROR(VLOOKUP(LEFT(TRIM(MID(SUBSTITUTE($T163,";",REPT(" ",99)),199,99)),FIND(":",TRIM(MID(SUBSTITUTE($T163,";",REPT(" ",99)),199,99)))-1),Materiales!$A$2:$E$502,5,FALSE)*VALUE(MID(TRIM(MID(SUBSTITUTE($T163,";",REPT(" ",99)),199,99)),FIND(":",TRIM(MID(SUBSTITUTE($T163,";",REPT(" ",99)),199,99)))+1,99)),0) + IFERROR(VLOOKUP(LEFT(TRIM(MID(SUBSTITUTE($T163,";",REPT(" ",99)),298,99)),FIND(":",TRIM(MID(SUBSTITUTE($T163,";",REPT(" ",99)),298,99)))-1),Materiales!$A$2:$E$502,5,FALSE)*VALUE(MID(TRIM(MID(SUBSTITUTE($T163,";",REPT(" ",99)),298,99)),FIND(":",TRIM(MID(SUBSTITUTE($T163,";",REPT(" ",99)),298,99)))+1,99)),0) + IFERROR(VLOOKUP(LEFT(TRIM(MID(SUBSTITUTE($T163,";",REPT(" ",99)),397,99)),FIND(":",TRIM(MID(SUBSTITUTE($T163,";",REPT(" ",99)),397,99)))-1),Materiales!$A$2:$E$502,5,FALSE)*VALUE(MID(TRIM(MID(SUBSTITUTE($T163,";",REPT(" ",99)),397,99)),FIND(":",TRIM(MID(SUBSTITUTE($T163,";",REPT(" ",99)),397,99)))+1,99)),0) + IFERROR(VLOOKUP(LEFT(TRIM(MID(SUBSTITUTE($T163,";",REPT(" ",99)),496,99)),FIND(":",TRIM(MID(SUBSTITUTE($T163,";",REPT(" ",99)),496,99)))-1),Materiales!$A$2:$E$502,5,FALSE)*VALUE(MID(TRIM(MID(SUBSTITUTE($T163,";",REPT(" ",99)),496,99)),FIND(":",TRIM(MID(SUBSTITUTE($T163,";",REPT(" ",99)),496,99)))+1,99)),0) + IFERROR(VLOOKUP(LEFT(TRIM(MID(SUBSTITUTE($T163,";",REPT(" ",99)),595,99)),FIND(":",TRIM(MID(SUBSTITUTE($T163,";",REPT(" ",99)),595,99)))-1),Materiales!$A$2:$E$502,5,FALSE)*VALUE(MID(TRIM(MID(SUBSTITUTE($T163,";",REPT(" ",99)),595,99)),FIND(":",TRIM(MID(SUBSTITUTE($T163,";",REPT(" ",99)),595,99)))+1,99)),0) + IFERROR(VLOOKUP(LEFT(TRIM(MID(SUBSTITUTE($T163,";",REPT(" ",99)),694,99)),FIND(":",TRIM(MID(SUBSTITUTE($T163,";",REPT(" ",99)),694,99)))-1),Materiales!$A$2:$E$502,5,FALSE)*VALUE(MID(TRIM(MID(SUBSTITUTE($T163,";",REPT(" ",99)),694,99)),FIND(":",TRIM(MID(SUBSTITUTE($T163,";",REPT(" ",99)),694,99)))+1,99)),0) + IFERROR(VLOOKUP(LEFT(TRIM(MID(SUBSTITUTE($T163,";",REPT(" ",99)),793,99)),FIND(":",TRIM(MID(SUBSTITUTE($T163,";",REPT(" ",99)),793,99)))-1),Materiales!$A$2:$E$502,5,FALSE)*VALUE(MID(TRIM(MID(SUBSTITUTE($T163,";",REPT(" ",99)),793,99)),FIND(":",TRIM(MID(SUBSTITUTE($T163,";",REPT(" ",99)),793,99)))+1,99)),0) + IFERROR(VLOOKUP(LEFT(TRIM(MID(SUBSTITUTE($T163,";",REPT(" ",99)),892,99)),FIND(":",TRIM(MID(SUBSTITUTE($T163,";",REPT(" ",99)),892,99)))-1),Materiales!$A$2:$E$502,5,FALSE)*VALUE(MID(TRIM(MID(SUBSTITUTE($T163,";",REPT(" ",99)),892,99)),FIND(":",TRIM(MID(SUBSTITUTE($T163,";",REPT(" ",99)),892,99)))+1,99)),0)))</f>
        <v/>
      </c>
      <c r="V163" s="3"/>
      <c r="W163" s="5" t="str">
        <f t="array" ref="W163">IF($A163="","",IF($V163="",0,IFERROR(VLOOKUP(LEFT(TRIM(MID(SUBSTITUTE($V163,";",REPT(" ",99)),1,99)),FIND(":",TRIM(MID(SUBSTITUTE($V163,";",REPT(" ",99)),1,99)))-1),Materiales!$A$2:$E$502,5,FALSE)*VALUE(MID(TRIM(MID(SUBSTITUTE($V163,";",REPT(" ",99)),1,99)),FIND(":",TRIM(MID(SUBSTITUTE($V163,";",REPT(" ",99)),1,99)))+1,99)),0) + IFERROR(VLOOKUP(LEFT(TRIM(MID(SUBSTITUTE($V163,";",REPT(" ",99)),100,99)),FIND(":",TRIM(MID(SUBSTITUTE($V163,";",REPT(" ",99)),100,99)))-1),Materiales!$A$2:$E$502,5,FALSE)*VALUE(MID(TRIM(MID(SUBSTITUTE($V163,";",REPT(" ",99)),100,99)),FIND(":",TRIM(MID(SUBSTITUTE($V163,";",REPT(" ",99)),100,99)))+1,99)),0) + IFERROR(VLOOKUP(LEFT(TRIM(MID(SUBSTITUTE($V163,";",REPT(" ",99)),199,99)),FIND(":",TRIM(MID(SUBSTITUTE($V163,";",REPT(" ",99)),199,99)))-1),Materiales!$A$2:$E$502,5,FALSE)*VALUE(MID(TRIM(MID(SUBSTITUTE($V163,";",REPT(" ",99)),199,99)),FIND(":",TRIM(MID(SUBSTITUTE($V163,";",REPT(" ",99)),199,99)))+1,99)),0) + IFERROR(VLOOKUP(LEFT(TRIM(MID(SUBSTITUTE($V163,";",REPT(" ",99)),298,99)),FIND(":",TRIM(MID(SUBSTITUTE($V163,";",REPT(" ",99)),298,99)))-1),Materiales!$A$2:$E$502,5,FALSE)*VALUE(MID(TRIM(MID(SUBSTITUTE($V163,";",REPT(" ",99)),298,99)),FIND(":",TRIM(MID(SUBSTITUTE($V163,";",REPT(" ",99)),298,99)))+1,99)),0) + IFERROR(VLOOKUP(LEFT(TRIM(MID(SUBSTITUTE($V163,";",REPT(" ",99)),397,99)),FIND(":",TRIM(MID(SUBSTITUTE($V163,";",REPT(" ",99)),397,99)))-1),Materiales!$A$2:$E$502,5,FALSE)*VALUE(MID(TRIM(MID(SUBSTITUTE($V163,";",REPT(" ",99)),397,99)),FIND(":",TRIM(MID(SUBSTITUTE($V163,";",REPT(" ",99)),397,99)))+1,99)),0) + IFERROR(VLOOKUP(LEFT(TRIM(MID(SUBSTITUTE($V163,";",REPT(" ",99)),496,99)),FIND(":",TRIM(MID(SUBSTITUTE($V163,";",REPT(" ",99)),496,99)))-1),Materiales!$A$2:$E$502,5,FALSE)*VALUE(MID(TRIM(MID(SUBSTITUTE($V163,";",REPT(" ",99)),496,99)),FIND(":",TRIM(MID(SUBSTITUTE($V163,";",REPT(" ",99)),496,99)))+1,99)),0) + IFERROR(VLOOKUP(LEFT(TRIM(MID(SUBSTITUTE($V163,";",REPT(" ",99)),595,99)),FIND(":",TRIM(MID(SUBSTITUTE($V163,";",REPT(" ",99)),595,99)))-1),Materiales!$A$2:$E$502,5,FALSE)*VALUE(MID(TRIM(MID(SUBSTITUTE($V163,";",REPT(" ",99)),595,99)),FIND(":",TRIM(MID(SUBSTITUTE($V163,";",REPT(" ",99)),595,99)))+1,99)),0) + IFERROR(VLOOKUP(LEFT(TRIM(MID(SUBSTITUTE($V163,";",REPT(" ",99)),694,99)),FIND(":",TRIM(MID(SUBSTITUTE($V163,";",REPT(" ",99)),694,99)))-1),Materiales!$A$2:$E$502,5,FALSE)*VALUE(MID(TRIM(MID(SUBSTITUTE($V163,";",REPT(" ",99)),694,99)),FIND(":",TRIM(MID(SUBSTITUTE($V163,";",REPT(" ",99)),694,99)))+1,99)),0) + IFERROR(VLOOKUP(LEFT(TRIM(MID(SUBSTITUTE($V163,";",REPT(" ",99)),793,99)),FIND(":",TRIM(MID(SUBSTITUTE($V163,";",REPT(" ",99)),793,99)))-1),Materiales!$A$2:$E$502,5,FALSE)*VALUE(MID(TRIM(MID(SUBSTITUTE($V163,";",REPT(" ",99)),793,99)),FIND(":",TRIM(MID(SUBSTITUTE($V163,";",REPT(" ",99)),793,99)))+1,99)),0) + IFERROR(VLOOKUP(LEFT(TRIM(MID(SUBSTITUTE($V163,";",REPT(" ",99)),892,99)),FIND(":",TRIM(MID(SUBSTITUTE($V163,";",REPT(" ",99)),892,99)))-1),Materiales!$A$2:$E$502,5,FALSE)*VALUE(MID(TRIM(MID(SUBSTITUTE($V163,";",REPT(" ",99)),892,99)),FIND(":",TRIM(MID(SUBSTITUTE($V163,";",REPT(" ",99)),892,99)))+1,99)),0)))</f>
        <v/>
      </c>
      <c r="X163" s="39" t="str">
        <f t="shared" si="13"/>
        <v/>
      </c>
      <c r="Y163" s="64"/>
      <c r="Z163" s="67"/>
      <c r="AA163" s="65"/>
      <c r="AB163" s="14"/>
      <c r="AC163" s="66"/>
      <c r="AD163" s="65"/>
      <c r="AE163" s="44"/>
      <c r="AF163" s="45" t="str">
        <f t="shared" si="20"/>
        <v>#DIV/0!</v>
      </c>
    </row>
    <row r="164" ht="15.75" customHeight="1">
      <c r="A164" s="3"/>
      <c r="B164" s="3"/>
      <c r="C164" s="38"/>
      <c r="D164" s="38"/>
      <c r="E164" s="38"/>
      <c r="F164" s="14"/>
      <c r="G164" s="5" t="str">
        <f t="array" ref="G164">IF($A164="","",IFERROR($F164*(N($C164)*XLOOKUP($B164,Ceras!$A$2:$A$500,Ceras!$G$2:$G$500,0)+IF($D164="",0,N($E164)*XLOOKUP($D164,Ceras!$A$2:$A$500,Ceras!$G$2:$G$500,0))),"Revisar cera"))</f>
        <v/>
      </c>
      <c r="H164" s="5"/>
      <c r="I164" s="3"/>
      <c r="J164" s="14"/>
      <c r="K164" s="5" t="str">
        <f t="array" ref="K164">IF($A164="","",IFERROR($J164*XLOOKUP($I164,Pabilos!$A$2:$A$500,Pabilos!$H$2:$H$500,0),"Revisar pabilo"))</f>
        <v/>
      </c>
      <c r="L164" s="3"/>
      <c r="M164" s="14"/>
      <c r="N164" s="5" t="str">
        <f t="array" ref="N164">IF($A164="","",IFERROR($M164*XLOOKUP($L164,Esencias!$A$2:$A$501,Esencias!$G$2:$G$501,0),"Revisar esencia"))</f>
        <v/>
      </c>
      <c r="O164" s="3"/>
      <c r="P164" s="14"/>
      <c r="Q164" s="5" t="str">
        <f t="array" ref="Q164">IF($A164="","",IFERROR(IF($P164="",1,$P164)*XLOOKUP($O164,Colores!$A$2:$A$500,Colores!$H$2:$H$500,0),"Revisar color"))</f>
        <v/>
      </c>
      <c r="R164" s="3"/>
      <c r="S164" s="5" t="str">
        <f t="array" ref="S164">IF($A164="","",IF($R164="",0,IFERROR(VLOOKUP(LEFT(TRIM(MID(SUBSTITUTE($R164,";",REPT(" ",99)),1,99)),FIND(":",TRIM(MID(SUBSTITUTE($R164,";",REPT(" ",99)),1,99)))-1),Materiales!$A$2:$E$502,5,FALSE)*VALUE(MID(TRIM(MID(SUBSTITUTE($R164,";",REPT(" ",99)),1,99)),FIND(":",TRIM(MID(SUBSTITUTE($R164,";",REPT(" ",99)),1,99)))+1,99)),0) + IFERROR(VLOOKUP(LEFT(TRIM(MID(SUBSTITUTE($R164,";",REPT(" ",99)),100,99)),FIND(":",TRIM(MID(SUBSTITUTE($R164,";",REPT(" ",99)),100,99)))-1),Materiales!$A$2:$E$502,5,FALSE)*VALUE(MID(TRIM(MID(SUBSTITUTE($R164,";",REPT(" ",99)),100,99)),FIND(":",TRIM(MID(SUBSTITUTE($R164,";",REPT(" ",99)),100,99)))+1,99)),0) + IFERROR(VLOOKUP(LEFT(TRIM(MID(SUBSTITUTE($R164,";",REPT(" ",99)),199,99)),FIND(":",TRIM(MID(SUBSTITUTE($R164,";",REPT(" ",99)),199,99)))-1),Materiales!$A$2:$E$502,5,FALSE)*VALUE(MID(TRIM(MID(SUBSTITUTE($R164,";",REPT(" ",99)),199,99)),FIND(":",TRIM(MID(SUBSTITUTE($R164,";",REPT(" ",99)),199,99)))+1,99)),0) + IFERROR(VLOOKUP(LEFT(TRIM(MID(SUBSTITUTE($R164,";",REPT(" ",99)),298,99)),FIND(":",TRIM(MID(SUBSTITUTE($R164,";",REPT(" ",99)),298,99)))-1),Materiales!$A$2:$E$502,5,FALSE)*VALUE(MID(TRIM(MID(SUBSTITUTE($R164,";",REPT(" ",99)),298,99)),FIND(":",TRIM(MID(SUBSTITUTE($R164,";",REPT(" ",99)),298,99)))+1,99)),0) + IFERROR(VLOOKUP(LEFT(TRIM(MID(SUBSTITUTE($R164,";",REPT(" ",99)),397,99)),FIND(":",TRIM(MID(SUBSTITUTE($R164,";",REPT(" ",99)),397,99)))-1),Materiales!$A$2:$E$502,5,FALSE)*VALUE(MID(TRIM(MID(SUBSTITUTE($R164,";",REPT(" ",99)),397,99)),FIND(":",TRIM(MID(SUBSTITUTE($R164,";",REPT(" ",99)),397,99)))+1,99)),0) + IFERROR(VLOOKUP(LEFT(TRIM(MID(SUBSTITUTE($R164,";",REPT(" ",99)),496,99)),FIND(":",TRIM(MID(SUBSTITUTE($R164,";",REPT(" ",99)),496,99)))-1),Materiales!$A$2:$E$502,5,FALSE)*VALUE(MID(TRIM(MID(SUBSTITUTE($R164,";",REPT(" ",99)),496,99)),FIND(":",TRIM(MID(SUBSTITUTE($R164,";",REPT(" ",99)),496,99)))+1,99)),0) + IFERROR(VLOOKUP(LEFT(TRIM(MID(SUBSTITUTE($R164,";",REPT(" ",99)),595,99)),FIND(":",TRIM(MID(SUBSTITUTE($R164,";",REPT(" ",99)),595,99)))-1),Materiales!$A$2:$E$502,5,FALSE)*VALUE(MID(TRIM(MID(SUBSTITUTE($R164,";",REPT(" ",99)),595,99)),FIND(":",TRIM(MID(SUBSTITUTE($R164,";",REPT(" ",99)),595,99)))+1,99)),0) + IFERROR(VLOOKUP(LEFT(TRIM(MID(SUBSTITUTE($R164,";",REPT(" ",99)),694,99)),FIND(":",TRIM(MID(SUBSTITUTE($R164,";",REPT(" ",99)),694,99)))-1),Materiales!$A$2:$E$502,5,FALSE)*VALUE(MID(TRIM(MID(SUBSTITUTE($R164,";",REPT(" ",99)),694,99)),FIND(":",TRIM(MID(SUBSTITUTE($R164,";",REPT(" ",99)),694,99)))+1,99)),0) + IFERROR(VLOOKUP(LEFT(TRIM(MID(SUBSTITUTE($R164,";",REPT(" ",99)),793,99)),FIND(":",TRIM(MID(SUBSTITUTE($R164,";",REPT(" ",99)),793,99)))-1),Materiales!$A$2:$E$502,5,FALSE)*VALUE(MID(TRIM(MID(SUBSTITUTE($R164,";",REPT(" ",99)),793,99)),FIND(":",TRIM(MID(SUBSTITUTE($R164,";",REPT(" ",99)),793,99)))+1,99)),0) + IFERROR(VLOOKUP(LEFT(TRIM(MID(SUBSTITUTE($R164,";",REPT(" ",99)),892,99)),FIND(":",TRIM(MID(SUBSTITUTE($R164,";",REPT(" ",99)),892,99)))-1),Materiales!$A$2:$E$502,5,FALSE)*VALUE(MID(TRIM(MID(SUBSTITUTE($R164,";",REPT(" ",99)),892,99)),FIND(":",TRIM(MID(SUBSTITUTE($R164,";",REPT(" ",99)),892,99)))+1,99)),0)))</f>
        <v/>
      </c>
      <c r="T164" s="3"/>
      <c r="U164" s="5" t="str">
        <f t="array" ref="U164">IF($A164="","",IF($T164="",0,IFERROR(VLOOKUP(LEFT(TRIM(MID(SUBSTITUTE($T164,";",REPT(" ",99)),1,99)),FIND(":",TRIM(MID(SUBSTITUTE($T164,";",REPT(" ",99)),1,99)))-1),Materiales!$A$2:$E$502,5,FALSE)*VALUE(MID(TRIM(MID(SUBSTITUTE($T164,";",REPT(" ",99)),1,99)),FIND(":",TRIM(MID(SUBSTITUTE($T164,";",REPT(" ",99)),1,99)))+1,99)),0) + IFERROR(VLOOKUP(LEFT(TRIM(MID(SUBSTITUTE($T164,";",REPT(" ",99)),100,99)),FIND(":",TRIM(MID(SUBSTITUTE($T164,";",REPT(" ",99)),100,99)))-1),Materiales!$A$2:$E$502,5,FALSE)*VALUE(MID(TRIM(MID(SUBSTITUTE($T164,";",REPT(" ",99)),100,99)),FIND(":",TRIM(MID(SUBSTITUTE($T164,";",REPT(" ",99)),100,99)))+1,99)),0) + IFERROR(VLOOKUP(LEFT(TRIM(MID(SUBSTITUTE($T164,";",REPT(" ",99)),199,99)),FIND(":",TRIM(MID(SUBSTITUTE($T164,";",REPT(" ",99)),199,99)))-1),Materiales!$A$2:$E$502,5,FALSE)*VALUE(MID(TRIM(MID(SUBSTITUTE($T164,";",REPT(" ",99)),199,99)),FIND(":",TRIM(MID(SUBSTITUTE($T164,";",REPT(" ",99)),199,99)))+1,99)),0) + IFERROR(VLOOKUP(LEFT(TRIM(MID(SUBSTITUTE($T164,";",REPT(" ",99)),298,99)),FIND(":",TRIM(MID(SUBSTITUTE($T164,";",REPT(" ",99)),298,99)))-1),Materiales!$A$2:$E$502,5,FALSE)*VALUE(MID(TRIM(MID(SUBSTITUTE($T164,";",REPT(" ",99)),298,99)),FIND(":",TRIM(MID(SUBSTITUTE($T164,";",REPT(" ",99)),298,99)))+1,99)),0) + IFERROR(VLOOKUP(LEFT(TRIM(MID(SUBSTITUTE($T164,";",REPT(" ",99)),397,99)),FIND(":",TRIM(MID(SUBSTITUTE($T164,";",REPT(" ",99)),397,99)))-1),Materiales!$A$2:$E$502,5,FALSE)*VALUE(MID(TRIM(MID(SUBSTITUTE($T164,";",REPT(" ",99)),397,99)),FIND(":",TRIM(MID(SUBSTITUTE($T164,";",REPT(" ",99)),397,99)))+1,99)),0) + IFERROR(VLOOKUP(LEFT(TRIM(MID(SUBSTITUTE($T164,";",REPT(" ",99)),496,99)),FIND(":",TRIM(MID(SUBSTITUTE($T164,";",REPT(" ",99)),496,99)))-1),Materiales!$A$2:$E$502,5,FALSE)*VALUE(MID(TRIM(MID(SUBSTITUTE($T164,";",REPT(" ",99)),496,99)),FIND(":",TRIM(MID(SUBSTITUTE($T164,";",REPT(" ",99)),496,99)))+1,99)),0) + IFERROR(VLOOKUP(LEFT(TRIM(MID(SUBSTITUTE($T164,";",REPT(" ",99)),595,99)),FIND(":",TRIM(MID(SUBSTITUTE($T164,";",REPT(" ",99)),595,99)))-1),Materiales!$A$2:$E$502,5,FALSE)*VALUE(MID(TRIM(MID(SUBSTITUTE($T164,";",REPT(" ",99)),595,99)),FIND(":",TRIM(MID(SUBSTITUTE($T164,";",REPT(" ",99)),595,99)))+1,99)),0) + IFERROR(VLOOKUP(LEFT(TRIM(MID(SUBSTITUTE($T164,";",REPT(" ",99)),694,99)),FIND(":",TRIM(MID(SUBSTITUTE($T164,";",REPT(" ",99)),694,99)))-1),Materiales!$A$2:$E$502,5,FALSE)*VALUE(MID(TRIM(MID(SUBSTITUTE($T164,";",REPT(" ",99)),694,99)),FIND(":",TRIM(MID(SUBSTITUTE($T164,";",REPT(" ",99)),694,99)))+1,99)),0) + IFERROR(VLOOKUP(LEFT(TRIM(MID(SUBSTITUTE($T164,";",REPT(" ",99)),793,99)),FIND(":",TRIM(MID(SUBSTITUTE($T164,";",REPT(" ",99)),793,99)))-1),Materiales!$A$2:$E$502,5,FALSE)*VALUE(MID(TRIM(MID(SUBSTITUTE($T164,";",REPT(" ",99)),793,99)),FIND(":",TRIM(MID(SUBSTITUTE($T164,";",REPT(" ",99)),793,99)))+1,99)),0) + IFERROR(VLOOKUP(LEFT(TRIM(MID(SUBSTITUTE($T164,";",REPT(" ",99)),892,99)),FIND(":",TRIM(MID(SUBSTITUTE($T164,";",REPT(" ",99)),892,99)))-1),Materiales!$A$2:$E$502,5,FALSE)*VALUE(MID(TRIM(MID(SUBSTITUTE($T164,";",REPT(" ",99)),892,99)),FIND(":",TRIM(MID(SUBSTITUTE($T164,";",REPT(" ",99)),892,99)))+1,99)),0)))</f>
        <v/>
      </c>
      <c r="V164" s="3"/>
      <c r="W164" s="5" t="str">
        <f t="array" ref="W164">IF($A164="","",IF($V164="",0,IFERROR(VLOOKUP(LEFT(TRIM(MID(SUBSTITUTE($V164,";",REPT(" ",99)),1,99)),FIND(":",TRIM(MID(SUBSTITUTE($V164,";",REPT(" ",99)),1,99)))-1),Materiales!$A$2:$E$502,5,FALSE)*VALUE(MID(TRIM(MID(SUBSTITUTE($V164,";",REPT(" ",99)),1,99)),FIND(":",TRIM(MID(SUBSTITUTE($V164,";",REPT(" ",99)),1,99)))+1,99)),0) + IFERROR(VLOOKUP(LEFT(TRIM(MID(SUBSTITUTE($V164,";",REPT(" ",99)),100,99)),FIND(":",TRIM(MID(SUBSTITUTE($V164,";",REPT(" ",99)),100,99)))-1),Materiales!$A$2:$E$502,5,FALSE)*VALUE(MID(TRIM(MID(SUBSTITUTE($V164,";",REPT(" ",99)),100,99)),FIND(":",TRIM(MID(SUBSTITUTE($V164,";",REPT(" ",99)),100,99)))+1,99)),0) + IFERROR(VLOOKUP(LEFT(TRIM(MID(SUBSTITUTE($V164,";",REPT(" ",99)),199,99)),FIND(":",TRIM(MID(SUBSTITUTE($V164,";",REPT(" ",99)),199,99)))-1),Materiales!$A$2:$E$502,5,FALSE)*VALUE(MID(TRIM(MID(SUBSTITUTE($V164,";",REPT(" ",99)),199,99)),FIND(":",TRIM(MID(SUBSTITUTE($V164,";",REPT(" ",99)),199,99)))+1,99)),0) + IFERROR(VLOOKUP(LEFT(TRIM(MID(SUBSTITUTE($V164,";",REPT(" ",99)),298,99)),FIND(":",TRIM(MID(SUBSTITUTE($V164,";",REPT(" ",99)),298,99)))-1),Materiales!$A$2:$E$502,5,FALSE)*VALUE(MID(TRIM(MID(SUBSTITUTE($V164,";",REPT(" ",99)),298,99)),FIND(":",TRIM(MID(SUBSTITUTE($V164,";",REPT(" ",99)),298,99)))+1,99)),0) + IFERROR(VLOOKUP(LEFT(TRIM(MID(SUBSTITUTE($V164,";",REPT(" ",99)),397,99)),FIND(":",TRIM(MID(SUBSTITUTE($V164,";",REPT(" ",99)),397,99)))-1),Materiales!$A$2:$E$502,5,FALSE)*VALUE(MID(TRIM(MID(SUBSTITUTE($V164,";",REPT(" ",99)),397,99)),FIND(":",TRIM(MID(SUBSTITUTE($V164,";",REPT(" ",99)),397,99)))+1,99)),0) + IFERROR(VLOOKUP(LEFT(TRIM(MID(SUBSTITUTE($V164,";",REPT(" ",99)),496,99)),FIND(":",TRIM(MID(SUBSTITUTE($V164,";",REPT(" ",99)),496,99)))-1),Materiales!$A$2:$E$502,5,FALSE)*VALUE(MID(TRIM(MID(SUBSTITUTE($V164,";",REPT(" ",99)),496,99)),FIND(":",TRIM(MID(SUBSTITUTE($V164,";",REPT(" ",99)),496,99)))+1,99)),0) + IFERROR(VLOOKUP(LEFT(TRIM(MID(SUBSTITUTE($V164,";",REPT(" ",99)),595,99)),FIND(":",TRIM(MID(SUBSTITUTE($V164,";",REPT(" ",99)),595,99)))-1),Materiales!$A$2:$E$502,5,FALSE)*VALUE(MID(TRIM(MID(SUBSTITUTE($V164,";",REPT(" ",99)),595,99)),FIND(":",TRIM(MID(SUBSTITUTE($V164,";",REPT(" ",99)),595,99)))+1,99)),0) + IFERROR(VLOOKUP(LEFT(TRIM(MID(SUBSTITUTE($V164,";",REPT(" ",99)),694,99)),FIND(":",TRIM(MID(SUBSTITUTE($V164,";",REPT(" ",99)),694,99)))-1),Materiales!$A$2:$E$502,5,FALSE)*VALUE(MID(TRIM(MID(SUBSTITUTE($V164,";",REPT(" ",99)),694,99)),FIND(":",TRIM(MID(SUBSTITUTE($V164,";",REPT(" ",99)),694,99)))+1,99)),0) + IFERROR(VLOOKUP(LEFT(TRIM(MID(SUBSTITUTE($V164,";",REPT(" ",99)),793,99)),FIND(":",TRIM(MID(SUBSTITUTE($V164,";",REPT(" ",99)),793,99)))-1),Materiales!$A$2:$E$502,5,FALSE)*VALUE(MID(TRIM(MID(SUBSTITUTE($V164,";",REPT(" ",99)),793,99)),FIND(":",TRIM(MID(SUBSTITUTE($V164,";",REPT(" ",99)),793,99)))+1,99)),0) + IFERROR(VLOOKUP(LEFT(TRIM(MID(SUBSTITUTE($V164,";",REPT(" ",99)),892,99)),FIND(":",TRIM(MID(SUBSTITUTE($V164,";",REPT(" ",99)),892,99)))-1),Materiales!$A$2:$E$502,5,FALSE)*VALUE(MID(TRIM(MID(SUBSTITUTE($V164,";",REPT(" ",99)),892,99)),FIND(":",TRIM(MID(SUBSTITUTE($V164,";",REPT(" ",99)),892,99)))+1,99)),0)))</f>
        <v/>
      </c>
      <c r="X164" s="39" t="str">
        <f t="shared" si="13"/>
        <v/>
      </c>
      <c r="Y164" s="64"/>
      <c r="Z164" s="67"/>
      <c r="AA164" s="65"/>
      <c r="AB164" s="14"/>
      <c r="AC164" s="66"/>
      <c r="AD164" s="65"/>
      <c r="AE164" s="44"/>
      <c r="AF164" s="45" t="str">
        <f t="shared" si="20"/>
        <v>#DIV/0!</v>
      </c>
    </row>
    <row r="165" ht="15.75" customHeight="1">
      <c r="A165" s="3"/>
      <c r="B165" s="3"/>
      <c r="C165" s="38"/>
      <c r="D165" s="38"/>
      <c r="E165" s="38"/>
      <c r="F165" s="14"/>
      <c r="G165" s="5" t="str">
        <f t="array" ref="G165">IF($A165="","",IFERROR($F165*(N($C165)*XLOOKUP($B165,Ceras!$A$2:$A$500,Ceras!$G$2:$G$500,0)+IF($D165="",0,N($E165)*XLOOKUP($D165,Ceras!$A$2:$A$500,Ceras!$G$2:$G$500,0))),"Revisar cera"))</f>
        <v/>
      </c>
      <c r="H165" s="5"/>
      <c r="I165" s="3"/>
      <c r="J165" s="14"/>
      <c r="K165" s="5" t="str">
        <f t="array" ref="K165">IF($A165="","",IFERROR($J165*XLOOKUP($I165,Pabilos!$A$2:$A$500,Pabilos!$H$2:$H$500,0),"Revisar pabilo"))</f>
        <v/>
      </c>
      <c r="L165" s="3"/>
      <c r="M165" s="14"/>
      <c r="N165" s="5" t="str">
        <f t="array" ref="N165">IF($A165="","",IFERROR($M165*XLOOKUP($L165,Esencias!$A$2:$A$501,Esencias!$G$2:$G$501,0),"Revisar esencia"))</f>
        <v/>
      </c>
      <c r="O165" s="3"/>
      <c r="P165" s="14"/>
      <c r="Q165" s="5" t="str">
        <f t="array" ref="Q165">IF($A165="","",IFERROR(IF($P165="",1,$P165)*XLOOKUP($O165,Colores!$A$2:$A$500,Colores!$H$2:$H$500,0),"Revisar color"))</f>
        <v/>
      </c>
      <c r="R165" s="3"/>
      <c r="S165" s="5" t="str">
        <f t="array" ref="S165">IF($A165="","",IF($R165="",0,IFERROR(VLOOKUP(LEFT(TRIM(MID(SUBSTITUTE($R165,";",REPT(" ",99)),1,99)),FIND(":",TRIM(MID(SUBSTITUTE($R165,";",REPT(" ",99)),1,99)))-1),Materiales!$A$2:$E$502,5,FALSE)*VALUE(MID(TRIM(MID(SUBSTITUTE($R165,";",REPT(" ",99)),1,99)),FIND(":",TRIM(MID(SUBSTITUTE($R165,";",REPT(" ",99)),1,99)))+1,99)),0) + IFERROR(VLOOKUP(LEFT(TRIM(MID(SUBSTITUTE($R165,";",REPT(" ",99)),100,99)),FIND(":",TRIM(MID(SUBSTITUTE($R165,";",REPT(" ",99)),100,99)))-1),Materiales!$A$2:$E$502,5,FALSE)*VALUE(MID(TRIM(MID(SUBSTITUTE($R165,";",REPT(" ",99)),100,99)),FIND(":",TRIM(MID(SUBSTITUTE($R165,";",REPT(" ",99)),100,99)))+1,99)),0) + IFERROR(VLOOKUP(LEFT(TRIM(MID(SUBSTITUTE($R165,";",REPT(" ",99)),199,99)),FIND(":",TRIM(MID(SUBSTITUTE($R165,";",REPT(" ",99)),199,99)))-1),Materiales!$A$2:$E$502,5,FALSE)*VALUE(MID(TRIM(MID(SUBSTITUTE($R165,";",REPT(" ",99)),199,99)),FIND(":",TRIM(MID(SUBSTITUTE($R165,";",REPT(" ",99)),199,99)))+1,99)),0) + IFERROR(VLOOKUP(LEFT(TRIM(MID(SUBSTITUTE($R165,";",REPT(" ",99)),298,99)),FIND(":",TRIM(MID(SUBSTITUTE($R165,";",REPT(" ",99)),298,99)))-1),Materiales!$A$2:$E$502,5,FALSE)*VALUE(MID(TRIM(MID(SUBSTITUTE($R165,";",REPT(" ",99)),298,99)),FIND(":",TRIM(MID(SUBSTITUTE($R165,";",REPT(" ",99)),298,99)))+1,99)),0) + IFERROR(VLOOKUP(LEFT(TRIM(MID(SUBSTITUTE($R165,";",REPT(" ",99)),397,99)),FIND(":",TRIM(MID(SUBSTITUTE($R165,";",REPT(" ",99)),397,99)))-1),Materiales!$A$2:$E$502,5,FALSE)*VALUE(MID(TRIM(MID(SUBSTITUTE($R165,";",REPT(" ",99)),397,99)),FIND(":",TRIM(MID(SUBSTITUTE($R165,";",REPT(" ",99)),397,99)))+1,99)),0) + IFERROR(VLOOKUP(LEFT(TRIM(MID(SUBSTITUTE($R165,";",REPT(" ",99)),496,99)),FIND(":",TRIM(MID(SUBSTITUTE($R165,";",REPT(" ",99)),496,99)))-1),Materiales!$A$2:$E$502,5,FALSE)*VALUE(MID(TRIM(MID(SUBSTITUTE($R165,";",REPT(" ",99)),496,99)),FIND(":",TRIM(MID(SUBSTITUTE($R165,";",REPT(" ",99)),496,99)))+1,99)),0) + IFERROR(VLOOKUP(LEFT(TRIM(MID(SUBSTITUTE($R165,";",REPT(" ",99)),595,99)),FIND(":",TRIM(MID(SUBSTITUTE($R165,";",REPT(" ",99)),595,99)))-1),Materiales!$A$2:$E$502,5,FALSE)*VALUE(MID(TRIM(MID(SUBSTITUTE($R165,";",REPT(" ",99)),595,99)),FIND(":",TRIM(MID(SUBSTITUTE($R165,";",REPT(" ",99)),595,99)))+1,99)),0) + IFERROR(VLOOKUP(LEFT(TRIM(MID(SUBSTITUTE($R165,";",REPT(" ",99)),694,99)),FIND(":",TRIM(MID(SUBSTITUTE($R165,";",REPT(" ",99)),694,99)))-1),Materiales!$A$2:$E$502,5,FALSE)*VALUE(MID(TRIM(MID(SUBSTITUTE($R165,";",REPT(" ",99)),694,99)),FIND(":",TRIM(MID(SUBSTITUTE($R165,";",REPT(" ",99)),694,99)))+1,99)),0) + IFERROR(VLOOKUP(LEFT(TRIM(MID(SUBSTITUTE($R165,";",REPT(" ",99)),793,99)),FIND(":",TRIM(MID(SUBSTITUTE($R165,";",REPT(" ",99)),793,99)))-1),Materiales!$A$2:$E$502,5,FALSE)*VALUE(MID(TRIM(MID(SUBSTITUTE($R165,";",REPT(" ",99)),793,99)),FIND(":",TRIM(MID(SUBSTITUTE($R165,";",REPT(" ",99)),793,99)))+1,99)),0) + IFERROR(VLOOKUP(LEFT(TRIM(MID(SUBSTITUTE($R165,";",REPT(" ",99)),892,99)),FIND(":",TRIM(MID(SUBSTITUTE($R165,";",REPT(" ",99)),892,99)))-1),Materiales!$A$2:$E$502,5,FALSE)*VALUE(MID(TRIM(MID(SUBSTITUTE($R165,";",REPT(" ",99)),892,99)),FIND(":",TRIM(MID(SUBSTITUTE($R165,";",REPT(" ",99)),892,99)))+1,99)),0)))</f>
        <v/>
      </c>
      <c r="T165" s="3"/>
      <c r="U165" s="5" t="str">
        <f t="array" ref="U165">IF($A165="","",IF($T165="",0,IFERROR(VLOOKUP(LEFT(TRIM(MID(SUBSTITUTE($T165,";",REPT(" ",99)),1,99)),FIND(":",TRIM(MID(SUBSTITUTE($T165,";",REPT(" ",99)),1,99)))-1),Materiales!$A$2:$E$502,5,FALSE)*VALUE(MID(TRIM(MID(SUBSTITUTE($T165,";",REPT(" ",99)),1,99)),FIND(":",TRIM(MID(SUBSTITUTE($T165,";",REPT(" ",99)),1,99)))+1,99)),0) + IFERROR(VLOOKUP(LEFT(TRIM(MID(SUBSTITUTE($T165,";",REPT(" ",99)),100,99)),FIND(":",TRIM(MID(SUBSTITUTE($T165,";",REPT(" ",99)),100,99)))-1),Materiales!$A$2:$E$502,5,FALSE)*VALUE(MID(TRIM(MID(SUBSTITUTE($T165,";",REPT(" ",99)),100,99)),FIND(":",TRIM(MID(SUBSTITUTE($T165,";",REPT(" ",99)),100,99)))+1,99)),0) + IFERROR(VLOOKUP(LEFT(TRIM(MID(SUBSTITUTE($T165,";",REPT(" ",99)),199,99)),FIND(":",TRIM(MID(SUBSTITUTE($T165,";",REPT(" ",99)),199,99)))-1),Materiales!$A$2:$E$502,5,FALSE)*VALUE(MID(TRIM(MID(SUBSTITUTE($T165,";",REPT(" ",99)),199,99)),FIND(":",TRIM(MID(SUBSTITUTE($T165,";",REPT(" ",99)),199,99)))+1,99)),0) + IFERROR(VLOOKUP(LEFT(TRIM(MID(SUBSTITUTE($T165,";",REPT(" ",99)),298,99)),FIND(":",TRIM(MID(SUBSTITUTE($T165,";",REPT(" ",99)),298,99)))-1),Materiales!$A$2:$E$502,5,FALSE)*VALUE(MID(TRIM(MID(SUBSTITUTE($T165,";",REPT(" ",99)),298,99)),FIND(":",TRIM(MID(SUBSTITUTE($T165,";",REPT(" ",99)),298,99)))+1,99)),0) + IFERROR(VLOOKUP(LEFT(TRIM(MID(SUBSTITUTE($T165,";",REPT(" ",99)),397,99)),FIND(":",TRIM(MID(SUBSTITUTE($T165,";",REPT(" ",99)),397,99)))-1),Materiales!$A$2:$E$502,5,FALSE)*VALUE(MID(TRIM(MID(SUBSTITUTE($T165,";",REPT(" ",99)),397,99)),FIND(":",TRIM(MID(SUBSTITUTE($T165,";",REPT(" ",99)),397,99)))+1,99)),0) + IFERROR(VLOOKUP(LEFT(TRIM(MID(SUBSTITUTE($T165,";",REPT(" ",99)),496,99)),FIND(":",TRIM(MID(SUBSTITUTE($T165,";",REPT(" ",99)),496,99)))-1),Materiales!$A$2:$E$502,5,FALSE)*VALUE(MID(TRIM(MID(SUBSTITUTE($T165,";",REPT(" ",99)),496,99)),FIND(":",TRIM(MID(SUBSTITUTE($T165,";",REPT(" ",99)),496,99)))+1,99)),0) + IFERROR(VLOOKUP(LEFT(TRIM(MID(SUBSTITUTE($T165,";",REPT(" ",99)),595,99)),FIND(":",TRIM(MID(SUBSTITUTE($T165,";",REPT(" ",99)),595,99)))-1),Materiales!$A$2:$E$502,5,FALSE)*VALUE(MID(TRIM(MID(SUBSTITUTE($T165,";",REPT(" ",99)),595,99)),FIND(":",TRIM(MID(SUBSTITUTE($T165,";",REPT(" ",99)),595,99)))+1,99)),0) + IFERROR(VLOOKUP(LEFT(TRIM(MID(SUBSTITUTE($T165,";",REPT(" ",99)),694,99)),FIND(":",TRIM(MID(SUBSTITUTE($T165,";",REPT(" ",99)),694,99)))-1),Materiales!$A$2:$E$502,5,FALSE)*VALUE(MID(TRIM(MID(SUBSTITUTE($T165,";",REPT(" ",99)),694,99)),FIND(":",TRIM(MID(SUBSTITUTE($T165,";",REPT(" ",99)),694,99)))+1,99)),0) + IFERROR(VLOOKUP(LEFT(TRIM(MID(SUBSTITUTE($T165,";",REPT(" ",99)),793,99)),FIND(":",TRIM(MID(SUBSTITUTE($T165,";",REPT(" ",99)),793,99)))-1),Materiales!$A$2:$E$502,5,FALSE)*VALUE(MID(TRIM(MID(SUBSTITUTE($T165,";",REPT(" ",99)),793,99)),FIND(":",TRIM(MID(SUBSTITUTE($T165,";",REPT(" ",99)),793,99)))+1,99)),0) + IFERROR(VLOOKUP(LEFT(TRIM(MID(SUBSTITUTE($T165,";",REPT(" ",99)),892,99)),FIND(":",TRIM(MID(SUBSTITUTE($T165,";",REPT(" ",99)),892,99)))-1),Materiales!$A$2:$E$502,5,FALSE)*VALUE(MID(TRIM(MID(SUBSTITUTE($T165,";",REPT(" ",99)),892,99)),FIND(":",TRIM(MID(SUBSTITUTE($T165,";",REPT(" ",99)),892,99)))+1,99)),0)))</f>
        <v/>
      </c>
      <c r="V165" s="3"/>
      <c r="W165" s="5" t="str">
        <f t="array" ref="W165">IF($A165="","",IF($V165="",0,IFERROR(VLOOKUP(LEFT(TRIM(MID(SUBSTITUTE($V165,";",REPT(" ",99)),1,99)),FIND(":",TRIM(MID(SUBSTITUTE($V165,";",REPT(" ",99)),1,99)))-1),Materiales!$A$2:$E$502,5,FALSE)*VALUE(MID(TRIM(MID(SUBSTITUTE($V165,";",REPT(" ",99)),1,99)),FIND(":",TRIM(MID(SUBSTITUTE($V165,";",REPT(" ",99)),1,99)))+1,99)),0) + IFERROR(VLOOKUP(LEFT(TRIM(MID(SUBSTITUTE($V165,";",REPT(" ",99)),100,99)),FIND(":",TRIM(MID(SUBSTITUTE($V165,";",REPT(" ",99)),100,99)))-1),Materiales!$A$2:$E$502,5,FALSE)*VALUE(MID(TRIM(MID(SUBSTITUTE($V165,";",REPT(" ",99)),100,99)),FIND(":",TRIM(MID(SUBSTITUTE($V165,";",REPT(" ",99)),100,99)))+1,99)),0) + IFERROR(VLOOKUP(LEFT(TRIM(MID(SUBSTITUTE($V165,";",REPT(" ",99)),199,99)),FIND(":",TRIM(MID(SUBSTITUTE($V165,";",REPT(" ",99)),199,99)))-1),Materiales!$A$2:$E$502,5,FALSE)*VALUE(MID(TRIM(MID(SUBSTITUTE($V165,";",REPT(" ",99)),199,99)),FIND(":",TRIM(MID(SUBSTITUTE($V165,";",REPT(" ",99)),199,99)))+1,99)),0) + IFERROR(VLOOKUP(LEFT(TRIM(MID(SUBSTITUTE($V165,";",REPT(" ",99)),298,99)),FIND(":",TRIM(MID(SUBSTITUTE($V165,";",REPT(" ",99)),298,99)))-1),Materiales!$A$2:$E$502,5,FALSE)*VALUE(MID(TRIM(MID(SUBSTITUTE($V165,";",REPT(" ",99)),298,99)),FIND(":",TRIM(MID(SUBSTITUTE($V165,";",REPT(" ",99)),298,99)))+1,99)),0) + IFERROR(VLOOKUP(LEFT(TRIM(MID(SUBSTITUTE($V165,";",REPT(" ",99)),397,99)),FIND(":",TRIM(MID(SUBSTITUTE($V165,";",REPT(" ",99)),397,99)))-1),Materiales!$A$2:$E$502,5,FALSE)*VALUE(MID(TRIM(MID(SUBSTITUTE($V165,";",REPT(" ",99)),397,99)),FIND(":",TRIM(MID(SUBSTITUTE($V165,";",REPT(" ",99)),397,99)))+1,99)),0) + IFERROR(VLOOKUP(LEFT(TRIM(MID(SUBSTITUTE($V165,";",REPT(" ",99)),496,99)),FIND(":",TRIM(MID(SUBSTITUTE($V165,";",REPT(" ",99)),496,99)))-1),Materiales!$A$2:$E$502,5,FALSE)*VALUE(MID(TRIM(MID(SUBSTITUTE($V165,";",REPT(" ",99)),496,99)),FIND(":",TRIM(MID(SUBSTITUTE($V165,";",REPT(" ",99)),496,99)))+1,99)),0) + IFERROR(VLOOKUP(LEFT(TRIM(MID(SUBSTITUTE($V165,";",REPT(" ",99)),595,99)),FIND(":",TRIM(MID(SUBSTITUTE($V165,";",REPT(" ",99)),595,99)))-1),Materiales!$A$2:$E$502,5,FALSE)*VALUE(MID(TRIM(MID(SUBSTITUTE($V165,";",REPT(" ",99)),595,99)),FIND(":",TRIM(MID(SUBSTITUTE($V165,";",REPT(" ",99)),595,99)))+1,99)),0) + IFERROR(VLOOKUP(LEFT(TRIM(MID(SUBSTITUTE($V165,";",REPT(" ",99)),694,99)),FIND(":",TRIM(MID(SUBSTITUTE($V165,";",REPT(" ",99)),694,99)))-1),Materiales!$A$2:$E$502,5,FALSE)*VALUE(MID(TRIM(MID(SUBSTITUTE($V165,";",REPT(" ",99)),694,99)),FIND(":",TRIM(MID(SUBSTITUTE($V165,";",REPT(" ",99)),694,99)))+1,99)),0) + IFERROR(VLOOKUP(LEFT(TRIM(MID(SUBSTITUTE($V165,";",REPT(" ",99)),793,99)),FIND(":",TRIM(MID(SUBSTITUTE($V165,";",REPT(" ",99)),793,99)))-1),Materiales!$A$2:$E$502,5,FALSE)*VALUE(MID(TRIM(MID(SUBSTITUTE($V165,";",REPT(" ",99)),793,99)),FIND(":",TRIM(MID(SUBSTITUTE($V165,";",REPT(" ",99)),793,99)))+1,99)),0) + IFERROR(VLOOKUP(LEFT(TRIM(MID(SUBSTITUTE($V165,";",REPT(" ",99)),892,99)),FIND(":",TRIM(MID(SUBSTITUTE($V165,";",REPT(" ",99)),892,99)))-1),Materiales!$A$2:$E$502,5,FALSE)*VALUE(MID(TRIM(MID(SUBSTITUTE($V165,";",REPT(" ",99)),892,99)),FIND(":",TRIM(MID(SUBSTITUTE($V165,";",REPT(" ",99)),892,99)))+1,99)),0)))</f>
        <v/>
      </c>
      <c r="X165" s="39" t="str">
        <f t="shared" si="13"/>
        <v/>
      </c>
      <c r="Y165" s="64"/>
      <c r="Z165" s="67"/>
      <c r="AA165" s="65"/>
      <c r="AB165" s="14"/>
      <c r="AC165" s="66"/>
      <c r="AD165" s="65"/>
      <c r="AE165" s="44"/>
      <c r="AF165" s="45" t="str">
        <f t="shared" si="20"/>
        <v>#DIV/0!</v>
      </c>
    </row>
    <row r="166" ht="15.75" customHeight="1">
      <c r="A166" s="3"/>
      <c r="B166" s="3"/>
      <c r="C166" s="38"/>
      <c r="D166" s="38"/>
      <c r="E166" s="38"/>
      <c r="F166" s="14"/>
      <c r="G166" s="5" t="str">
        <f t="array" ref="G166">IF($A166="","",IFERROR($F166*(N($C166)*XLOOKUP($B166,Ceras!$A$2:$A$500,Ceras!$G$2:$G$500,0)+IF($D166="",0,N($E166)*XLOOKUP($D166,Ceras!$A$2:$A$500,Ceras!$G$2:$G$500,0))),"Revisar cera"))</f>
        <v/>
      </c>
      <c r="H166" s="5"/>
      <c r="I166" s="3"/>
      <c r="J166" s="14"/>
      <c r="K166" s="5" t="str">
        <f t="array" ref="K166">IF($A166="","",IFERROR($J166*XLOOKUP($I166,Pabilos!$A$2:$A$500,Pabilos!$H$2:$H$500,0),"Revisar pabilo"))</f>
        <v/>
      </c>
      <c r="L166" s="3"/>
      <c r="M166" s="14"/>
      <c r="N166" s="5" t="str">
        <f t="array" ref="N166">IF($A166="","",IFERROR($M166*XLOOKUP($L166,Esencias!$A$2:$A$501,Esencias!$G$2:$G$501,0),"Revisar esencia"))</f>
        <v/>
      </c>
      <c r="O166" s="3"/>
      <c r="P166" s="14"/>
      <c r="Q166" s="5" t="str">
        <f t="array" ref="Q166">IF($A166="","",IFERROR(IF($P166="",1,$P166)*XLOOKUP($O166,Colores!$A$2:$A$500,Colores!$H$2:$H$500,0),"Revisar color"))</f>
        <v/>
      </c>
      <c r="R166" s="3"/>
      <c r="S166" s="5" t="str">
        <f t="array" ref="S166">IF($A166="","",IF($R166="",0,IFERROR(VLOOKUP(LEFT(TRIM(MID(SUBSTITUTE($R166,";",REPT(" ",99)),1,99)),FIND(":",TRIM(MID(SUBSTITUTE($R166,";",REPT(" ",99)),1,99)))-1),Materiales!$A$2:$E$502,5,FALSE)*VALUE(MID(TRIM(MID(SUBSTITUTE($R166,";",REPT(" ",99)),1,99)),FIND(":",TRIM(MID(SUBSTITUTE($R166,";",REPT(" ",99)),1,99)))+1,99)),0) + IFERROR(VLOOKUP(LEFT(TRIM(MID(SUBSTITUTE($R166,";",REPT(" ",99)),100,99)),FIND(":",TRIM(MID(SUBSTITUTE($R166,";",REPT(" ",99)),100,99)))-1),Materiales!$A$2:$E$502,5,FALSE)*VALUE(MID(TRIM(MID(SUBSTITUTE($R166,";",REPT(" ",99)),100,99)),FIND(":",TRIM(MID(SUBSTITUTE($R166,";",REPT(" ",99)),100,99)))+1,99)),0) + IFERROR(VLOOKUP(LEFT(TRIM(MID(SUBSTITUTE($R166,";",REPT(" ",99)),199,99)),FIND(":",TRIM(MID(SUBSTITUTE($R166,";",REPT(" ",99)),199,99)))-1),Materiales!$A$2:$E$502,5,FALSE)*VALUE(MID(TRIM(MID(SUBSTITUTE($R166,";",REPT(" ",99)),199,99)),FIND(":",TRIM(MID(SUBSTITUTE($R166,";",REPT(" ",99)),199,99)))+1,99)),0) + IFERROR(VLOOKUP(LEFT(TRIM(MID(SUBSTITUTE($R166,";",REPT(" ",99)),298,99)),FIND(":",TRIM(MID(SUBSTITUTE($R166,";",REPT(" ",99)),298,99)))-1),Materiales!$A$2:$E$502,5,FALSE)*VALUE(MID(TRIM(MID(SUBSTITUTE($R166,";",REPT(" ",99)),298,99)),FIND(":",TRIM(MID(SUBSTITUTE($R166,";",REPT(" ",99)),298,99)))+1,99)),0) + IFERROR(VLOOKUP(LEFT(TRIM(MID(SUBSTITUTE($R166,";",REPT(" ",99)),397,99)),FIND(":",TRIM(MID(SUBSTITUTE($R166,";",REPT(" ",99)),397,99)))-1),Materiales!$A$2:$E$502,5,FALSE)*VALUE(MID(TRIM(MID(SUBSTITUTE($R166,";",REPT(" ",99)),397,99)),FIND(":",TRIM(MID(SUBSTITUTE($R166,";",REPT(" ",99)),397,99)))+1,99)),0) + IFERROR(VLOOKUP(LEFT(TRIM(MID(SUBSTITUTE($R166,";",REPT(" ",99)),496,99)),FIND(":",TRIM(MID(SUBSTITUTE($R166,";",REPT(" ",99)),496,99)))-1),Materiales!$A$2:$E$502,5,FALSE)*VALUE(MID(TRIM(MID(SUBSTITUTE($R166,";",REPT(" ",99)),496,99)),FIND(":",TRIM(MID(SUBSTITUTE($R166,";",REPT(" ",99)),496,99)))+1,99)),0) + IFERROR(VLOOKUP(LEFT(TRIM(MID(SUBSTITUTE($R166,";",REPT(" ",99)),595,99)),FIND(":",TRIM(MID(SUBSTITUTE($R166,";",REPT(" ",99)),595,99)))-1),Materiales!$A$2:$E$502,5,FALSE)*VALUE(MID(TRIM(MID(SUBSTITUTE($R166,";",REPT(" ",99)),595,99)),FIND(":",TRIM(MID(SUBSTITUTE($R166,";",REPT(" ",99)),595,99)))+1,99)),0) + IFERROR(VLOOKUP(LEFT(TRIM(MID(SUBSTITUTE($R166,";",REPT(" ",99)),694,99)),FIND(":",TRIM(MID(SUBSTITUTE($R166,";",REPT(" ",99)),694,99)))-1),Materiales!$A$2:$E$502,5,FALSE)*VALUE(MID(TRIM(MID(SUBSTITUTE($R166,";",REPT(" ",99)),694,99)),FIND(":",TRIM(MID(SUBSTITUTE($R166,";",REPT(" ",99)),694,99)))+1,99)),0) + IFERROR(VLOOKUP(LEFT(TRIM(MID(SUBSTITUTE($R166,";",REPT(" ",99)),793,99)),FIND(":",TRIM(MID(SUBSTITUTE($R166,";",REPT(" ",99)),793,99)))-1),Materiales!$A$2:$E$502,5,FALSE)*VALUE(MID(TRIM(MID(SUBSTITUTE($R166,";",REPT(" ",99)),793,99)),FIND(":",TRIM(MID(SUBSTITUTE($R166,";",REPT(" ",99)),793,99)))+1,99)),0) + IFERROR(VLOOKUP(LEFT(TRIM(MID(SUBSTITUTE($R166,";",REPT(" ",99)),892,99)),FIND(":",TRIM(MID(SUBSTITUTE($R166,";",REPT(" ",99)),892,99)))-1),Materiales!$A$2:$E$502,5,FALSE)*VALUE(MID(TRIM(MID(SUBSTITUTE($R166,";",REPT(" ",99)),892,99)),FIND(":",TRIM(MID(SUBSTITUTE($R166,";",REPT(" ",99)),892,99)))+1,99)),0)))</f>
        <v/>
      </c>
      <c r="T166" s="3"/>
      <c r="U166" s="5" t="str">
        <f t="array" ref="U166">IF($A166="","",IF($T166="",0,IFERROR(VLOOKUP(LEFT(TRIM(MID(SUBSTITUTE($T166,";",REPT(" ",99)),1,99)),FIND(":",TRIM(MID(SUBSTITUTE($T166,";",REPT(" ",99)),1,99)))-1),Materiales!$A$2:$E$502,5,FALSE)*VALUE(MID(TRIM(MID(SUBSTITUTE($T166,";",REPT(" ",99)),1,99)),FIND(":",TRIM(MID(SUBSTITUTE($T166,";",REPT(" ",99)),1,99)))+1,99)),0) + IFERROR(VLOOKUP(LEFT(TRIM(MID(SUBSTITUTE($T166,";",REPT(" ",99)),100,99)),FIND(":",TRIM(MID(SUBSTITUTE($T166,";",REPT(" ",99)),100,99)))-1),Materiales!$A$2:$E$502,5,FALSE)*VALUE(MID(TRIM(MID(SUBSTITUTE($T166,";",REPT(" ",99)),100,99)),FIND(":",TRIM(MID(SUBSTITUTE($T166,";",REPT(" ",99)),100,99)))+1,99)),0) + IFERROR(VLOOKUP(LEFT(TRIM(MID(SUBSTITUTE($T166,";",REPT(" ",99)),199,99)),FIND(":",TRIM(MID(SUBSTITUTE($T166,";",REPT(" ",99)),199,99)))-1),Materiales!$A$2:$E$502,5,FALSE)*VALUE(MID(TRIM(MID(SUBSTITUTE($T166,";",REPT(" ",99)),199,99)),FIND(":",TRIM(MID(SUBSTITUTE($T166,";",REPT(" ",99)),199,99)))+1,99)),0) + IFERROR(VLOOKUP(LEFT(TRIM(MID(SUBSTITUTE($T166,";",REPT(" ",99)),298,99)),FIND(":",TRIM(MID(SUBSTITUTE($T166,";",REPT(" ",99)),298,99)))-1),Materiales!$A$2:$E$502,5,FALSE)*VALUE(MID(TRIM(MID(SUBSTITUTE($T166,";",REPT(" ",99)),298,99)),FIND(":",TRIM(MID(SUBSTITUTE($T166,";",REPT(" ",99)),298,99)))+1,99)),0) + IFERROR(VLOOKUP(LEFT(TRIM(MID(SUBSTITUTE($T166,";",REPT(" ",99)),397,99)),FIND(":",TRIM(MID(SUBSTITUTE($T166,";",REPT(" ",99)),397,99)))-1),Materiales!$A$2:$E$502,5,FALSE)*VALUE(MID(TRIM(MID(SUBSTITUTE($T166,";",REPT(" ",99)),397,99)),FIND(":",TRIM(MID(SUBSTITUTE($T166,";",REPT(" ",99)),397,99)))+1,99)),0) + IFERROR(VLOOKUP(LEFT(TRIM(MID(SUBSTITUTE($T166,";",REPT(" ",99)),496,99)),FIND(":",TRIM(MID(SUBSTITUTE($T166,";",REPT(" ",99)),496,99)))-1),Materiales!$A$2:$E$502,5,FALSE)*VALUE(MID(TRIM(MID(SUBSTITUTE($T166,";",REPT(" ",99)),496,99)),FIND(":",TRIM(MID(SUBSTITUTE($T166,";",REPT(" ",99)),496,99)))+1,99)),0) + IFERROR(VLOOKUP(LEFT(TRIM(MID(SUBSTITUTE($T166,";",REPT(" ",99)),595,99)),FIND(":",TRIM(MID(SUBSTITUTE($T166,";",REPT(" ",99)),595,99)))-1),Materiales!$A$2:$E$502,5,FALSE)*VALUE(MID(TRIM(MID(SUBSTITUTE($T166,";",REPT(" ",99)),595,99)),FIND(":",TRIM(MID(SUBSTITUTE($T166,";",REPT(" ",99)),595,99)))+1,99)),0) + IFERROR(VLOOKUP(LEFT(TRIM(MID(SUBSTITUTE($T166,";",REPT(" ",99)),694,99)),FIND(":",TRIM(MID(SUBSTITUTE($T166,";",REPT(" ",99)),694,99)))-1),Materiales!$A$2:$E$502,5,FALSE)*VALUE(MID(TRIM(MID(SUBSTITUTE($T166,";",REPT(" ",99)),694,99)),FIND(":",TRIM(MID(SUBSTITUTE($T166,";",REPT(" ",99)),694,99)))+1,99)),0) + IFERROR(VLOOKUP(LEFT(TRIM(MID(SUBSTITUTE($T166,";",REPT(" ",99)),793,99)),FIND(":",TRIM(MID(SUBSTITUTE($T166,";",REPT(" ",99)),793,99)))-1),Materiales!$A$2:$E$502,5,FALSE)*VALUE(MID(TRIM(MID(SUBSTITUTE($T166,";",REPT(" ",99)),793,99)),FIND(":",TRIM(MID(SUBSTITUTE($T166,";",REPT(" ",99)),793,99)))+1,99)),0) + IFERROR(VLOOKUP(LEFT(TRIM(MID(SUBSTITUTE($T166,";",REPT(" ",99)),892,99)),FIND(":",TRIM(MID(SUBSTITUTE($T166,";",REPT(" ",99)),892,99)))-1),Materiales!$A$2:$E$502,5,FALSE)*VALUE(MID(TRIM(MID(SUBSTITUTE($T166,";",REPT(" ",99)),892,99)),FIND(":",TRIM(MID(SUBSTITUTE($T166,";",REPT(" ",99)),892,99)))+1,99)),0)))</f>
        <v/>
      </c>
      <c r="V166" s="3"/>
      <c r="W166" s="5" t="str">
        <f t="array" ref="W166">IF($A166="","",IF($V166="",0,IFERROR(VLOOKUP(LEFT(TRIM(MID(SUBSTITUTE($V166,";",REPT(" ",99)),1,99)),FIND(":",TRIM(MID(SUBSTITUTE($V166,";",REPT(" ",99)),1,99)))-1),Materiales!$A$2:$E$502,5,FALSE)*VALUE(MID(TRIM(MID(SUBSTITUTE($V166,";",REPT(" ",99)),1,99)),FIND(":",TRIM(MID(SUBSTITUTE($V166,";",REPT(" ",99)),1,99)))+1,99)),0) + IFERROR(VLOOKUP(LEFT(TRIM(MID(SUBSTITUTE($V166,";",REPT(" ",99)),100,99)),FIND(":",TRIM(MID(SUBSTITUTE($V166,";",REPT(" ",99)),100,99)))-1),Materiales!$A$2:$E$502,5,FALSE)*VALUE(MID(TRIM(MID(SUBSTITUTE($V166,";",REPT(" ",99)),100,99)),FIND(":",TRIM(MID(SUBSTITUTE($V166,";",REPT(" ",99)),100,99)))+1,99)),0) + IFERROR(VLOOKUP(LEFT(TRIM(MID(SUBSTITUTE($V166,";",REPT(" ",99)),199,99)),FIND(":",TRIM(MID(SUBSTITUTE($V166,";",REPT(" ",99)),199,99)))-1),Materiales!$A$2:$E$502,5,FALSE)*VALUE(MID(TRIM(MID(SUBSTITUTE($V166,";",REPT(" ",99)),199,99)),FIND(":",TRIM(MID(SUBSTITUTE($V166,";",REPT(" ",99)),199,99)))+1,99)),0) + IFERROR(VLOOKUP(LEFT(TRIM(MID(SUBSTITUTE($V166,";",REPT(" ",99)),298,99)),FIND(":",TRIM(MID(SUBSTITUTE($V166,";",REPT(" ",99)),298,99)))-1),Materiales!$A$2:$E$502,5,FALSE)*VALUE(MID(TRIM(MID(SUBSTITUTE($V166,";",REPT(" ",99)),298,99)),FIND(":",TRIM(MID(SUBSTITUTE($V166,";",REPT(" ",99)),298,99)))+1,99)),0) + IFERROR(VLOOKUP(LEFT(TRIM(MID(SUBSTITUTE($V166,";",REPT(" ",99)),397,99)),FIND(":",TRIM(MID(SUBSTITUTE($V166,";",REPT(" ",99)),397,99)))-1),Materiales!$A$2:$E$502,5,FALSE)*VALUE(MID(TRIM(MID(SUBSTITUTE($V166,";",REPT(" ",99)),397,99)),FIND(":",TRIM(MID(SUBSTITUTE($V166,";",REPT(" ",99)),397,99)))+1,99)),0) + IFERROR(VLOOKUP(LEFT(TRIM(MID(SUBSTITUTE($V166,";",REPT(" ",99)),496,99)),FIND(":",TRIM(MID(SUBSTITUTE($V166,";",REPT(" ",99)),496,99)))-1),Materiales!$A$2:$E$502,5,FALSE)*VALUE(MID(TRIM(MID(SUBSTITUTE($V166,";",REPT(" ",99)),496,99)),FIND(":",TRIM(MID(SUBSTITUTE($V166,";",REPT(" ",99)),496,99)))+1,99)),0) + IFERROR(VLOOKUP(LEFT(TRIM(MID(SUBSTITUTE($V166,";",REPT(" ",99)),595,99)),FIND(":",TRIM(MID(SUBSTITUTE($V166,";",REPT(" ",99)),595,99)))-1),Materiales!$A$2:$E$502,5,FALSE)*VALUE(MID(TRIM(MID(SUBSTITUTE($V166,";",REPT(" ",99)),595,99)),FIND(":",TRIM(MID(SUBSTITUTE($V166,";",REPT(" ",99)),595,99)))+1,99)),0) + IFERROR(VLOOKUP(LEFT(TRIM(MID(SUBSTITUTE($V166,";",REPT(" ",99)),694,99)),FIND(":",TRIM(MID(SUBSTITUTE($V166,";",REPT(" ",99)),694,99)))-1),Materiales!$A$2:$E$502,5,FALSE)*VALUE(MID(TRIM(MID(SUBSTITUTE($V166,";",REPT(" ",99)),694,99)),FIND(":",TRIM(MID(SUBSTITUTE($V166,";",REPT(" ",99)),694,99)))+1,99)),0) + IFERROR(VLOOKUP(LEFT(TRIM(MID(SUBSTITUTE($V166,";",REPT(" ",99)),793,99)),FIND(":",TRIM(MID(SUBSTITUTE($V166,";",REPT(" ",99)),793,99)))-1),Materiales!$A$2:$E$502,5,FALSE)*VALUE(MID(TRIM(MID(SUBSTITUTE($V166,";",REPT(" ",99)),793,99)),FIND(":",TRIM(MID(SUBSTITUTE($V166,";",REPT(" ",99)),793,99)))+1,99)),0) + IFERROR(VLOOKUP(LEFT(TRIM(MID(SUBSTITUTE($V166,";",REPT(" ",99)),892,99)),FIND(":",TRIM(MID(SUBSTITUTE($V166,";",REPT(" ",99)),892,99)))-1),Materiales!$A$2:$E$502,5,FALSE)*VALUE(MID(TRIM(MID(SUBSTITUTE($V166,";",REPT(" ",99)),892,99)),FIND(":",TRIM(MID(SUBSTITUTE($V166,";",REPT(" ",99)),892,99)))+1,99)),0)))</f>
        <v/>
      </c>
      <c r="X166" s="39" t="str">
        <f t="shared" ref="X166:X224" si="21">IF($A166="","",SUM($G166,$K166,$N166,$Q166,$S166,$U166,$W166))</f>
        <v/>
      </c>
      <c r="Y166" s="64"/>
      <c r="Z166" s="67"/>
      <c r="AA166" s="65"/>
      <c r="AB166" s="14"/>
      <c r="AC166" s="66"/>
      <c r="AD166" s="65"/>
      <c r="AE166" s="44"/>
      <c r="AF166" s="45" t="str">
        <f t="shared" si="20"/>
        <v>#DIV/0!</v>
      </c>
    </row>
    <row r="167" ht="15.75" customHeight="1">
      <c r="A167" s="3"/>
      <c r="B167" s="3"/>
      <c r="C167" s="38"/>
      <c r="D167" s="38"/>
      <c r="E167" s="38"/>
      <c r="F167" s="14"/>
      <c r="G167" s="5" t="str">
        <f t="array" ref="G167">IF($A167="","",IFERROR($F167*(N($C167)*XLOOKUP($B167,Ceras!$A$2:$A$500,Ceras!$G$2:$G$500,0)+IF($D167="",0,N($E167)*XLOOKUP($D167,Ceras!$A$2:$A$500,Ceras!$G$2:$G$500,0))),"Revisar cera"))</f>
        <v/>
      </c>
      <c r="H167" s="5"/>
      <c r="I167" s="3"/>
      <c r="J167" s="14"/>
      <c r="K167" s="5" t="str">
        <f t="array" ref="K167">IF($A167="","",IFERROR($J167*XLOOKUP($I167,Pabilos!$A$2:$A$500,Pabilos!$H$2:$H$500,0),"Revisar pabilo"))</f>
        <v/>
      </c>
      <c r="L167" s="3"/>
      <c r="M167" s="14"/>
      <c r="N167" s="5" t="str">
        <f t="array" ref="N167">IF($A167="","",IFERROR($M167*XLOOKUP($L167,Esencias!$A$2:$A$501,Esencias!$G$2:$G$501,0),"Revisar esencia"))</f>
        <v/>
      </c>
      <c r="O167" s="3"/>
      <c r="P167" s="14"/>
      <c r="Q167" s="5" t="str">
        <f t="array" ref="Q167">IF($A167="","",IFERROR(IF($P167="",1,$P167)*XLOOKUP($O167,Colores!$A$2:$A$500,Colores!$H$2:$H$500,0),"Revisar color"))</f>
        <v/>
      </c>
      <c r="R167" s="3"/>
      <c r="S167" s="5" t="str">
        <f t="array" ref="S167">IF($A167="","",IF($R167="",0,IFERROR(VLOOKUP(LEFT(TRIM(MID(SUBSTITUTE($R167,";",REPT(" ",99)),1,99)),FIND(":",TRIM(MID(SUBSTITUTE($R167,";",REPT(" ",99)),1,99)))-1),Materiales!$A$2:$E$502,5,FALSE)*VALUE(MID(TRIM(MID(SUBSTITUTE($R167,";",REPT(" ",99)),1,99)),FIND(":",TRIM(MID(SUBSTITUTE($R167,";",REPT(" ",99)),1,99)))+1,99)),0) + IFERROR(VLOOKUP(LEFT(TRIM(MID(SUBSTITUTE($R167,";",REPT(" ",99)),100,99)),FIND(":",TRIM(MID(SUBSTITUTE($R167,";",REPT(" ",99)),100,99)))-1),Materiales!$A$2:$E$502,5,FALSE)*VALUE(MID(TRIM(MID(SUBSTITUTE($R167,";",REPT(" ",99)),100,99)),FIND(":",TRIM(MID(SUBSTITUTE($R167,";",REPT(" ",99)),100,99)))+1,99)),0) + IFERROR(VLOOKUP(LEFT(TRIM(MID(SUBSTITUTE($R167,";",REPT(" ",99)),199,99)),FIND(":",TRIM(MID(SUBSTITUTE($R167,";",REPT(" ",99)),199,99)))-1),Materiales!$A$2:$E$502,5,FALSE)*VALUE(MID(TRIM(MID(SUBSTITUTE($R167,";",REPT(" ",99)),199,99)),FIND(":",TRIM(MID(SUBSTITUTE($R167,";",REPT(" ",99)),199,99)))+1,99)),0) + IFERROR(VLOOKUP(LEFT(TRIM(MID(SUBSTITUTE($R167,";",REPT(" ",99)),298,99)),FIND(":",TRIM(MID(SUBSTITUTE($R167,";",REPT(" ",99)),298,99)))-1),Materiales!$A$2:$E$502,5,FALSE)*VALUE(MID(TRIM(MID(SUBSTITUTE($R167,";",REPT(" ",99)),298,99)),FIND(":",TRIM(MID(SUBSTITUTE($R167,";",REPT(" ",99)),298,99)))+1,99)),0) + IFERROR(VLOOKUP(LEFT(TRIM(MID(SUBSTITUTE($R167,";",REPT(" ",99)),397,99)),FIND(":",TRIM(MID(SUBSTITUTE($R167,";",REPT(" ",99)),397,99)))-1),Materiales!$A$2:$E$502,5,FALSE)*VALUE(MID(TRIM(MID(SUBSTITUTE($R167,";",REPT(" ",99)),397,99)),FIND(":",TRIM(MID(SUBSTITUTE($R167,";",REPT(" ",99)),397,99)))+1,99)),0) + IFERROR(VLOOKUP(LEFT(TRIM(MID(SUBSTITUTE($R167,";",REPT(" ",99)),496,99)),FIND(":",TRIM(MID(SUBSTITUTE($R167,";",REPT(" ",99)),496,99)))-1),Materiales!$A$2:$E$502,5,FALSE)*VALUE(MID(TRIM(MID(SUBSTITUTE($R167,";",REPT(" ",99)),496,99)),FIND(":",TRIM(MID(SUBSTITUTE($R167,";",REPT(" ",99)),496,99)))+1,99)),0) + IFERROR(VLOOKUP(LEFT(TRIM(MID(SUBSTITUTE($R167,";",REPT(" ",99)),595,99)),FIND(":",TRIM(MID(SUBSTITUTE($R167,";",REPT(" ",99)),595,99)))-1),Materiales!$A$2:$E$502,5,FALSE)*VALUE(MID(TRIM(MID(SUBSTITUTE($R167,";",REPT(" ",99)),595,99)),FIND(":",TRIM(MID(SUBSTITUTE($R167,";",REPT(" ",99)),595,99)))+1,99)),0) + IFERROR(VLOOKUP(LEFT(TRIM(MID(SUBSTITUTE($R167,";",REPT(" ",99)),694,99)),FIND(":",TRIM(MID(SUBSTITUTE($R167,";",REPT(" ",99)),694,99)))-1),Materiales!$A$2:$E$502,5,FALSE)*VALUE(MID(TRIM(MID(SUBSTITUTE($R167,";",REPT(" ",99)),694,99)),FIND(":",TRIM(MID(SUBSTITUTE($R167,";",REPT(" ",99)),694,99)))+1,99)),0) + IFERROR(VLOOKUP(LEFT(TRIM(MID(SUBSTITUTE($R167,";",REPT(" ",99)),793,99)),FIND(":",TRIM(MID(SUBSTITUTE($R167,";",REPT(" ",99)),793,99)))-1),Materiales!$A$2:$E$502,5,FALSE)*VALUE(MID(TRIM(MID(SUBSTITUTE($R167,";",REPT(" ",99)),793,99)),FIND(":",TRIM(MID(SUBSTITUTE($R167,";",REPT(" ",99)),793,99)))+1,99)),0) + IFERROR(VLOOKUP(LEFT(TRIM(MID(SUBSTITUTE($R167,";",REPT(" ",99)),892,99)),FIND(":",TRIM(MID(SUBSTITUTE($R167,";",REPT(" ",99)),892,99)))-1),Materiales!$A$2:$E$502,5,FALSE)*VALUE(MID(TRIM(MID(SUBSTITUTE($R167,";",REPT(" ",99)),892,99)),FIND(":",TRIM(MID(SUBSTITUTE($R167,";",REPT(" ",99)),892,99)))+1,99)),0)))</f>
        <v/>
      </c>
      <c r="T167" s="3"/>
      <c r="U167" s="5" t="str">
        <f t="array" ref="U167">IF($A167="","",IF($T167="",0,IFERROR(VLOOKUP(LEFT(TRIM(MID(SUBSTITUTE($T167,";",REPT(" ",99)),1,99)),FIND(":",TRIM(MID(SUBSTITUTE($T167,";",REPT(" ",99)),1,99)))-1),Materiales!$A$2:$E$502,5,FALSE)*VALUE(MID(TRIM(MID(SUBSTITUTE($T167,";",REPT(" ",99)),1,99)),FIND(":",TRIM(MID(SUBSTITUTE($T167,";",REPT(" ",99)),1,99)))+1,99)),0) + IFERROR(VLOOKUP(LEFT(TRIM(MID(SUBSTITUTE($T167,";",REPT(" ",99)),100,99)),FIND(":",TRIM(MID(SUBSTITUTE($T167,";",REPT(" ",99)),100,99)))-1),Materiales!$A$2:$E$502,5,FALSE)*VALUE(MID(TRIM(MID(SUBSTITUTE($T167,";",REPT(" ",99)),100,99)),FIND(":",TRIM(MID(SUBSTITUTE($T167,";",REPT(" ",99)),100,99)))+1,99)),0) + IFERROR(VLOOKUP(LEFT(TRIM(MID(SUBSTITUTE($T167,";",REPT(" ",99)),199,99)),FIND(":",TRIM(MID(SUBSTITUTE($T167,";",REPT(" ",99)),199,99)))-1),Materiales!$A$2:$E$502,5,FALSE)*VALUE(MID(TRIM(MID(SUBSTITUTE($T167,";",REPT(" ",99)),199,99)),FIND(":",TRIM(MID(SUBSTITUTE($T167,";",REPT(" ",99)),199,99)))+1,99)),0) + IFERROR(VLOOKUP(LEFT(TRIM(MID(SUBSTITUTE($T167,";",REPT(" ",99)),298,99)),FIND(":",TRIM(MID(SUBSTITUTE($T167,";",REPT(" ",99)),298,99)))-1),Materiales!$A$2:$E$502,5,FALSE)*VALUE(MID(TRIM(MID(SUBSTITUTE($T167,";",REPT(" ",99)),298,99)),FIND(":",TRIM(MID(SUBSTITUTE($T167,";",REPT(" ",99)),298,99)))+1,99)),0) + IFERROR(VLOOKUP(LEFT(TRIM(MID(SUBSTITUTE($T167,";",REPT(" ",99)),397,99)),FIND(":",TRIM(MID(SUBSTITUTE($T167,";",REPT(" ",99)),397,99)))-1),Materiales!$A$2:$E$502,5,FALSE)*VALUE(MID(TRIM(MID(SUBSTITUTE($T167,";",REPT(" ",99)),397,99)),FIND(":",TRIM(MID(SUBSTITUTE($T167,";",REPT(" ",99)),397,99)))+1,99)),0) + IFERROR(VLOOKUP(LEFT(TRIM(MID(SUBSTITUTE($T167,";",REPT(" ",99)),496,99)),FIND(":",TRIM(MID(SUBSTITUTE($T167,";",REPT(" ",99)),496,99)))-1),Materiales!$A$2:$E$502,5,FALSE)*VALUE(MID(TRIM(MID(SUBSTITUTE($T167,";",REPT(" ",99)),496,99)),FIND(":",TRIM(MID(SUBSTITUTE($T167,";",REPT(" ",99)),496,99)))+1,99)),0) + IFERROR(VLOOKUP(LEFT(TRIM(MID(SUBSTITUTE($T167,";",REPT(" ",99)),595,99)),FIND(":",TRIM(MID(SUBSTITUTE($T167,";",REPT(" ",99)),595,99)))-1),Materiales!$A$2:$E$502,5,FALSE)*VALUE(MID(TRIM(MID(SUBSTITUTE($T167,";",REPT(" ",99)),595,99)),FIND(":",TRIM(MID(SUBSTITUTE($T167,";",REPT(" ",99)),595,99)))+1,99)),0) + IFERROR(VLOOKUP(LEFT(TRIM(MID(SUBSTITUTE($T167,";",REPT(" ",99)),694,99)),FIND(":",TRIM(MID(SUBSTITUTE($T167,";",REPT(" ",99)),694,99)))-1),Materiales!$A$2:$E$502,5,FALSE)*VALUE(MID(TRIM(MID(SUBSTITUTE($T167,";",REPT(" ",99)),694,99)),FIND(":",TRIM(MID(SUBSTITUTE($T167,";",REPT(" ",99)),694,99)))+1,99)),0) + IFERROR(VLOOKUP(LEFT(TRIM(MID(SUBSTITUTE($T167,";",REPT(" ",99)),793,99)),FIND(":",TRIM(MID(SUBSTITUTE($T167,";",REPT(" ",99)),793,99)))-1),Materiales!$A$2:$E$502,5,FALSE)*VALUE(MID(TRIM(MID(SUBSTITUTE($T167,";",REPT(" ",99)),793,99)),FIND(":",TRIM(MID(SUBSTITUTE($T167,";",REPT(" ",99)),793,99)))+1,99)),0) + IFERROR(VLOOKUP(LEFT(TRIM(MID(SUBSTITUTE($T167,";",REPT(" ",99)),892,99)),FIND(":",TRIM(MID(SUBSTITUTE($T167,";",REPT(" ",99)),892,99)))-1),Materiales!$A$2:$E$502,5,FALSE)*VALUE(MID(TRIM(MID(SUBSTITUTE($T167,";",REPT(" ",99)),892,99)),FIND(":",TRIM(MID(SUBSTITUTE($T167,";",REPT(" ",99)),892,99)))+1,99)),0)))</f>
        <v/>
      </c>
      <c r="V167" s="3"/>
      <c r="W167" s="5" t="str">
        <f t="array" ref="W167">IF($A167="","",IF($V167="",0,IFERROR(VLOOKUP(LEFT(TRIM(MID(SUBSTITUTE($V167,";",REPT(" ",99)),1,99)),FIND(":",TRIM(MID(SUBSTITUTE($V167,";",REPT(" ",99)),1,99)))-1),Materiales!$A$2:$E$502,5,FALSE)*VALUE(MID(TRIM(MID(SUBSTITUTE($V167,";",REPT(" ",99)),1,99)),FIND(":",TRIM(MID(SUBSTITUTE($V167,";",REPT(" ",99)),1,99)))+1,99)),0) + IFERROR(VLOOKUP(LEFT(TRIM(MID(SUBSTITUTE($V167,";",REPT(" ",99)),100,99)),FIND(":",TRIM(MID(SUBSTITUTE($V167,";",REPT(" ",99)),100,99)))-1),Materiales!$A$2:$E$502,5,FALSE)*VALUE(MID(TRIM(MID(SUBSTITUTE($V167,";",REPT(" ",99)),100,99)),FIND(":",TRIM(MID(SUBSTITUTE($V167,";",REPT(" ",99)),100,99)))+1,99)),0) + IFERROR(VLOOKUP(LEFT(TRIM(MID(SUBSTITUTE($V167,";",REPT(" ",99)),199,99)),FIND(":",TRIM(MID(SUBSTITUTE($V167,";",REPT(" ",99)),199,99)))-1),Materiales!$A$2:$E$502,5,FALSE)*VALUE(MID(TRIM(MID(SUBSTITUTE($V167,";",REPT(" ",99)),199,99)),FIND(":",TRIM(MID(SUBSTITUTE($V167,";",REPT(" ",99)),199,99)))+1,99)),0) + IFERROR(VLOOKUP(LEFT(TRIM(MID(SUBSTITUTE($V167,";",REPT(" ",99)),298,99)),FIND(":",TRIM(MID(SUBSTITUTE($V167,";",REPT(" ",99)),298,99)))-1),Materiales!$A$2:$E$502,5,FALSE)*VALUE(MID(TRIM(MID(SUBSTITUTE($V167,";",REPT(" ",99)),298,99)),FIND(":",TRIM(MID(SUBSTITUTE($V167,";",REPT(" ",99)),298,99)))+1,99)),0) + IFERROR(VLOOKUP(LEFT(TRIM(MID(SUBSTITUTE($V167,";",REPT(" ",99)),397,99)),FIND(":",TRIM(MID(SUBSTITUTE($V167,";",REPT(" ",99)),397,99)))-1),Materiales!$A$2:$E$502,5,FALSE)*VALUE(MID(TRIM(MID(SUBSTITUTE($V167,";",REPT(" ",99)),397,99)),FIND(":",TRIM(MID(SUBSTITUTE($V167,";",REPT(" ",99)),397,99)))+1,99)),0) + IFERROR(VLOOKUP(LEFT(TRIM(MID(SUBSTITUTE($V167,";",REPT(" ",99)),496,99)),FIND(":",TRIM(MID(SUBSTITUTE($V167,";",REPT(" ",99)),496,99)))-1),Materiales!$A$2:$E$502,5,FALSE)*VALUE(MID(TRIM(MID(SUBSTITUTE($V167,";",REPT(" ",99)),496,99)),FIND(":",TRIM(MID(SUBSTITUTE($V167,";",REPT(" ",99)),496,99)))+1,99)),0) + IFERROR(VLOOKUP(LEFT(TRIM(MID(SUBSTITUTE($V167,";",REPT(" ",99)),595,99)),FIND(":",TRIM(MID(SUBSTITUTE($V167,";",REPT(" ",99)),595,99)))-1),Materiales!$A$2:$E$502,5,FALSE)*VALUE(MID(TRIM(MID(SUBSTITUTE($V167,";",REPT(" ",99)),595,99)),FIND(":",TRIM(MID(SUBSTITUTE($V167,";",REPT(" ",99)),595,99)))+1,99)),0) + IFERROR(VLOOKUP(LEFT(TRIM(MID(SUBSTITUTE($V167,";",REPT(" ",99)),694,99)),FIND(":",TRIM(MID(SUBSTITUTE($V167,";",REPT(" ",99)),694,99)))-1),Materiales!$A$2:$E$502,5,FALSE)*VALUE(MID(TRIM(MID(SUBSTITUTE($V167,";",REPT(" ",99)),694,99)),FIND(":",TRIM(MID(SUBSTITUTE($V167,";",REPT(" ",99)),694,99)))+1,99)),0) + IFERROR(VLOOKUP(LEFT(TRIM(MID(SUBSTITUTE($V167,";",REPT(" ",99)),793,99)),FIND(":",TRIM(MID(SUBSTITUTE($V167,";",REPT(" ",99)),793,99)))-1),Materiales!$A$2:$E$502,5,FALSE)*VALUE(MID(TRIM(MID(SUBSTITUTE($V167,";",REPT(" ",99)),793,99)),FIND(":",TRIM(MID(SUBSTITUTE($V167,";",REPT(" ",99)),793,99)))+1,99)),0) + IFERROR(VLOOKUP(LEFT(TRIM(MID(SUBSTITUTE($V167,";",REPT(" ",99)),892,99)),FIND(":",TRIM(MID(SUBSTITUTE($V167,";",REPT(" ",99)),892,99)))-1),Materiales!$A$2:$E$502,5,FALSE)*VALUE(MID(TRIM(MID(SUBSTITUTE($V167,";",REPT(" ",99)),892,99)),FIND(":",TRIM(MID(SUBSTITUTE($V167,";",REPT(" ",99)),892,99)))+1,99)),0)))</f>
        <v/>
      </c>
      <c r="X167" s="39" t="str">
        <f t="shared" si="21"/>
        <v/>
      </c>
      <c r="Y167" s="64"/>
      <c r="Z167" s="67"/>
      <c r="AA167" s="65"/>
      <c r="AB167" s="14"/>
      <c r="AC167" s="66"/>
      <c r="AD167" s="65"/>
      <c r="AE167" s="44"/>
      <c r="AF167" s="45" t="str">
        <f t="shared" si="20"/>
        <v>#DIV/0!</v>
      </c>
    </row>
    <row r="168" ht="15.75" customHeight="1">
      <c r="A168" s="3"/>
      <c r="B168" s="3"/>
      <c r="C168" s="38"/>
      <c r="D168" s="38"/>
      <c r="E168" s="38"/>
      <c r="F168" s="14"/>
      <c r="G168" s="5" t="str">
        <f t="array" ref="G168">IF($A168="","",IFERROR($F168*(N($C168)*XLOOKUP($B168,Ceras!$A$2:$A$500,Ceras!$G$2:$G$500,0)+IF($D168="",0,N($E168)*XLOOKUP($D168,Ceras!$A$2:$A$500,Ceras!$G$2:$G$500,0))),"Revisar cera"))</f>
        <v/>
      </c>
      <c r="H168" s="5"/>
      <c r="I168" s="3"/>
      <c r="J168" s="14"/>
      <c r="K168" s="5" t="str">
        <f t="array" ref="K168">IF($A168="","",IFERROR($J168*XLOOKUP($I168,Pabilos!$A$2:$A$500,Pabilos!$H$2:$H$500,0),"Revisar pabilo"))</f>
        <v/>
      </c>
      <c r="L168" s="3"/>
      <c r="M168" s="14"/>
      <c r="N168" s="5" t="str">
        <f t="array" ref="N168">IF($A168="","",IFERROR($M168*XLOOKUP($L168,Esencias!$A$2:$A$501,Esencias!$G$2:$G$501,0),"Revisar esencia"))</f>
        <v/>
      </c>
      <c r="O168" s="3"/>
      <c r="P168" s="14"/>
      <c r="Q168" s="5" t="str">
        <f t="array" ref="Q168">IF($A168="","",IFERROR(IF($P168="",1,$P168)*XLOOKUP($O168,Colores!$A$2:$A$500,Colores!$H$2:$H$500,0),"Revisar color"))</f>
        <v/>
      </c>
      <c r="R168" s="3"/>
      <c r="S168" s="5" t="str">
        <f t="array" ref="S168">IF($A168="","",IF($R168="",0,IFERROR(VLOOKUP(LEFT(TRIM(MID(SUBSTITUTE($R168,";",REPT(" ",99)),1,99)),FIND(":",TRIM(MID(SUBSTITUTE($R168,";",REPT(" ",99)),1,99)))-1),Materiales!$A$2:$E$502,5,FALSE)*VALUE(MID(TRIM(MID(SUBSTITUTE($R168,";",REPT(" ",99)),1,99)),FIND(":",TRIM(MID(SUBSTITUTE($R168,";",REPT(" ",99)),1,99)))+1,99)),0) + IFERROR(VLOOKUP(LEFT(TRIM(MID(SUBSTITUTE($R168,";",REPT(" ",99)),100,99)),FIND(":",TRIM(MID(SUBSTITUTE($R168,";",REPT(" ",99)),100,99)))-1),Materiales!$A$2:$E$502,5,FALSE)*VALUE(MID(TRIM(MID(SUBSTITUTE($R168,";",REPT(" ",99)),100,99)),FIND(":",TRIM(MID(SUBSTITUTE($R168,";",REPT(" ",99)),100,99)))+1,99)),0) + IFERROR(VLOOKUP(LEFT(TRIM(MID(SUBSTITUTE($R168,";",REPT(" ",99)),199,99)),FIND(":",TRIM(MID(SUBSTITUTE($R168,";",REPT(" ",99)),199,99)))-1),Materiales!$A$2:$E$502,5,FALSE)*VALUE(MID(TRIM(MID(SUBSTITUTE($R168,";",REPT(" ",99)),199,99)),FIND(":",TRIM(MID(SUBSTITUTE($R168,";",REPT(" ",99)),199,99)))+1,99)),0) + IFERROR(VLOOKUP(LEFT(TRIM(MID(SUBSTITUTE($R168,";",REPT(" ",99)),298,99)),FIND(":",TRIM(MID(SUBSTITUTE($R168,";",REPT(" ",99)),298,99)))-1),Materiales!$A$2:$E$502,5,FALSE)*VALUE(MID(TRIM(MID(SUBSTITUTE($R168,";",REPT(" ",99)),298,99)),FIND(":",TRIM(MID(SUBSTITUTE($R168,";",REPT(" ",99)),298,99)))+1,99)),0) + IFERROR(VLOOKUP(LEFT(TRIM(MID(SUBSTITUTE($R168,";",REPT(" ",99)),397,99)),FIND(":",TRIM(MID(SUBSTITUTE($R168,";",REPT(" ",99)),397,99)))-1),Materiales!$A$2:$E$502,5,FALSE)*VALUE(MID(TRIM(MID(SUBSTITUTE($R168,";",REPT(" ",99)),397,99)),FIND(":",TRIM(MID(SUBSTITUTE($R168,";",REPT(" ",99)),397,99)))+1,99)),0) + IFERROR(VLOOKUP(LEFT(TRIM(MID(SUBSTITUTE($R168,";",REPT(" ",99)),496,99)),FIND(":",TRIM(MID(SUBSTITUTE($R168,";",REPT(" ",99)),496,99)))-1),Materiales!$A$2:$E$502,5,FALSE)*VALUE(MID(TRIM(MID(SUBSTITUTE($R168,";",REPT(" ",99)),496,99)),FIND(":",TRIM(MID(SUBSTITUTE($R168,";",REPT(" ",99)),496,99)))+1,99)),0) + IFERROR(VLOOKUP(LEFT(TRIM(MID(SUBSTITUTE($R168,";",REPT(" ",99)),595,99)),FIND(":",TRIM(MID(SUBSTITUTE($R168,";",REPT(" ",99)),595,99)))-1),Materiales!$A$2:$E$502,5,FALSE)*VALUE(MID(TRIM(MID(SUBSTITUTE($R168,";",REPT(" ",99)),595,99)),FIND(":",TRIM(MID(SUBSTITUTE($R168,";",REPT(" ",99)),595,99)))+1,99)),0) + IFERROR(VLOOKUP(LEFT(TRIM(MID(SUBSTITUTE($R168,";",REPT(" ",99)),694,99)),FIND(":",TRIM(MID(SUBSTITUTE($R168,";",REPT(" ",99)),694,99)))-1),Materiales!$A$2:$E$502,5,FALSE)*VALUE(MID(TRIM(MID(SUBSTITUTE($R168,";",REPT(" ",99)),694,99)),FIND(":",TRIM(MID(SUBSTITUTE($R168,";",REPT(" ",99)),694,99)))+1,99)),0) + IFERROR(VLOOKUP(LEFT(TRIM(MID(SUBSTITUTE($R168,";",REPT(" ",99)),793,99)),FIND(":",TRIM(MID(SUBSTITUTE($R168,";",REPT(" ",99)),793,99)))-1),Materiales!$A$2:$E$502,5,FALSE)*VALUE(MID(TRIM(MID(SUBSTITUTE($R168,";",REPT(" ",99)),793,99)),FIND(":",TRIM(MID(SUBSTITUTE($R168,";",REPT(" ",99)),793,99)))+1,99)),0) + IFERROR(VLOOKUP(LEFT(TRIM(MID(SUBSTITUTE($R168,";",REPT(" ",99)),892,99)),FIND(":",TRIM(MID(SUBSTITUTE($R168,";",REPT(" ",99)),892,99)))-1),Materiales!$A$2:$E$502,5,FALSE)*VALUE(MID(TRIM(MID(SUBSTITUTE($R168,";",REPT(" ",99)),892,99)),FIND(":",TRIM(MID(SUBSTITUTE($R168,";",REPT(" ",99)),892,99)))+1,99)),0)))</f>
        <v/>
      </c>
      <c r="T168" s="3"/>
      <c r="U168" s="5" t="str">
        <f t="array" ref="U168">IF($A168="","",IF($T168="",0,IFERROR(VLOOKUP(LEFT(TRIM(MID(SUBSTITUTE($T168,";",REPT(" ",99)),1,99)),FIND(":",TRIM(MID(SUBSTITUTE($T168,";",REPT(" ",99)),1,99)))-1),Materiales!$A$2:$E$502,5,FALSE)*VALUE(MID(TRIM(MID(SUBSTITUTE($T168,";",REPT(" ",99)),1,99)),FIND(":",TRIM(MID(SUBSTITUTE($T168,";",REPT(" ",99)),1,99)))+1,99)),0) + IFERROR(VLOOKUP(LEFT(TRIM(MID(SUBSTITUTE($T168,";",REPT(" ",99)),100,99)),FIND(":",TRIM(MID(SUBSTITUTE($T168,";",REPT(" ",99)),100,99)))-1),Materiales!$A$2:$E$502,5,FALSE)*VALUE(MID(TRIM(MID(SUBSTITUTE($T168,";",REPT(" ",99)),100,99)),FIND(":",TRIM(MID(SUBSTITUTE($T168,";",REPT(" ",99)),100,99)))+1,99)),0) + IFERROR(VLOOKUP(LEFT(TRIM(MID(SUBSTITUTE($T168,";",REPT(" ",99)),199,99)),FIND(":",TRIM(MID(SUBSTITUTE($T168,";",REPT(" ",99)),199,99)))-1),Materiales!$A$2:$E$502,5,FALSE)*VALUE(MID(TRIM(MID(SUBSTITUTE($T168,";",REPT(" ",99)),199,99)),FIND(":",TRIM(MID(SUBSTITUTE($T168,";",REPT(" ",99)),199,99)))+1,99)),0) + IFERROR(VLOOKUP(LEFT(TRIM(MID(SUBSTITUTE($T168,";",REPT(" ",99)),298,99)),FIND(":",TRIM(MID(SUBSTITUTE($T168,";",REPT(" ",99)),298,99)))-1),Materiales!$A$2:$E$502,5,FALSE)*VALUE(MID(TRIM(MID(SUBSTITUTE($T168,";",REPT(" ",99)),298,99)),FIND(":",TRIM(MID(SUBSTITUTE($T168,";",REPT(" ",99)),298,99)))+1,99)),0) + IFERROR(VLOOKUP(LEFT(TRIM(MID(SUBSTITUTE($T168,";",REPT(" ",99)),397,99)),FIND(":",TRIM(MID(SUBSTITUTE($T168,";",REPT(" ",99)),397,99)))-1),Materiales!$A$2:$E$502,5,FALSE)*VALUE(MID(TRIM(MID(SUBSTITUTE($T168,";",REPT(" ",99)),397,99)),FIND(":",TRIM(MID(SUBSTITUTE($T168,";",REPT(" ",99)),397,99)))+1,99)),0) + IFERROR(VLOOKUP(LEFT(TRIM(MID(SUBSTITUTE($T168,";",REPT(" ",99)),496,99)),FIND(":",TRIM(MID(SUBSTITUTE($T168,";",REPT(" ",99)),496,99)))-1),Materiales!$A$2:$E$502,5,FALSE)*VALUE(MID(TRIM(MID(SUBSTITUTE($T168,";",REPT(" ",99)),496,99)),FIND(":",TRIM(MID(SUBSTITUTE($T168,";",REPT(" ",99)),496,99)))+1,99)),0) + IFERROR(VLOOKUP(LEFT(TRIM(MID(SUBSTITUTE($T168,";",REPT(" ",99)),595,99)),FIND(":",TRIM(MID(SUBSTITUTE($T168,";",REPT(" ",99)),595,99)))-1),Materiales!$A$2:$E$502,5,FALSE)*VALUE(MID(TRIM(MID(SUBSTITUTE($T168,";",REPT(" ",99)),595,99)),FIND(":",TRIM(MID(SUBSTITUTE($T168,";",REPT(" ",99)),595,99)))+1,99)),0) + IFERROR(VLOOKUP(LEFT(TRIM(MID(SUBSTITUTE($T168,";",REPT(" ",99)),694,99)),FIND(":",TRIM(MID(SUBSTITUTE($T168,";",REPT(" ",99)),694,99)))-1),Materiales!$A$2:$E$502,5,FALSE)*VALUE(MID(TRIM(MID(SUBSTITUTE($T168,";",REPT(" ",99)),694,99)),FIND(":",TRIM(MID(SUBSTITUTE($T168,";",REPT(" ",99)),694,99)))+1,99)),0) + IFERROR(VLOOKUP(LEFT(TRIM(MID(SUBSTITUTE($T168,";",REPT(" ",99)),793,99)),FIND(":",TRIM(MID(SUBSTITUTE($T168,";",REPT(" ",99)),793,99)))-1),Materiales!$A$2:$E$502,5,FALSE)*VALUE(MID(TRIM(MID(SUBSTITUTE($T168,";",REPT(" ",99)),793,99)),FIND(":",TRIM(MID(SUBSTITUTE($T168,";",REPT(" ",99)),793,99)))+1,99)),0) + IFERROR(VLOOKUP(LEFT(TRIM(MID(SUBSTITUTE($T168,";",REPT(" ",99)),892,99)),FIND(":",TRIM(MID(SUBSTITUTE($T168,";",REPT(" ",99)),892,99)))-1),Materiales!$A$2:$E$502,5,FALSE)*VALUE(MID(TRIM(MID(SUBSTITUTE($T168,";",REPT(" ",99)),892,99)),FIND(":",TRIM(MID(SUBSTITUTE($T168,";",REPT(" ",99)),892,99)))+1,99)),0)))</f>
        <v/>
      </c>
      <c r="V168" s="3"/>
      <c r="W168" s="5" t="str">
        <f t="array" ref="W168">IF($A168="","",IF($V168="",0,IFERROR(VLOOKUP(LEFT(TRIM(MID(SUBSTITUTE($V168,";",REPT(" ",99)),1,99)),FIND(":",TRIM(MID(SUBSTITUTE($V168,";",REPT(" ",99)),1,99)))-1),Materiales!$A$2:$E$502,5,FALSE)*VALUE(MID(TRIM(MID(SUBSTITUTE($V168,";",REPT(" ",99)),1,99)),FIND(":",TRIM(MID(SUBSTITUTE($V168,";",REPT(" ",99)),1,99)))+1,99)),0) + IFERROR(VLOOKUP(LEFT(TRIM(MID(SUBSTITUTE($V168,";",REPT(" ",99)),100,99)),FIND(":",TRIM(MID(SUBSTITUTE($V168,";",REPT(" ",99)),100,99)))-1),Materiales!$A$2:$E$502,5,FALSE)*VALUE(MID(TRIM(MID(SUBSTITUTE($V168,";",REPT(" ",99)),100,99)),FIND(":",TRIM(MID(SUBSTITUTE($V168,";",REPT(" ",99)),100,99)))+1,99)),0) + IFERROR(VLOOKUP(LEFT(TRIM(MID(SUBSTITUTE($V168,";",REPT(" ",99)),199,99)),FIND(":",TRIM(MID(SUBSTITUTE($V168,";",REPT(" ",99)),199,99)))-1),Materiales!$A$2:$E$502,5,FALSE)*VALUE(MID(TRIM(MID(SUBSTITUTE($V168,";",REPT(" ",99)),199,99)),FIND(":",TRIM(MID(SUBSTITUTE($V168,";",REPT(" ",99)),199,99)))+1,99)),0) + IFERROR(VLOOKUP(LEFT(TRIM(MID(SUBSTITUTE($V168,";",REPT(" ",99)),298,99)),FIND(":",TRIM(MID(SUBSTITUTE($V168,";",REPT(" ",99)),298,99)))-1),Materiales!$A$2:$E$502,5,FALSE)*VALUE(MID(TRIM(MID(SUBSTITUTE($V168,";",REPT(" ",99)),298,99)),FIND(":",TRIM(MID(SUBSTITUTE($V168,";",REPT(" ",99)),298,99)))+1,99)),0) + IFERROR(VLOOKUP(LEFT(TRIM(MID(SUBSTITUTE($V168,";",REPT(" ",99)),397,99)),FIND(":",TRIM(MID(SUBSTITUTE($V168,";",REPT(" ",99)),397,99)))-1),Materiales!$A$2:$E$502,5,FALSE)*VALUE(MID(TRIM(MID(SUBSTITUTE($V168,";",REPT(" ",99)),397,99)),FIND(":",TRIM(MID(SUBSTITUTE($V168,";",REPT(" ",99)),397,99)))+1,99)),0) + IFERROR(VLOOKUP(LEFT(TRIM(MID(SUBSTITUTE($V168,";",REPT(" ",99)),496,99)),FIND(":",TRIM(MID(SUBSTITUTE($V168,";",REPT(" ",99)),496,99)))-1),Materiales!$A$2:$E$502,5,FALSE)*VALUE(MID(TRIM(MID(SUBSTITUTE($V168,";",REPT(" ",99)),496,99)),FIND(":",TRIM(MID(SUBSTITUTE($V168,";",REPT(" ",99)),496,99)))+1,99)),0) + IFERROR(VLOOKUP(LEFT(TRIM(MID(SUBSTITUTE($V168,";",REPT(" ",99)),595,99)),FIND(":",TRIM(MID(SUBSTITUTE($V168,";",REPT(" ",99)),595,99)))-1),Materiales!$A$2:$E$502,5,FALSE)*VALUE(MID(TRIM(MID(SUBSTITUTE($V168,";",REPT(" ",99)),595,99)),FIND(":",TRIM(MID(SUBSTITUTE($V168,";",REPT(" ",99)),595,99)))+1,99)),0) + IFERROR(VLOOKUP(LEFT(TRIM(MID(SUBSTITUTE($V168,";",REPT(" ",99)),694,99)),FIND(":",TRIM(MID(SUBSTITUTE($V168,";",REPT(" ",99)),694,99)))-1),Materiales!$A$2:$E$502,5,FALSE)*VALUE(MID(TRIM(MID(SUBSTITUTE($V168,";",REPT(" ",99)),694,99)),FIND(":",TRIM(MID(SUBSTITUTE($V168,";",REPT(" ",99)),694,99)))+1,99)),0) + IFERROR(VLOOKUP(LEFT(TRIM(MID(SUBSTITUTE($V168,";",REPT(" ",99)),793,99)),FIND(":",TRIM(MID(SUBSTITUTE($V168,";",REPT(" ",99)),793,99)))-1),Materiales!$A$2:$E$502,5,FALSE)*VALUE(MID(TRIM(MID(SUBSTITUTE($V168,";",REPT(" ",99)),793,99)),FIND(":",TRIM(MID(SUBSTITUTE($V168,";",REPT(" ",99)),793,99)))+1,99)),0) + IFERROR(VLOOKUP(LEFT(TRIM(MID(SUBSTITUTE($V168,";",REPT(" ",99)),892,99)),FIND(":",TRIM(MID(SUBSTITUTE($V168,";",REPT(" ",99)),892,99)))-1),Materiales!$A$2:$E$502,5,FALSE)*VALUE(MID(TRIM(MID(SUBSTITUTE($V168,";",REPT(" ",99)),892,99)),FIND(":",TRIM(MID(SUBSTITUTE($V168,";",REPT(" ",99)),892,99)))+1,99)),0)))</f>
        <v/>
      </c>
      <c r="X168" s="39" t="str">
        <f t="shared" si="21"/>
        <v/>
      </c>
      <c r="Y168" s="64"/>
      <c r="Z168" s="67"/>
      <c r="AA168" s="65"/>
      <c r="AB168" s="14"/>
      <c r="AC168" s="66"/>
      <c r="AD168" s="65"/>
      <c r="AE168" s="44"/>
      <c r="AF168" s="45" t="str">
        <f t="shared" si="20"/>
        <v>#DIV/0!</v>
      </c>
    </row>
    <row r="169" ht="15.75" customHeight="1">
      <c r="A169" s="3"/>
      <c r="B169" s="3"/>
      <c r="C169" s="38"/>
      <c r="D169" s="38"/>
      <c r="E169" s="38"/>
      <c r="F169" s="14"/>
      <c r="G169" s="5" t="str">
        <f t="array" ref="G169">IF($A169="","",IFERROR($F169*(N($C169)*XLOOKUP($B169,Ceras!$A$2:$A$500,Ceras!$G$2:$G$500,0)+IF($D169="",0,N($E169)*XLOOKUP($D169,Ceras!$A$2:$A$500,Ceras!$G$2:$G$500,0))),"Revisar cera"))</f>
        <v/>
      </c>
      <c r="H169" s="5"/>
      <c r="I169" s="3"/>
      <c r="J169" s="14"/>
      <c r="K169" s="5" t="str">
        <f t="array" ref="K169">IF($A169="","",IFERROR($J169*XLOOKUP($I169,Pabilos!$A$2:$A$500,Pabilos!$H$2:$H$500,0),"Revisar pabilo"))</f>
        <v/>
      </c>
      <c r="L169" s="3"/>
      <c r="M169" s="14"/>
      <c r="N169" s="5" t="str">
        <f t="array" ref="N169">IF($A169="","",IFERROR($M169*XLOOKUP($L169,Esencias!$A$2:$A$501,Esencias!$G$2:$G$501,0),"Revisar esencia"))</f>
        <v/>
      </c>
      <c r="O169" s="3"/>
      <c r="P169" s="14"/>
      <c r="Q169" s="5" t="str">
        <f t="array" ref="Q169">IF($A169="","",IFERROR(IF($P169="",1,$P169)*XLOOKUP($O169,Colores!$A$2:$A$500,Colores!$H$2:$H$500,0),"Revisar color"))</f>
        <v/>
      </c>
      <c r="R169" s="3"/>
      <c r="S169" s="5" t="str">
        <f t="array" ref="S169">IF($A169="","",IF($R169="",0,IFERROR(VLOOKUP(LEFT(TRIM(MID(SUBSTITUTE($R169,";",REPT(" ",99)),1,99)),FIND(":",TRIM(MID(SUBSTITUTE($R169,";",REPT(" ",99)),1,99)))-1),Materiales!$A$2:$E$502,5,FALSE)*VALUE(MID(TRIM(MID(SUBSTITUTE($R169,";",REPT(" ",99)),1,99)),FIND(":",TRIM(MID(SUBSTITUTE($R169,";",REPT(" ",99)),1,99)))+1,99)),0) + IFERROR(VLOOKUP(LEFT(TRIM(MID(SUBSTITUTE($R169,";",REPT(" ",99)),100,99)),FIND(":",TRIM(MID(SUBSTITUTE($R169,";",REPT(" ",99)),100,99)))-1),Materiales!$A$2:$E$502,5,FALSE)*VALUE(MID(TRIM(MID(SUBSTITUTE($R169,";",REPT(" ",99)),100,99)),FIND(":",TRIM(MID(SUBSTITUTE($R169,";",REPT(" ",99)),100,99)))+1,99)),0) + IFERROR(VLOOKUP(LEFT(TRIM(MID(SUBSTITUTE($R169,";",REPT(" ",99)),199,99)),FIND(":",TRIM(MID(SUBSTITUTE($R169,";",REPT(" ",99)),199,99)))-1),Materiales!$A$2:$E$502,5,FALSE)*VALUE(MID(TRIM(MID(SUBSTITUTE($R169,";",REPT(" ",99)),199,99)),FIND(":",TRIM(MID(SUBSTITUTE($R169,";",REPT(" ",99)),199,99)))+1,99)),0) + IFERROR(VLOOKUP(LEFT(TRIM(MID(SUBSTITUTE($R169,";",REPT(" ",99)),298,99)),FIND(":",TRIM(MID(SUBSTITUTE($R169,";",REPT(" ",99)),298,99)))-1),Materiales!$A$2:$E$502,5,FALSE)*VALUE(MID(TRIM(MID(SUBSTITUTE($R169,";",REPT(" ",99)),298,99)),FIND(":",TRIM(MID(SUBSTITUTE($R169,";",REPT(" ",99)),298,99)))+1,99)),0) + IFERROR(VLOOKUP(LEFT(TRIM(MID(SUBSTITUTE($R169,";",REPT(" ",99)),397,99)),FIND(":",TRIM(MID(SUBSTITUTE($R169,";",REPT(" ",99)),397,99)))-1),Materiales!$A$2:$E$502,5,FALSE)*VALUE(MID(TRIM(MID(SUBSTITUTE($R169,";",REPT(" ",99)),397,99)),FIND(":",TRIM(MID(SUBSTITUTE($R169,";",REPT(" ",99)),397,99)))+1,99)),0) + IFERROR(VLOOKUP(LEFT(TRIM(MID(SUBSTITUTE($R169,";",REPT(" ",99)),496,99)),FIND(":",TRIM(MID(SUBSTITUTE($R169,";",REPT(" ",99)),496,99)))-1),Materiales!$A$2:$E$502,5,FALSE)*VALUE(MID(TRIM(MID(SUBSTITUTE($R169,";",REPT(" ",99)),496,99)),FIND(":",TRIM(MID(SUBSTITUTE($R169,";",REPT(" ",99)),496,99)))+1,99)),0) + IFERROR(VLOOKUP(LEFT(TRIM(MID(SUBSTITUTE($R169,";",REPT(" ",99)),595,99)),FIND(":",TRIM(MID(SUBSTITUTE($R169,";",REPT(" ",99)),595,99)))-1),Materiales!$A$2:$E$502,5,FALSE)*VALUE(MID(TRIM(MID(SUBSTITUTE($R169,";",REPT(" ",99)),595,99)),FIND(":",TRIM(MID(SUBSTITUTE($R169,";",REPT(" ",99)),595,99)))+1,99)),0) + IFERROR(VLOOKUP(LEFT(TRIM(MID(SUBSTITUTE($R169,";",REPT(" ",99)),694,99)),FIND(":",TRIM(MID(SUBSTITUTE($R169,";",REPT(" ",99)),694,99)))-1),Materiales!$A$2:$E$502,5,FALSE)*VALUE(MID(TRIM(MID(SUBSTITUTE($R169,";",REPT(" ",99)),694,99)),FIND(":",TRIM(MID(SUBSTITUTE($R169,";",REPT(" ",99)),694,99)))+1,99)),0) + IFERROR(VLOOKUP(LEFT(TRIM(MID(SUBSTITUTE($R169,";",REPT(" ",99)),793,99)),FIND(":",TRIM(MID(SUBSTITUTE($R169,";",REPT(" ",99)),793,99)))-1),Materiales!$A$2:$E$502,5,FALSE)*VALUE(MID(TRIM(MID(SUBSTITUTE($R169,";",REPT(" ",99)),793,99)),FIND(":",TRIM(MID(SUBSTITUTE($R169,";",REPT(" ",99)),793,99)))+1,99)),0) + IFERROR(VLOOKUP(LEFT(TRIM(MID(SUBSTITUTE($R169,";",REPT(" ",99)),892,99)),FIND(":",TRIM(MID(SUBSTITUTE($R169,";",REPT(" ",99)),892,99)))-1),Materiales!$A$2:$E$502,5,FALSE)*VALUE(MID(TRIM(MID(SUBSTITUTE($R169,";",REPT(" ",99)),892,99)),FIND(":",TRIM(MID(SUBSTITUTE($R169,";",REPT(" ",99)),892,99)))+1,99)),0)))</f>
        <v/>
      </c>
      <c r="T169" s="3"/>
      <c r="U169" s="5" t="str">
        <f t="array" ref="U169">IF($A169="","",IF($T169="",0,IFERROR(VLOOKUP(LEFT(TRIM(MID(SUBSTITUTE($T169,";",REPT(" ",99)),1,99)),FIND(":",TRIM(MID(SUBSTITUTE($T169,";",REPT(" ",99)),1,99)))-1),Materiales!$A$2:$E$502,5,FALSE)*VALUE(MID(TRIM(MID(SUBSTITUTE($T169,";",REPT(" ",99)),1,99)),FIND(":",TRIM(MID(SUBSTITUTE($T169,";",REPT(" ",99)),1,99)))+1,99)),0) + IFERROR(VLOOKUP(LEFT(TRIM(MID(SUBSTITUTE($T169,";",REPT(" ",99)),100,99)),FIND(":",TRIM(MID(SUBSTITUTE($T169,";",REPT(" ",99)),100,99)))-1),Materiales!$A$2:$E$502,5,FALSE)*VALUE(MID(TRIM(MID(SUBSTITUTE($T169,";",REPT(" ",99)),100,99)),FIND(":",TRIM(MID(SUBSTITUTE($T169,";",REPT(" ",99)),100,99)))+1,99)),0) + IFERROR(VLOOKUP(LEFT(TRIM(MID(SUBSTITUTE($T169,";",REPT(" ",99)),199,99)),FIND(":",TRIM(MID(SUBSTITUTE($T169,";",REPT(" ",99)),199,99)))-1),Materiales!$A$2:$E$502,5,FALSE)*VALUE(MID(TRIM(MID(SUBSTITUTE($T169,";",REPT(" ",99)),199,99)),FIND(":",TRIM(MID(SUBSTITUTE($T169,";",REPT(" ",99)),199,99)))+1,99)),0) + IFERROR(VLOOKUP(LEFT(TRIM(MID(SUBSTITUTE($T169,";",REPT(" ",99)),298,99)),FIND(":",TRIM(MID(SUBSTITUTE($T169,";",REPT(" ",99)),298,99)))-1),Materiales!$A$2:$E$502,5,FALSE)*VALUE(MID(TRIM(MID(SUBSTITUTE($T169,";",REPT(" ",99)),298,99)),FIND(":",TRIM(MID(SUBSTITUTE($T169,";",REPT(" ",99)),298,99)))+1,99)),0) + IFERROR(VLOOKUP(LEFT(TRIM(MID(SUBSTITUTE($T169,";",REPT(" ",99)),397,99)),FIND(":",TRIM(MID(SUBSTITUTE($T169,";",REPT(" ",99)),397,99)))-1),Materiales!$A$2:$E$502,5,FALSE)*VALUE(MID(TRIM(MID(SUBSTITUTE($T169,";",REPT(" ",99)),397,99)),FIND(":",TRIM(MID(SUBSTITUTE($T169,";",REPT(" ",99)),397,99)))+1,99)),0) + IFERROR(VLOOKUP(LEFT(TRIM(MID(SUBSTITUTE($T169,";",REPT(" ",99)),496,99)),FIND(":",TRIM(MID(SUBSTITUTE($T169,";",REPT(" ",99)),496,99)))-1),Materiales!$A$2:$E$502,5,FALSE)*VALUE(MID(TRIM(MID(SUBSTITUTE($T169,";",REPT(" ",99)),496,99)),FIND(":",TRIM(MID(SUBSTITUTE($T169,";",REPT(" ",99)),496,99)))+1,99)),0) + IFERROR(VLOOKUP(LEFT(TRIM(MID(SUBSTITUTE($T169,";",REPT(" ",99)),595,99)),FIND(":",TRIM(MID(SUBSTITUTE($T169,";",REPT(" ",99)),595,99)))-1),Materiales!$A$2:$E$502,5,FALSE)*VALUE(MID(TRIM(MID(SUBSTITUTE($T169,";",REPT(" ",99)),595,99)),FIND(":",TRIM(MID(SUBSTITUTE($T169,";",REPT(" ",99)),595,99)))+1,99)),0) + IFERROR(VLOOKUP(LEFT(TRIM(MID(SUBSTITUTE($T169,";",REPT(" ",99)),694,99)),FIND(":",TRIM(MID(SUBSTITUTE($T169,";",REPT(" ",99)),694,99)))-1),Materiales!$A$2:$E$502,5,FALSE)*VALUE(MID(TRIM(MID(SUBSTITUTE($T169,";",REPT(" ",99)),694,99)),FIND(":",TRIM(MID(SUBSTITUTE($T169,";",REPT(" ",99)),694,99)))+1,99)),0) + IFERROR(VLOOKUP(LEFT(TRIM(MID(SUBSTITUTE($T169,";",REPT(" ",99)),793,99)),FIND(":",TRIM(MID(SUBSTITUTE($T169,";",REPT(" ",99)),793,99)))-1),Materiales!$A$2:$E$502,5,FALSE)*VALUE(MID(TRIM(MID(SUBSTITUTE($T169,";",REPT(" ",99)),793,99)),FIND(":",TRIM(MID(SUBSTITUTE($T169,";",REPT(" ",99)),793,99)))+1,99)),0) + IFERROR(VLOOKUP(LEFT(TRIM(MID(SUBSTITUTE($T169,";",REPT(" ",99)),892,99)),FIND(":",TRIM(MID(SUBSTITUTE($T169,";",REPT(" ",99)),892,99)))-1),Materiales!$A$2:$E$502,5,FALSE)*VALUE(MID(TRIM(MID(SUBSTITUTE($T169,";",REPT(" ",99)),892,99)),FIND(":",TRIM(MID(SUBSTITUTE($T169,";",REPT(" ",99)),892,99)))+1,99)),0)))</f>
        <v/>
      </c>
      <c r="V169" s="3"/>
      <c r="W169" s="5" t="str">
        <f t="array" ref="W169">IF($A169="","",IF($V169="",0,IFERROR(VLOOKUP(LEFT(TRIM(MID(SUBSTITUTE($V169,";",REPT(" ",99)),1,99)),FIND(":",TRIM(MID(SUBSTITUTE($V169,";",REPT(" ",99)),1,99)))-1),Materiales!$A$2:$E$502,5,FALSE)*VALUE(MID(TRIM(MID(SUBSTITUTE($V169,";",REPT(" ",99)),1,99)),FIND(":",TRIM(MID(SUBSTITUTE($V169,";",REPT(" ",99)),1,99)))+1,99)),0) + IFERROR(VLOOKUP(LEFT(TRIM(MID(SUBSTITUTE($V169,";",REPT(" ",99)),100,99)),FIND(":",TRIM(MID(SUBSTITUTE($V169,";",REPT(" ",99)),100,99)))-1),Materiales!$A$2:$E$502,5,FALSE)*VALUE(MID(TRIM(MID(SUBSTITUTE($V169,";",REPT(" ",99)),100,99)),FIND(":",TRIM(MID(SUBSTITUTE($V169,";",REPT(" ",99)),100,99)))+1,99)),0) + IFERROR(VLOOKUP(LEFT(TRIM(MID(SUBSTITUTE($V169,";",REPT(" ",99)),199,99)),FIND(":",TRIM(MID(SUBSTITUTE($V169,";",REPT(" ",99)),199,99)))-1),Materiales!$A$2:$E$502,5,FALSE)*VALUE(MID(TRIM(MID(SUBSTITUTE($V169,";",REPT(" ",99)),199,99)),FIND(":",TRIM(MID(SUBSTITUTE($V169,";",REPT(" ",99)),199,99)))+1,99)),0) + IFERROR(VLOOKUP(LEFT(TRIM(MID(SUBSTITUTE($V169,";",REPT(" ",99)),298,99)),FIND(":",TRIM(MID(SUBSTITUTE($V169,";",REPT(" ",99)),298,99)))-1),Materiales!$A$2:$E$502,5,FALSE)*VALUE(MID(TRIM(MID(SUBSTITUTE($V169,";",REPT(" ",99)),298,99)),FIND(":",TRIM(MID(SUBSTITUTE($V169,";",REPT(" ",99)),298,99)))+1,99)),0) + IFERROR(VLOOKUP(LEFT(TRIM(MID(SUBSTITUTE($V169,";",REPT(" ",99)),397,99)),FIND(":",TRIM(MID(SUBSTITUTE($V169,";",REPT(" ",99)),397,99)))-1),Materiales!$A$2:$E$502,5,FALSE)*VALUE(MID(TRIM(MID(SUBSTITUTE($V169,";",REPT(" ",99)),397,99)),FIND(":",TRIM(MID(SUBSTITUTE($V169,";",REPT(" ",99)),397,99)))+1,99)),0) + IFERROR(VLOOKUP(LEFT(TRIM(MID(SUBSTITUTE($V169,";",REPT(" ",99)),496,99)),FIND(":",TRIM(MID(SUBSTITUTE($V169,";",REPT(" ",99)),496,99)))-1),Materiales!$A$2:$E$502,5,FALSE)*VALUE(MID(TRIM(MID(SUBSTITUTE($V169,";",REPT(" ",99)),496,99)),FIND(":",TRIM(MID(SUBSTITUTE($V169,";",REPT(" ",99)),496,99)))+1,99)),0) + IFERROR(VLOOKUP(LEFT(TRIM(MID(SUBSTITUTE($V169,";",REPT(" ",99)),595,99)),FIND(":",TRIM(MID(SUBSTITUTE($V169,";",REPT(" ",99)),595,99)))-1),Materiales!$A$2:$E$502,5,FALSE)*VALUE(MID(TRIM(MID(SUBSTITUTE($V169,";",REPT(" ",99)),595,99)),FIND(":",TRIM(MID(SUBSTITUTE($V169,";",REPT(" ",99)),595,99)))+1,99)),0) + IFERROR(VLOOKUP(LEFT(TRIM(MID(SUBSTITUTE($V169,";",REPT(" ",99)),694,99)),FIND(":",TRIM(MID(SUBSTITUTE($V169,";",REPT(" ",99)),694,99)))-1),Materiales!$A$2:$E$502,5,FALSE)*VALUE(MID(TRIM(MID(SUBSTITUTE($V169,";",REPT(" ",99)),694,99)),FIND(":",TRIM(MID(SUBSTITUTE($V169,";",REPT(" ",99)),694,99)))+1,99)),0) + IFERROR(VLOOKUP(LEFT(TRIM(MID(SUBSTITUTE($V169,";",REPT(" ",99)),793,99)),FIND(":",TRIM(MID(SUBSTITUTE($V169,";",REPT(" ",99)),793,99)))-1),Materiales!$A$2:$E$502,5,FALSE)*VALUE(MID(TRIM(MID(SUBSTITUTE($V169,";",REPT(" ",99)),793,99)),FIND(":",TRIM(MID(SUBSTITUTE($V169,";",REPT(" ",99)),793,99)))+1,99)),0) + IFERROR(VLOOKUP(LEFT(TRIM(MID(SUBSTITUTE($V169,";",REPT(" ",99)),892,99)),FIND(":",TRIM(MID(SUBSTITUTE($V169,";",REPT(" ",99)),892,99)))-1),Materiales!$A$2:$E$502,5,FALSE)*VALUE(MID(TRIM(MID(SUBSTITUTE($V169,";",REPT(" ",99)),892,99)),FIND(":",TRIM(MID(SUBSTITUTE($V169,";",REPT(" ",99)),892,99)))+1,99)),0)))</f>
        <v/>
      </c>
      <c r="X169" s="39" t="str">
        <f t="shared" si="21"/>
        <v/>
      </c>
      <c r="Y169" s="64"/>
      <c r="Z169" s="67"/>
      <c r="AA169" s="65"/>
      <c r="AB169" s="14"/>
      <c r="AC169" s="66"/>
      <c r="AD169" s="65"/>
      <c r="AE169" s="44"/>
      <c r="AF169" s="45" t="str">
        <f t="shared" si="20"/>
        <v>#DIV/0!</v>
      </c>
    </row>
    <row r="170" ht="15.75" customHeight="1">
      <c r="A170" s="3"/>
      <c r="B170" s="3"/>
      <c r="C170" s="38"/>
      <c r="D170" s="38"/>
      <c r="E170" s="38"/>
      <c r="F170" s="14"/>
      <c r="G170" s="5" t="str">
        <f t="array" ref="G170">IF($A170="","",IFERROR($F170*(N($C170)*XLOOKUP($B170,Ceras!$A$2:$A$500,Ceras!$G$2:$G$500,0)+IF($D170="",0,N($E170)*XLOOKUP($D170,Ceras!$A$2:$A$500,Ceras!$G$2:$G$500,0))),"Revisar cera"))</f>
        <v/>
      </c>
      <c r="H170" s="5"/>
      <c r="I170" s="3"/>
      <c r="J170" s="14"/>
      <c r="K170" s="5" t="str">
        <f t="array" ref="K170">IF($A170="","",IFERROR($J170*XLOOKUP($I170,Pabilos!$A$2:$A$500,Pabilos!$H$2:$H$500,0),"Revisar pabilo"))</f>
        <v/>
      </c>
      <c r="L170" s="3"/>
      <c r="M170" s="14"/>
      <c r="N170" s="5" t="str">
        <f t="array" ref="N170">IF($A170="","",IFERROR($M170*XLOOKUP($L170,Esencias!$A$2:$A$501,Esencias!$G$2:$G$501,0),"Revisar esencia"))</f>
        <v/>
      </c>
      <c r="O170" s="3"/>
      <c r="P170" s="14"/>
      <c r="Q170" s="5" t="str">
        <f t="array" ref="Q170">IF($A170="","",IFERROR(IF($P170="",1,$P170)*XLOOKUP($O170,Colores!$A$2:$A$500,Colores!$H$2:$H$500,0),"Revisar color"))</f>
        <v/>
      </c>
      <c r="R170" s="3"/>
      <c r="S170" s="5" t="str">
        <f t="array" ref="S170">IF($A170="","",IF($R170="",0,IFERROR(VLOOKUP(LEFT(TRIM(MID(SUBSTITUTE($R170,";",REPT(" ",99)),1,99)),FIND(":",TRIM(MID(SUBSTITUTE($R170,";",REPT(" ",99)),1,99)))-1),Materiales!$A$2:$E$502,5,FALSE)*VALUE(MID(TRIM(MID(SUBSTITUTE($R170,";",REPT(" ",99)),1,99)),FIND(":",TRIM(MID(SUBSTITUTE($R170,";",REPT(" ",99)),1,99)))+1,99)),0) + IFERROR(VLOOKUP(LEFT(TRIM(MID(SUBSTITUTE($R170,";",REPT(" ",99)),100,99)),FIND(":",TRIM(MID(SUBSTITUTE($R170,";",REPT(" ",99)),100,99)))-1),Materiales!$A$2:$E$502,5,FALSE)*VALUE(MID(TRIM(MID(SUBSTITUTE($R170,";",REPT(" ",99)),100,99)),FIND(":",TRIM(MID(SUBSTITUTE($R170,";",REPT(" ",99)),100,99)))+1,99)),0) + IFERROR(VLOOKUP(LEFT(TRIM(MID(SUBSTITUTE($R170,";",REPT(" ",99)),199,99)),FIND(":",TRIM(MID(SUBSTITUTE($R170,";",REPT(" ",99)),199,99)))-1),Materiales!$A$2:$E$502,5,FALSE)*VALUE(MID(TRIM(MID(SUBSTITUTE($R170,";",REPT(" ",99)),199,99)),FIND(":",TRIM(MID(SUBSTITUTE($R170,";",REPT(" ",99)),199,99)))+1,99)),0) + IFERROR(VLOOKUP(LEFT(TRIM(MID(SUBSTITUTE($R170,";",REPT(" ",99)),298,99)),FIND(":",TRIM(MID(SUBSTITUTE($R170,";",REPT(" ",99)),298,99)))-1),Materiales!$A$2:$E$502,5,FALSE)*VALUE(MID(TRIM(MID(SUBSTITUTE($R170,";",REPT(" ",99)),298,99)),FIND(":",TRIM(MID(SUBSTITUTE($R170,";",REPT(" ",99)),298,99)))+1,99)),0) + IFERROR(VLOOKUP(LEFT(TRIM(MID(SUBSTITUTE($R170,";",REPT(" ",99)),397,99)),FIND(":",TRIM(MID(SUBSTITUTE($R170,";",REPT(" ",99)),397,99)))-1),Materiales!$A$2:$E$502,5,FALSE)*VALUE(MID(TRIM(MID(SUBSTITUTE($R170,";",REPT(" ",99)),397,99)),FIND(":",TRIM(MID(SUBSTITUTE($R170,";",REPT(" ",99)),397,99)))+1,99)),0) + IFERROR(VLOOKUP(LEFT(TRIM(MID(SUBSTITUTE($R170,";",REPT(" ",99)),496,99)),FIND(":",TRIM(MID(SUBSTITUTE($R170,";",REPT(" ",99)),496,99)))-1),Materiales!$A$2:$E$502,5,FALSE)*VALUE(MID(TRIM(MID(SUBSTITUTE($R170,";",REPT(" ",99)),496,99)),FIND(":",TRIM(MID(SUBSTITUTE($R170,";",REPT(" ",99)),496,99)))+1,99)),0) + IFERROR(VLOOKUP(LEFT(TRIM(MID(SUBSTITUTE($R170,";",REPT(" ",99)),595,99)),FIND(":",TRIM(MID(SUBSTITUTE($R170,";",REPT(" ",99)),595,99)))-1),Materiales!$A$2:$E$502,5,FALSE)*VALUE(MID(TRIM(MID(SUBSTITUTE($R170,";",REPT(" ",99)),595,99)),FIND(":",TRIM(MID(SUBSTITUTE($R170,";",REPT(" ",99)),595,99)))+1,99)),0) + IFERROR(VLOOKUP(LEFT(TRIM(MID(SUBSTITUTE($R170,";",REPT(" ",99)),694,99)),FIND(":",TRIM(MID(SUBSTITUTE($R170,";",REPT(" ",99)),694,99)))-1),Materiales!$A$2:$E$502,5,FALSE)*VALUE(MID(TRIM(MID(SUBSTITUTE($R170,";",REPT(" ",99)),694,99)),FIND(":",TRIM(MID(SUBSTITUTE($R170,";",REPT(" ",99)),694,99)))+1,99)),0) + IFERROR(VLOOKUP(LEFT(TRIM(MID(SUBSTITUTE($R170,";",REPT(" ",99)),793,99)),FIND(":",TRIM(MID(SUBSTITUTE($R170,";",REPT(" ",99)),793,99)))-1),Materiales!$A$2:$E$502,5,FALSE)*VALUE(MID(TRIM(MID(SUBSTITUTE($R170,";",REPT(" ",99)),793,99)),FIND(":",TRIM(MID(SUBSTITUTE($R170,";",REPT(" ",99)),793,99)))+1,99)),0) + IFERROR(VLOOKUP(LEFT(TRIM(MID(SUBSTITUTE($R170,";",REPT(" ",99)),892,99)),FIND(":",TRIM(MID(SUBSTITUTE($R170,";",REPT(" ",99)),892,99)))-1),Materiales!$A$2:$E$502,5,FALSE)*VALUE(MID(TRIM(MID(SUBSTITUTE($R170,";",REPT(" ",99)),892,99)),FIND(":",TRIM(MID(SUBSTITUTE($R170,";",REPT(" ",99)),892,99)))+1,99)),0)))</f>
        <v/>
      </c>
      <c r="T170" s="3"/>
      <c r="U170" s="5" t="str">
        <f t="array" ref="U170">IF($A170="","",IF($T170="",0,IFERROR(VLOOKUP(LEFT(TRIM(MID(SUBSTITUTE($T170,";",REPT(" ",99)),1,99)),FIND(":",TRIM(MID(SUBSTITUTE($T170,";",REPT(" ",99)),1,99)))-1),Materiales!$A$2:$E$502,5,FALSE)*VALUE(MID(TRIM(MID(SUBSTITUTE($T170,";",REPT(" ",99)),1,99)),FIND(":",TRIM(MID(SUBSTITUTE($T170,";",REPT(" ",99)),1,99)))+1,99)),0) + IFERROR(VLOOKUP(LEFT(TRIM(MID(SUBSTITUTE($T170,";",REPT(" ",99)),100,99)),FIND(":",TRIM(MID(SUBSTITUTE($T170,";",REPT(" ",99)),100,99)))-1),Materiales!$A$2:$E$502,5,FALSE)*VALUE(MID(TRIM(MID(SUBSTITUTE($T170,";",REPT(" ",99)),100,99)),FIND(":",TRIM(MID(SUBSTITUTE($T170,";",REPT(" ",99)),100,99)))+1,99)),0) + IFERROR(VLOOKUP(LEFT(TRIM(MID(SUBSTITUTE($T170,";",REPT(" ",99)),199,99)),FIND(":",TRIM(MID(SUBSTITUTE($T170,";",REPT(" ",99)),199,99)))-1),Materiales!$A$2:$E$502,5,FALSE)*VALUE(MID(TRIM(MID(SUBSTITUTE($T170,";",REPT(" ",99)),199,99)),FIND(":",TRIM(MID(SUBSTITUTE($T170,";",REPT(" ",99)),199,99)))+1,99)),0) + IFERROR(VLOOKUP(LEFT(TRIM(MID(SUBSTITUTE($T170,";",REPT(" ",99)),298,99)),FIND(":",TRIM(MID(SUBSTITUTE($T170,";",REPT(" ",99)),298,99)))-1),Materiales!$A$2:$E$502,5,FALSE)*VALUE(MID(TRIM(MID(SUBSTITUTE($T170,";",REPT(" ",99)),298,99)),FIND(":",TRIM(MID(SUBSTITUTE($T170,";",REPT(" ",99)),298,99)))+1,99)),0) + IFERROR(VLOOKUP(LEFT(TRIM(MID(SUBSTITUTE($T170,";",REPT(" ",99)),397,99)),FIND(":",TRIM(MID(SUBSTITUTE($T170,";",REPT(" ",99)),397,99)))-1),Materiales!$A$2:$E$502,5,FALSE)*VALUE(MID(TRIM(MID(SUBSTITUTE($T170,";",REPT(" ",99)),397,99)),FIND(":",TRIM(MID(SUBSTITUTE($T170,";",REPT(" ",99)),397,99)))+1,99)),0) + IFERROR(VLOOKUP(LEFT(TRIM(MID(SUBSTITUTE($T170,";",REPT(" ",99)),496,99)),FIND(":",TRIM(MID(SUBSTITUTE($T170,";",REPT(" ",99)),496,99)))-1),Materiales!$A$2:$E$502,5,FALSE)*VALUE(MID(TRIM(MID(SUBSTITUTE($T170,";",REPT(" ",99)),496,99)),FIND(":",TRIM(MID(SUBSTITUTE($T170,";",REPT(" ",99)),496,99)))+1,99)),0) + IFERROR(VLOOKUP(LEFT(TRIM(MID(SUBSTITUTE($T170,";",REPT(" ",99)),595,99)),FIND(":",TRIM(MID(SUBSTITUTE($T170,";",REPT(" ",99)),595,99)))-1),Materiales!$A$2:$E$502,5,FALSE)*VALUE(MID(TRIM(MID(SUBSTITUTE($T170,";",REPT(" ",99)),595,99)),FIND(":",TRIM(MID(SUBSTITUTE($T170,";",REPT(" ",99)),595,99)))+1,99)),0) + IFERROR(VLOOKUP(LEFT(TRIM(MID(SUBSTITUTE($T170,";",REPT(" ",99)),694,99)),FIND(":",TRIM(MID(SUBSTITUTE($T170,";",REPT(" ",99)),694,99)))-1),Materiales!$A$2:$E$502,5,FALSE)*VALUE(MID(TRIM(MID(SUBSTITUTE($T170,";",REPT(" ",99)),694,99)),FIND(":",TRIM(MID(SUBSTITUTE($T170,";",REPT(" ",99)),694,99)))+1,99)),0) + IFERROR(VLOOKUP(LEFT(TRIM(MID(SUBSTITUTE($T170,";",REPT(" ",99)),793,99)),FIND(":",TRIM(MID(SUBSTITUTE($T170,";",REPT(" ",99)),793,99)))-1),Materiales!$A$2:$E$502,5,FALSE)*VALUE(MID(TRIM(MID(SUBSTITUTE($T170,";",REPT(" ",99)),793,99)),FIND(":",TRIM(MID(SUBSTITUTE($T170,";",REPT(" ",99)),793,99)))+1,99)),0) + IFERROR(VLOOKUP(LEFT(TRIM(MID(SUBSTITUTE($T170,";",REPT(" ",99)),892,99)),FIND(":",TRIM(MID(SUBSTITUTE($T170,";",REPT(" ",99)),892,99)))-1),Materiales!$A$2:$E$502,5,FALSE)*VALUE(MID(TRIM(MID(SUBSTITUTE($T170,";",REPT(" ",99)),892,99)),FIND(":",TRIM(MID(SUBSTITUTE($T170,";",REPT(" ",99)),892,99)))+1,99)),0)))</f>
        <v/>
      </c>
      <c r="V170" s="3"/>
      <c r="W170" s="5" t="str">
        <f t="array" ref="W170">IF($A170="","",IF($V170="",0,IFERROR(VLOOKUP(LEFT(TRIM(MID(SUBSTITUTE($V170,";",REPT(" ",99)),1,99)),FIND(":",TRIM(MID(SUBSTITUTE($V170,";",REPT(" ",99)),1,99)))-1),Materiales!$A$2:$E$502,5,FALSE)*VALUE(MID(TRIM(MID(SUBSTITUTE($V170,";",REPT(" ",99)),1,99)),FIND(":",TRIM(MID(SUBSTITUTE($V170,";",REPT(" ",99)),1,99)))+1,99)),0) + IFERROR(VLOOKUP(LEFT(TRIM(MID(SUBSTITUTE($V170,";",REPT(" ",99)),100,99)),FIND(":",TRIM(MID(SUBSTITUTE($V170,";",REPT(" ",99)),100,99)))-1),Materiales!$A$2:$E$502,5,FALSE)*VALUE(MID(TRIM(MID(SUBSTITUTE($V170,";",REPT(" ",99)),100,99)),FIND(":",TRIM(MID(SUBSTITUTE($V170,";",REPT(" ",99)),100,99)))+1,99)),0) + IFERROR(VLOOKUP(LEFT(TRIM(MID(SUBSTITUTE($V170,";",REPT(" ",99)),199,99)),FIND(":",TRIM(MID(SUBSTITUTE($V170,";",REPT(" ",99)),199,99)))-1),Materiales!$A$2:$E$502,5,FALSE)*VALUE(MID(TRIM(MID(SUBSTITUTE($V170,";",REPT(" ",99)),199,99)),FIND(":",TRIM(MID(SUBSTITUTE($V170,";",REPT(" ",99)),199,99)))+1,99)),0) + IFERROR(VLOOKUP(LEFT(TRIM(MID(SUBSTITUTE($V170,";",REPT(" ",99)),298,99)),FIND(":",TRIM(MID(SUBSTITUTE($V170,";",REPT(" ",99)),298,99)))-1),Materiales!$A$2:$E$502,5,FALSE)*VALUE(MID(TRIM(MID(SUBSTITUTE($V170,";",REPT(" ",99)),298,99)),FIND(":",TRIM(MID(SUBSTITUTE($V170,";",REPT(" ",99)),298,99)))+1,99)),0) + IFERROR(VLOOKUP(LEFT(TRIM(MID(SUBSTITUTE($V170,";",REPT(" ",99)),397,99)),FIND(":",TRIM(MID(SUBSTITUTE($V170,";",REPT(" ",99)),397,99)))-1),Materiales!$A$2:$E$502,5,FALSE)*VALUE(MID(TRIM(MID(SUBSTITUTE($V170,";",REPT(" ",99)),397,99)),FIND(":",TRIM(MID(SUBSTITUTE($V170,";",REPT(" ",99)),397,99)))+1,99)),0) + IFERROR(VLOOKUP(LEFT(TRIM(MID(SUBSTITUTE($V170,";",REPT(" ",99)),496,99)),FIND(":",TRIM(MID(SUBSTITUTE($V170,";",REPT(" ",99)),496,99)))-1),Materiales!$A$2:$E$502,5,FALSE)*VALUE(MID(TRIM(MID(SUBSTITUTE($V170,";",REPT(" ",99)),496,99)),FIND(":",TRIM(MID(SUBSTITUTE($V170,";",REPT(" ",99)),496,99)))+1,99)),0) + IFERROR(VLOOKUP(LEFT(TRIM(MID(SUBSTITUTE($V170,";",REPT(" ",99)),595,99)),FIND(":",TRIM(MID(SUBSTITUTE($V170,";",REPT(" ",99)),595,99)))-1),Materiales!$A$2:$E$502,5,FALSE)*VALUE(MID(TRIM(MID(SUBSTITUTE($V170,";",REPT(" ",99)),595,99)),FIND(":",TRIM(MID(SUBSTITUTE($V170,";",REPT(" ",99)),595,99)))+1,99)),0) + IFERROR(VLOOKUP(LEFT(TRIM(MID(SUBSTITUTE($V170,";",REPT(" ",99)),694,99)),FIND(":",TRIM(MID(SUBSTITUTE($V170,";",REPT(" ",99)),694,99)))-1),Materiales!$A$2:$E$502,5,FALSE)*VALUE(MID(TRIM(MID(SUBSTITUTE($V170,";",REPT(" ",99)),694,99)),FIND(":",TRIM(MID(SUBSTITUTE($V170,";",REPT(" ",99)),694,99)))+1,99)),0) + IFERROR(VLOOKUP(LEFT(TRIM(MID(SUBSTITUTE($V170,";",REPT(" ",99)),793,99)),FIND(":",TRIM(MID(SUBSTITUTE($V170,";",REPT(" ",99)),793,99)))-1),Materiales!$A$2:$E$502,5,FALSE)*VALUE(MID(TRIM(MID(SUBSTITUTE($V170,";",REPT(" ",99)),793,99)),FIND(":",TRIM(MID(SUBSTITUTE($V170,";",REPT(" ",99)),793,99)))+1,99)),0) + IFERROR(VLOOKUP(LEFT(TRIM(MID(SUBSTITUTE($V170,";",REPT(" ",99)),892,99)),FIND(":",TRIM(MID(SUBSTITUTE($V170,";",REPT(" ",99)),892,99)))-1),Materiales!$A$2:$E$502,5,FALSE)*VALUE(MID(TRIM(MID(SUBSTITUTE($V170,";",REPT(" ",99)),892,99)),FIND(":",TRIM(MID(SUBSTITUTE($V170,";",REPT(" ",99)),892,99)))+1,99)),0)))</f>
        <v/>
      </c>
      <c r="X170" s="39" t="str">
        <f t="shared" si="21"/>
        <v/>
      </c>
      <c r="Y170" s="64"/>
      <c r="Z170" s="67"/>
      <c r="AA170" s="65"/>
      <c r="AB170" s="14"/>
      <c r="AC170" s="66"/>
      <c r="AD170" s="65"/>
      <c r="AE170" s="44"/>
      <c r="AF170" s="45" t="str">
        <f t="shared" si="20"/>
        <v>#DIV/0!</v>
      </c>
    </row>
    <row r="171" ht="15.75" customHeight="1">
      <c r="A171" s="3"/>
      <c r="B171" s="3"/>
      <c r="C171" s="38"/>
      <c r="D171" s="38"/>
      <c r="E171" s="38"/>
      <c r="F171" s="14"/>
      <c r="G171" s="5" t="str">
        <f t="array" ref="G171">IF($A171="","",IFERROR($F171*(N($C171)*XLOOKUP($B171,Ceras!$A$2:$A$500,Ceras!$G$2:$G$500,0)+IF($D171="",0,N($E171)*XLOOKUP($D171,Ceras!$A$2:$A$500,Ceras!$G$2:$G$500,0))),"Revisar cera"))</f>
        <v/>
      </c>
      <c r="H171" s="5"/>
      <c r="I171" s="3"/>
      <c r="J171" s="14"/>
      <c r="K171" s="5" t="str">
        <f t="array" ref="K171">IF($A171="","",IFERROR($J171*XLOOKUP($I171,Pabilos!$A$2:$A$500,Pabilos!$H$2:$H$500,0),"Revisar pabilo"))</f>
        <v/>
      </c>
      <c r="L171" s="3"/>
      <c r="M171" s="14"/>
      <c r="N171" s="5" t="str">
        <f t="array" ref="N171">IF($A171="","",IFERROR($M171*XLOOKUP($L171,Esencias!$A$2:$A$501,Esencias!$G$2:$G$501,0),"Revisar esencia"))</f>
        <v/>
      </c>
      <c r="O171" s="3"/>
      <c r="P171" s="14"/>
      <c r="Q171" s="5" t="str">
        <f t="array" ref="Q171">IF($A171="","",IFERROR(IF($P171="",1,$P171)*XLOOKUP($O171,Colores!$A$2:$A$500,Colores!$H$2:$H$500,0),"Revisar color"))</f>
        <v/>
      </c>
      <c r="R171" s="3"/>
      <c r="S171" s="5" t="str">
        <f t="array" ref="S171">IF($A171="","",IF($R171="",0,IFERROR(VLOOKUP(LEFT(TRIM(MID(SUBSTITUTE($R171,";",REPT(" ",99)),1,99)),FIND(":",TRIM(MID(SUBSTITUTE($R171,";",REPT(" ",99)),1,99)))-1),Materiales!$A$2:$E$502,5,FALSE)*VALUE(MID(TRIM(MID(SUBSTITUTE($R171,";",REPT(" ",99)),1,99)),FIND(":",TRIM(MID(SUBSTITUTE($R171,";",REPT(" ",99)),1,99)))+1,99)),0) + IFERROR(VLOOKUP(LEFT(TRIM(MID(SUBSTITUTE($R171,";",REPT(" ",99)),100,99)),FIND(":",TRIM(MID(SUBSTITUTE($R171,";",REPT(" ",99)),100,99)))-1),Materiales!$A$2:$E$502,5,FALSE)*VALUE(MID(TRIM(MID(SUBSTITUTE($R171,";",REPT(" ",99)),100,99)),FIND(":",TRIM(MID(SUBSTITUTE($R171,";",REPT(" ",99)),100,99)))+1,99)),0) + IFERROR(VLOOKUP(LEFT(TRIM(MID(SUBSTITUTE($R171,";",REPT(" ",99)),199,99)),FIND(":",TRIM(MID(SUBSTITUTE($R171,";",REPT(" ",99)),199,99)))-1),Materiales!$A$2:$E$502,5,FALSE)*VALUE(MID(TRIM(MID(SUBSTITUTE($R171,";",REPT(" ",99)),199,99)),FIND(":",TRIM(MID(SUBSTITUTE($R171,";",REPT(" ",99)),199,99)))+1,99)),0) + IFERROR(VLOOKUP(LEFT(TRIM(MID(SUBSTITUTE($R171,";",REPT(" ",99)),298,99)),FIND(":",TRIM(MID(SUBSTITUTE($R171,";",REPT(" ",99)),298,99)))-1),Materiales!$A$2:$E$502,5,FALSE)*VALUE(MID(TRIM(MID(SUBSTITUTE($R171,";",REPT(" ",99)),298,99)),FIND(":",TRIM(MID(SUBSTITUTE($R171,";",REPT(" ",99)),298,99)))+1,99)),0) + IFERROR(VLOOKUP(LEFT(TRIM(MID(SUBSTITUTE($R171,";",REPT(" ",99)),397,99)),FIND(":",TRIM(MID(SUBSTITUTE($R171,";",REPT(" ",99)),397,99)))-1),Materiales!$A$2:$E$502,5,FALSE)*VALUE(MID(TRIM(MID(SUBSTITUTE($R171,";",REPT(" ",99)),397,99)),FIND(":",TRIM(MID(SUBSTITUTE($R171,";",REPT(" ",99)),397,99)))+1,99)),0) + IFERROR(VLOOKUP(LEFT(TRIM(MID(SUBSTITUTE($R171,";",REPT(" ",99)),496,99)),FIND(":",TRIM(MID(SUBSTITUTE($R171,";",REPT(" ",99)),496,99)))-1),Materiales!$A$2:$E$502,5,FALSE)*VALUE(MID(TRIM(MID(SUBSTITUTE($R171,";",REPT(" ",99)),496,99)),FIND(":",TRIM(MID(SUBSTITUTE($R171,";",REPT(" ",99)),496,99)))+1,99)),0) + IFERROR(VLOOKUP(LEFT(TRIM(MID(SUBSTITUTE($R171,";",REPT(" ",99)),595,99)),FIND(":",TRIM(MID(SUBSTITUTE($R171,";",REPT(" ",99)),595,99)))-1),Materiales!$A$2:$E$502,5,FALSE)*VALUE(MID(TRIM(MID(SUBSTITUTE($R171,";",REPT(" ",99)),595,99)),FIND(":",TRIM(MID(SUBSTITUTE($R171,";",REPT(" ",99)),595,99)))+1,99)),0) + IFERROR(VLOOKUP(LEFT(TRIM(MID(SUBSTITUTE($R171,";",REPT(" ",99)),694,99)),FIND(":",TRIM(MID(SUBSTITUTE($R171,";",REPT(" ",99)),694,99)))-1),Materiales!$A$2:$E$502,5,FALSE)*VALUE(MID(TRIM(MID(SUBSTITUTE($R171,";",REPT(" ",99)),694,99)),FIND(":",TRIM(MID(SUBSTITUTE($R171,";",REPT(" ",99)),694,99)))+1,99)),0) + IFERROR(VLOOKUP(LEFT(TRIM(MID(SUBSTITUTE($R171,";",REPT(" ",99)),793,99)),FIND(":",TRIM(MID(SUBSTITUTE($R171,";",REPT(" ",99)),793,99)))-1),Materiales!$A$2:$E$502,5,FALSE)*VALUE(MID(TRIM(MID(SUBSTITUTE($R171,";",REPT(" ",99)),793,99)),FIND(":",TRIM(MID(SUBSTITUTE($R171,";",REPT(" ",99)),793,99)))+1,99)),0) + IFERROR(VLOOKUP(LEFT(TRIM(MID(SUBSTITUTE($R171,";",REPT(" ",99)),892,99)),FIND(":",TRIM(MID(SUBSTITUTE($R171,";",REPT(" ",99)),892,99)))-1),Materiales!$A$2:$E$502,5,FALSE)*VALUE(MID(TRIM(MID(SUBSTITUTE($R171,";",REPT(" ",99)),892,99)),FIND(":",TRIM(MID(SUBSTITUTE($R171,";",REPT(" ",99)),892,99)))+1,99)),0)))</f>
        <v/>
      </c>
      <c r="T171" s="3"/>
      <c r="U171" s="5" t="str">
        <f t="array" ref="U171">IF($A171="","",IF($T171="",0,IFERROR(VLOOKUP(LEFT(TRIM(MID(SUBSTITUTE($T171,";",REPT(" ",99)),1,99)),FIND(":",TRIM(MID(SUBSTITUTE($T171,";",REPT(" ",99)),1,99)))-1),Materiales!$A$2:$E$502,5,FALSE)*VALUE(MID(TRIM(MID(SUBSTITUTE($T171,";",REPT(" ",99)),1,99)),FIND(":",TRIM(MID(SUBSTITUTE($T171,";",REPT(" ",99)),1,99)))+1,99)),0) + IFERROR(VLOOKUP(LEFT(TRIM(MID(SUBSTITUTE($T171,";",REPT(" ",99)),100,99)),FIND(":",TRIM(MID(SUBSTITUTE($T171,";",REPT(" ",99)),100,99)))-1),Materiales!$A$2:$E$502,5,FALSE)*VALUE(MID(TRIM(MID(SUBSTITUTE($T171,";",REPT(" ",99)),100,99)),FIND(":",TRIM(MID(SUBSTITUTE($T171,";",REPT(" ",99)),100,99)))+1,99)),0) + IFERROR(VLOOKUP(LEFT(TRIM(MID(SUBSTITUTE($T171,";",REPT(" ",99)),199,99)),FIND(":",TRIM(MID(SUBSTITUTE($T171,";",REPT(" ",99)),199,99)))-1),Materiales!$A$2:$E$502,5,FALSE)*VALUE(MID(TRIM(MID(SUBSTITUTE($T171,";",REPT(" ",99)),199,99)),FIND(":",TRIM(MID(SUBSTITUTE($T171,";",REPT(" ",99)),199,99)))+1,99)),0) + IFERROR(VLOOKUP(LEFT(TRIM(MID(SUBSTITUTE($T171,";",REPT(" ",99)),298,99)),FIND(":",TRIM(MID(SUBSTITUTE($T171,";",REPT(" ",99)),298,99)))-1),Materiales!$A$2:$E$502,5,FALSE)*VALUE(MID(TRIM(MID(SUBSTITUTE($T171,";",REPT(" ",99)),298,99)),FIND(":",TRIM(MID(SUBSTITUTE($T171,";",REPT(" ",99)),298,99)))+1,99)),0) + IFERROR(VLOOKUP(LEFT(TRIM(MID(SUBSTITUTE($T171,";",REPT(" ",99)),397,99)),FIND(":",TRIM(MID(SUBSTITUTE($T171,";",REPT(" ",99)),397,99)))-1),Materiales!$A$2:$E$502,5,FALSE)*VALUE(MID(TRIM(MID(SUBSTITUTE($T171,";",REPT(" ",99)),397,99)),FIND(":",TRIM(MID(SUBSTITUTE($T171,";",REPT(" ",99)),397,99)))+1,99)),0) + IFERROR(VLOOKUP(LEFT(TRIM(MID(SUBSTITUTE($T171,";",REPT(" ",99)),496,99)),FIND(":",TRIM(MID(SUBSTITUTE($T171,";",REPT(" ",99)),496,99)))-1),Materiales!$A$2:$E$502,5,FALSE)*VALUE(MID(TRIM(MID(SUBSTITUTE($T171,";",REPT(" ",99)),496,99)),FIND(":",TRIM(MID(SUBSTITUTE($T171,";",REPT(" ",99)),496,99)))+1,99)),0) + IFERROR(VLOOKUP(LEFT(TRIM(MID(SUBSTITUTE($T171,";",REPT(" ",99)),595,99)),FIND(":",TRIM(MID(SUBSTITUTE($T171,";",REPT(" ",99)),595,99)))-1),Materiales!$A$2:$E$502,5,FALSE)*VALUE(MID(TRIM(MID(SUBSTITUTE($T171,";",REPT(" ",99)),595,99)),FIND(":",TRIM(MID(SUBSTITUTE($T171,";",REPT(" ",99)),595,99)))+1,99)),0) + IFERROR(VLOOKUP(LEFT(TRIM(MID(SUBSTITUTE($T171,";",REPT(" ",99)),694,99)),FIND(":",TRIM(MID(SUBSTITUTE($T171,";",REPT(" ",99)),694,99)))-1),Materiales!$A$2:$E$502,5,FALSE)*VALUE(MID(TRIM(MID(SUBSTITUTE($T171,";",REPT(" ",99)),694,99)),FIND(":",TRIM(MID(SUBSTITUTE($T171,";",REPT(" ",99)),694,99)))+1,99)),0) + IFERROR(VLOOKUP(LEFT(TRIM(MID(SUBSTITUTE($T171,";",REPT(" ",99)),793,99)),FIND(":",TRIM(MID(SUBSTITUTE($T171,";",REPT(" ",99)),793,99)))-1),Materiales!$A$2:$E$502,5,FALSE)*VALUE(MID(TRIM(MID(SUBSTITUTE($T171,";",REPT(" ",99)),793,99)),FIND(":",TRIM(MID(SUBSTITUTE($T171,";",REPT(" ",99)),793,99)))+1,99)),0) + IFERROR(VLOOKUP(LEFT(TRIM(MID(SUBSTITUTE($T171,";",REPT(" ",99)),892,99)),FIND(":",TRIM(MID(SUBSTITUTE($T171,";",REPT(" ",99)),892,99)))-1),Materiales!$A$2:$E$502,5,FALSE)*VALUE(MID(TRIM(MID(SUBSTITUTE($T171,";",REPT(" ",99)),892,99)),FIND(":",TRIM(MID(SUBSTITUTE($T171,";",REPT(" ",99)),892,99)))+1,99)),0)))</f>
        <v/>
      </c>
      <c r="V171" s="3"/>
      <c r="W171" s="5" t="str">
        <f t="array" ref="W171">IF($A171="","",IF($V171="",0,IFERROR(VLOOKUP(LEFT(TRIM(MID(SUBSTITUTE($V171,";",REPT(" ",99)),1,99)),FIND(":",TRIM(MID(SUBSTITUTE($V171,";",REPT(" ",99)),1,99)))-1),Materiales!$A$2:$E$502,5,FALSE)*VALUE(MID(TRIM(MID(SUBSTITUTE($V171,";",REPT(" ",99)),1,99)),FIND(":",TRIM(MID(SUBSTITUTE($V171,";",REPT(" ",99)),1,99)))+1,99)),0) + IFERROR(VLOOKUP(LEFT(TRIM(MID(SUBSTITUTE($V171,";",REPT(" ",99)),100,99)),FIND(":",TRIM(MID(SUBSTITUTE($V171,";",REPT(" ",99)),100,99)))-1),Materiales!$A$2:$E$502,5,FALSE)*VALUE(MID(TRIM(MID(SUBSTITUTE($V171,";",REPT(" ",99)),100,99)),FIND(":",TRIM(MID(SUBSTITUTE($V171,";",REPT(" ",99)),100,99)))+1,99)),0) + IFERROR(VLOOKUP(LEFT(TRIM(MID(SUBSTITUTE($V171,";",REPT(" ",99)),199,99)),FIND(":",TRIM(MID(SUBSTITUTE($V171,";",REPT(" ",99)),199,99)))-1),Materiales!$A$2:$E$502,5,FALSE)*VALUE(MID(TRIM(MID(SUBSTITUTE($V171,";",REPT(" ",99)),199,99)),FIND(":",TRIM(MID(SUBSTITUTE($V171,";",REPT(" ",99)),199,99)))+1,99)),0) + IFERROR(VLOOKUP(LEFT(TRIM(MID(SUBSTITUTE($V171,";",REPT(" ",99)),298,99)),FIND(":",TRIM(MID(SUBSTITUTE($V171,";",REPT(" ",99)),298,99)))-1),Materiales!$A$2:$E$502,5,FALSE)*VALUE(MID(TRIM(MID(SUBSTITUTE($V171,";",REPT(" ",99)),298,99)),FIND(":",TRIM(MID(SUBSTITUTE($V171,";",REPT(" ",99)),298,99)))+1,99)),0) + IFERROR(VLOOKUP(LEFT(TRIM(MID(SUBSTITUTE($V171,";",REPT(" ",99)),397,99)),FIND(":",TRIM(MID(SUBSTITUTE($V171,";",REPT(" ",99)),397,99)))-1),Materiales!$A$2:$E$502,5,FALSE)*VALUE(MID(TRIM(MID(SUBSTITUTE($V171,";",REPT(" ",99)),397,99)),FIND(":",TRIM(MID(SUBSTITUTE($V171,";",REPT(" ",99)),397,99)))+1,99)),0) + IFERROR(VLOOKUP(LEFT(TRIM(MID(SUBSTITUTE($V171,";",REPT(" ",99)),496,99)),FIND(":",TRIM(MID(SUBSTITUTE($V171,";",REPT(" ",99)),496,99)))-1),Materiales!$A$2:$E$502,5,FALSE)*VALUE(MID(TRIM(MID(SUBSTITUTE($V171,";",REPT(" ",99)),496,99)),FIND(":",TRIM(MID(SUBSTITUTE($V171,";",REPT(" ",99)),496,99)))+1,99)),0) + IFERROR(VLOOKUP(LEFT(TRIM(MID(SUBSTITUTE($V171,";",REPT(" ",99)),595,99)),FIND(":",TRIM(MID(SUBSTITUTE($V171,";",REPT(" ",99)),595,99)))-1),Materiales!$A$2:$E$502,5,FALSE)*VALUE(MID(TRIM(MID(SUBSTITUTE($V171,";",REPT(" ",99)),595,99)),FIND(":",TRIM(MID(SUBSTITUTE($V171,";",REPT(" ",99)),595,99)))+1,99)),0) + IFERROR(VLOOKUP(LEFT(TRIM(MID(SUBSTITUTE($V171,";",REPT(" ",99)),694,99)),FIND(":",TRIM(MID(SUBSTITUTE($V171,";",REPT(" ",99)),694,99)))-1),Materiales!$A$2:$E$502,5,FALSE)*VALUE(MID(TRIM(MID(SUBSTITUTE($V171,";",REPT(" ",99)),694,99)),FIND(":",TRIM(MID(SUBSTITUTE($V171,";",REPT(" ",99)),694,99)))+1,99)),0) + IFERROR(VLOOKUP(LEFT(TRIM(MID(SUBSTITUTE($V171,";",REPT(" ",99)),793,99)),FIND(":",TRIM(MID(SUBSTITUTE($V171,";",REPT(" ",99)),793,99)))-1),Materiales!$A$2:$E$502,5,FALSE)*VALUE(MID(TRIM(MID(SUBSTITUTE($V171,";",REPT(" ",99)),793,99)),FIND(":",TRIM(MID(SUBSTITUTE($V171,";",REPT(" ",99)),793,99)))+1,99)),0) + IFERROR(VLOOKUP(LEFT(TRIM(MID(SUBSTITUTE($V171,";",REPT(" ",99)),892,99)),FIND(":",TRIM(MID(SUBSTITUTE($V171,";",REPT(" ",99)),892,99)))-1),Materiales!$A$2:$E$502,5,FALSE)*VALUE(MID(TRIM(MID(SUBSTITUTE($V171,";",REPT(" ",99)),892,99)),FIND(":",TRIM(MID(SUBSTITUTE($V171,";",REPT(" ",99)),892,99)))+1,99)),0)))</f>
        <v/>
      </c>
      <c r="X171" s="39" t="str">
        <f t="shared" si="21"/>
        <v/>
      </c>
      <c r="Y171" s="64"/>
      <c r="Z171" s="67"/>
      <c r="AA171" s="65"/>
      <c r="AB171" s="14"/>
      <c r="AC171" s="66"/>
      <c r="AD171" s="65"/>
      <c r="AE171" s="44"/>
      <c r="AF171" s="45" t="str">
        <f t="shared" si="20"/>
        <v>#DIV/0!</v>
      </c>
    </row>
    <row r="172" ht="15.75" customHeight="1">
      <c r="A172" s="3"/>
      <c r="B172" s="3"/>
      <c r="C172" s="38"/>
      <c r="D172" s="38"/>
      <c r="E172" s="38"/>
      <c r="F172" s="14"/>
      <c r="G172" s="5" t="str">
        <f t="array" ref="G172">IF($A172="","",IFERROR($F172*(N($C172)*XLOOKUP($B172,Ceras!$A$2:$A$500,Ceras!$G$2:$G$500,0)+IF($D172="",0,N($E172)*XLOOKUP($D172,Ceras!$A$2:$A$500,Ceras!$G$2:$G$500,0))),"Revisar cera"))</f>
        <v/>
      </c>
      <c r="H172" s="5"/>
      <c r="I172" s="3"/>
      <c r="J172" s="14"/>
      <c r="K172" s="5" t="str">
        <f t="array" ref="K172">IF($A172="","",IFERROR($J172*XLOOKUP($I172,Pabilos!$A$2:$A$500,Pabilos!$H$2:$H$500,0),"Revisar pabilo"))</f>
        <v/>
      </c>
      <c r="L172" s="3"/>
      <c r="M172" s="14"/>
      <c r="N172" s="5" t="str">
        <f t="array" ref="N172">IF($A172="","",IFERROR($M172*XLOOKUP($L172,Esencias!$A$2:$A$501,Esencias!$G$2:$G$501,0),"Revisar esencia"))</f>
        <v/>
      </c>
      <c r="O172" s="3"/>
      <c r="P172" s="14"/>
      <c r="Q172" s="5" t="str">
        <f t="array" ref="Q172">IF($A172="","",IFERROR(IF($P172="",1,$P172)*XLOOKUP($O172,Colores!$A$2:$A$500,Colores!$H$2:$H$500,0),"Revisar color"))</f>
        <v/>
      </c>
      <c r="R172" s="3"/>
      <c r="S172" s="5" t="str">
        <f t="array" ref="S172">IF($A172="","",IF($R172="",0,IFERROR(VLOOKUP(LEFT(TRIM(MID(SUBSTITUTE($R172,";",REPT(" ",99)),1,99)),FIND(":",TRIM(MID(SUBSTITUTE($R172,";",REPT(" ",99)),1,99)))-1),Materiales!$A$2:$E$502,5,FALSE)*VALUE(MID(TRIM(MID(SUBSTITUTE($R172,";",REPT(" ",99)),1,99)),FIND(":",TRIM(MID(SUBSTITUTE($R172,";",REPT(" ",99)),1,99)))+1,99)),0) + IFERROR(VLOOKUP(LEFT(TRIM(MID(SUBSTITUTE($R172,";",REPT(" ",99)),100,99)),FIND(":",TRIM(MID(SUBSTITUTE($R172,";",REPT(" ",99)),100,99)))-1),Materiales!$A$2:$E$502,5,FALSE)*VALUE(MID(TRIM(MID(SUBSTITUTE($R172,";",REPT(" ",99)),100,99)),FIND(":",TRIM(MID(SUBSTITUTE($R172,";",REPT(" ",99)),100,99)))+1,99)),0) + IFERROR(VLOOKUP(LEFT(TRIM(MID(SUBSTITUTE($R172,";",REPT(" ",99)),199,99)),FIND(":",TRIM(MID(SUBSTITUTE($R172,";",REPT(" ",99)),199,99)))-1),Materiales!$A$2:$E$502,5,FALSE)*VALUE(MID(TRIM(MID(SUBSTITUTE($R172,";",REPT(" ",99)),199,99)),FIND(":",TRIM(MID(SUBSTITUTE($R172,";",REPT(" ",99)),199,99)))+1,99)),0) + IFERROR(VLOOKUP(LEFT(TRIM(MID(SUBSTITUTE($R172,";",REPT(" ",99)),298,99)),FIND(":",TRIM(MID(SUBSTITUTE($R172,";",REPT(" ",99)),298,99)))-1),Materiales!$A$2:$E$502,5,FALSE)*VALUE(MID(TRIM(MID(SUBSTITUTE($R172,";",REPT(" ",99)),298,99)),FIND(":",TRIM(MID(SUBSTITUTE($R172,";",REPT(" ",99)),298,99)))+1,99)),0) + IFERROR(VLOOKUP(LEFT(TRIM(MID(SUBSTITUTE($R172,";",REPT(" ",99)),397,99)),FIND(":",TRIM(MID(SUBSTITUTE($R172,";",REPT(" ",99)),397,99)))-1),Materiales!$A$2:$E$502,5,FALSE)*VALUE(MID(TRIM(MID(SUBSTITUTE($R172,";",REPT(" ",99)),397,99)),FIND(":",TRIM(MID(SUBSTITUTE($R172,";",REPT(" ",99)),397,99)))+1,99)),0) + IFERROR(VLOOKUP(LEFT(TRIM(MID(SUBSTITUTE($R172,";",REPT(" ",99)),496,99)),FIND(":",TRIM(MID(SUBSTITUTE($R172,";",REPT(" ",99)),496,99)))-1),Materiales!$A$2:$E$502,5,FALSE)*VALUE(MID(TRIM(MID(SUBSTITUTE($R172,";",REPT(" ",99)),496,99)),FIND(":",TRIM(MID(SUBSTITUTE($R172,";",REPT(" ",99)),496,99)))+1,99)),0) + IFERROR(VLOOKUP(LEFT(TRIM(MID(SUBSTITUTE($R172,";",REPT(" ",99)),595,99)),FIND(":",TRIM(MID(SUBSTITUTE($R172,";",REPT(" ",99)),595,99)))-1),Materiales!$A$2:$E$502,5,FALSE)*VALUE(MID(TRIM(MID(SUBSTITUTE($R172,";",REPT(" ",99)),595,99)),FIND(":",TRIM(MID(SUBSTITUTE($R172,";",REPT(" ",99)),595,99)))+1,99)),0) + IFERROR(VLOOKUP(LEFT(TRIM(MID(SUBSTITUTE($R172,";",REPT(" ",99)),694,99)),FIND(":",TRIM(MID(SUBSTITUTE($R172,";",REPT(" ",99)),694,99)))-1),Materiales!$A$2:$E$502,5,FALSE)*VALUE(MID(TRIM(MID(SUBSTITUTE($R172,";",REPT(" ",99)),694,99)),FIND(":",TRIM(MID(SUBSTITUTE($R172,";",REPT(" ",99)),694,99)))+1,99)),0) + IFERROR(VLOOKUP(LEFT(TRIM(MID(SUBSTITUTE($R172,";",REPT(" ",99)),793,99)),FIND(":",TRIM(MID(SUBSTITUTE($R172,";",REPT(" ",99)),793,99)))-1),Materiales!$A$2:$E$502,5,FALSE)*VALUE(MID(TRIM(MID(SUBSTITUTE($R172,";",REPT(" ",99)),793,99)),FIND(":",TRIM(MID(SUBSTITUTE($R172,";",REPT(" ",99)),793,99)))+1,99)),0) + IFERROR(VLOOKUP(LEFT(TRIM(MID(SUBSTITUTE($R172,";",REPT(" ",99)),892,99)),FIND(":",TRIM(MID(SUBSTITUTE($R172,";",REPT(" ",99)),892,99)))-1),Materiales!$A$2:$E$502,5,FALSE)*VALUE(MID(TRIM(MID(SUBSTITUTE($R172,";",REPT(" ",99)),892,99)),FIND(":",TRIM(MID(SUBSTITUTE($R172,";",REPT(" ",99)),892,99)))+1,99)),0)))</f>
        <v/>
      </c>
      <c r="T172" s="3"/>
      <c r="U172" s="5" t="str">
        <f t="array" ref="U172">IF($A172="","",IF($T172="",0,IFERROR(VLOOKUP(LEFT(TRIM(MID(SUBSTITUTE($T172,";",REPT(" ",99)),1,99)),FIND(":",TRIM(MID(SUBSTITUTE($T172,";",REPT(" ",99)),1,99)))-1),Materiales!$A$2:$E$502,5,FALSE)*VALUE(MID(TRIM(MID(SUBSTITUTE($T172,";",REPT(" ",99)),1,99)),FIND(":",TRIM(MID(SUBSTITUTE($T172,";",REPT(" ",99)),1,99)))+1,99)),0) + IFERROR(VLOOKUP(LEFT(TRIM(MID(SUBSTITUTE($T172,";",REPT(" ",99)),100,99)),FIND(":",TRIM(MID(SUBSTITUTE($T172,";",REPT(" ",99)),100,99)))-1),Materiales!$A$2:$E$502,5,FALSE)*VALUE(MID(TRIM(MID(SUBSTITUTE($T172,";",REPT(" ",99)),100,99)),FIND(":",TRIM(MID(SUBSTITUTE($T172,";",REPT(" ",99)),100,99)))+1,99)),0) + IFERROR(VLOOKUP(LEFT(TRIM(MID(SUBSTITUTE($T172,";",REPT(" ",99)),199,99)),FIND(":",TRIM(MID(SUBSTITUTE($T172,";",REPT(" ",99)),199,99)))-1),Materiales!$A$2:$E$502,5,FALSE)*VALUE(MID(TRIM(MID(SUBSTITUTE($T172,";",REPT(" ",99)),199,99)),FIND(":",TRIM(MID(SUBSTITUTE($T172,";",REPT(" ",99)),199,99)))+1,99)),0) + IFERROR(VLOOKUP(LEFT(TRIM(MID(SUBSTITUTE($T172,";",REPT(" ",99)),298,99)),FIND(":",TRIM(MID(SUBSTITUTE($T172,";",REPT(" ",99)),298,99)))-1),Materiales!$A$2:$E$502,5,FALSE)*VALUE(MID(TRIM(MID(SUBSTITUTE($T172,";",REPT(" ",99)),298,99)),FIND(":",TRIM(MID(SUBSTITUTE($T172,";",REPT(" ",99)),298,99)))+1,99)),0) + IFERROR(VLOOKUP(LEFT(TRIM(MID(SUBSTITUTE($T172,";",REPT(" ",99)),397,99)),FIND(":",TRIM(MID(SUBSTITUTE($T172,";",REPT(" ",99)),397,99)))-1),Materiales!$A$2:$E$502,5,FALSE)*VALUE(MID(TRIM(MID(SUBSTITUTE($T172,";",REPT(" ",99)),397,99)),FIND(":",TRIM(MID(SUBSTITUTE($T172,";",REPT(" ",99)),397,99)))+1,99)),0) + IFERROR(VLOOKUP(LEFT(TRIM(MID(SUBSTITUTE($T172,";",REPT(" ",99)),496,99)),FIND(":",TRIM(MID(SUBSTITUTE($T172,";",REPT(" ",99)),496,99)))-1),Materiales!$A$2:$E$502,5,FALSE)*VALUE(MID(TRIM(MID(SUBSTITUTE($T172,";",REPT(" ",99)),496,99)),FIND(":",TRIM(MID(SUBSTITUTE($T172,";",REPT(" ",99)),496,99)))+1,99)),0) + IFERROR(VLOOKUP(LEFT(TRIM(MID(SUBSTITUTE($T172,";",REPT(" ",99)),595,99)),FIND(":",TRIM(MID(SUBSTITUTE($T172,";",REPT(" ",99)),595,99)))-1),Materiales!$A$2:$E$502,5,FALSE)*VALUE(MID(TRIM(MID(SUBSTITUTE($T172,";",REPT(" ",99)),595,99)),FIND(":",TRIM(MID(SUBSTITUTE($T172,";",REPT(" ",99)),595,99)))+1,99)),0) + IFERROR(VLOOKUP(LEFT(TRIM(MID(SUBSTITUTE($T172,";",REPT(" ",99)),694,99)),FIND(":",TRIM(MID(SUBSTITUTE($T172,";",REPT(" ",99)),694,99)))-1),Materiales!$A$2:$E$502,5,FALSE)*VALUE(MID(TRIM(MID(SUBSTITUTE($T172,";",REPT(" ",99)),694,99)),FIND(":",TRIM(MID(SUBSTITUTE($T172,";",REPT(" ",99)),694,99)))+1,99)),0) + IFERROR(VLOOKUP(LEFT(TRIM(MID(SUBSTITUTE($T172,";",REPT(" ",99)),793,99)),FIND(":",TRIM(MID(SUBSTITUTE($T172,";",REPT(" ",99)),793,99)))-1),Materiales!$A$2:$E$502,5,FALSE)*VALUE(MID(TRIM(MID(SUBSTITUTE($T172,";",REPT(" ",99)),793,99)),FIND(":",TRIM(MID(SUBSTITUTE($T172,";",REPT(" ",99)),793,99)))+1,99)),0) + IFERROR(VLOOKUP(LEFT(TRIM(MID(SUBSTITUTE($T172,";",REPT(" ",99)),892,99)),FIND(":",TRIM(MID(SUBSTITUTE($T172,";",REPT(" ",99)),892,99)))-1),Materiales!$A$2:$E$502,5,FALSE)*VALUE(MID(TRIM(MID(SUBSTITUTE($T172,";",REPT(" ",99)),892,99)),FIND(":",TRIM(MID(SUBSTITUTE($T172,";",REPT(" ",99)),892,99)))+1,99)),0)))</f>
        <v/>
      </c>
      <c r="V172" s="3"/>
      <c r="W172" s="5" t="str">
        <f t="array" ref="W172">IF($A172="","",IF($V172="",0,IFERROR(VLOOKUP(LEFT(TRIM(MID(SUBSTITUTE($V172,";",REPT(" ",99)),1,99)),FIND(":",TRIM(MID(SUBSTITUTE($V172,";",REPT(" ",99)),1,99)))-1),Materiales!$A$2:$E$502,5,FALSE)*VALUE(MID(TRIM(MID(SUBSTITUTE($V172,";",REPT(" ",99)),1,99)),FIND(":",TRIM(MID(SUBSTITUTE($V172,";",REPT(" ",99)),1,99)))+1,99)),0) + IFERROR(VLOOKUP(LEFT(TRIM(MID(SUBSTITUTE($V172,";",REPT(" ",99)),100,99)),FIND(":",TRIM(MID(SUBSTITUTE($V172,";",REPT(" ",99)),100,99)))-1),Materiales!$A$2:$E$502,5,FALSE)*VALUE(MID(TRIM(MID(SUBSTITUTE($V172,";",REPT(" ",99)),100,99)),FIND(":",TRIM(MID(SUBSTITUTE($V172,";",REPT(" ",99)),100,99)))+1,99)),0) + IFERROR(VLOOKUP(LEFT(TRIM(MID(SUBSTITUTE($V172,";",REPT(" ",99)),199,99)),FIND(":",TRIM(MID(SUBSTITUTE($V172,";",REPT(" ",99)),199,99)))-1),Materiales!$A$2:$E$502,5,FALSE)*VALUE(MID(TRIM(MID(SUBSTITUTE($V172,";",REPT(" ",99)),199,99)),FIND(":",TRIM(MID(SUBSTITUTE($V172,";",REPT(" ",99)),199,99)))+1,99)),0) + IFERROR(VLOOKUP(LEFT(TRIM(MID(SUBSTITUTE($V172,";",REPT(" ",99)),298,99)),FIND(":",TRIM(MID(SUBSTITUTE($V172,";",REPT(" ",99)),298,99)))-1),Materiales!$A$2:$E$502,5,FALSE)*VALUE(MID(TRIM(MID(SUBSTITUTE($V172,";",REPT(" ",99)),298,99)),FIND(":",TRIM(MID(SUBSTITUTE($V172,";",REPT(" ",99)),298,99)))+1,99)),0) + IFERROR(VLOOKUP(LEFT(TRIM(MID(SUBSTITUTE($V172,";",REPT(" ",99)),397,99)),FIND(":",TRIM(MID(SUBSTITUTE($V172,";",REPT(" ",99)),397,99)))-1),Materiales!$A$2:$E$502,5,FALSE)*VALUE(MID(TRIM(MID(SUBSTITUTE($V172,";",REPT(" ",99)),397,99)),FIND(":",TRIM(MID(SUBSTITUTE($V172,";",REPT(" ",99)),397,99)))+1,99)),0) + IFERROR(VLOOKUP(LEFT(TRIM(MID(SUBSTITUTE($V172,";",REPT(" ",99)),496,99)),FIND(":",TRIM(MID(SUBSTITUTE($V172,";",REPT(" ",99)),496,99)))-1),Materiales!$A$2:$E$502,5,FALSE)*VALUE(MID(TRIM(MID(SUBSTITUTE($V172,";",REPT(" ",99)),496,99)),FIND(":",TRIM(MID(SUBSTITUTE($V172,";",REPT(" ",99)),496,99)))+1,99)),0) + IFERROR(VLOOKUP(LEFT(TRIM(MID(SUBSTITUTE($V172,";",REPT(" ",99)),595,99)),FIND(":",TRIM(MID(SUBSTITUTE($V172,";",REPT(" ",99)),595,99)))-1),Materiales!$A$2:$E$502,5,FALSE)*VALUE(MID(TRIM(MID(SUBSTITUTE($V172,";",REPT(" ",99)),595,99)),FIND(":",TRIM(MID(SUBSTITUTE($V172,";",REPT(" ",99)),595,99)))+1,99)),0) + IFERROR(VLOOKUP(LEFT(TRIM(MID(SUBSTITUTE($V172,";",REPT(" ",99)),694,99)),FIND(":",TRIM(MID(SUBSTITUTE($V172,";",REPT(" ",99)),694,99)))-1),Materiales!$A$2:$E$502,5,FALSE)*VALUE(MID(TRIM(MID(SUBSTITUTE($V172,";",REPT(" ",99)),694,99)),FIND(":",TRIM(MID(SUBSTITUTE($V172,";",REPT(" ",99)),694,99)))+1,99)),0) + IFERROR(VLOOKUP(LEFT(TRIM(MID(SUBSTITUTE($V172,";",REPT(" ",99)),793,99)),FIND(":",TRIM(MID(SUBSTITUTE($V172,";",REPT(" ",99)),793,99)))-1),Materiales!$A$2:$E$502,5,FALSE)*VALUE(MID(TRIM(MID(SUBSTITUTE($V172,";",REPT(" ",99)),793,99)),FIND(":",TRIM(MID(SUBSTITUTE($V172,";",REPT(" ",99)),793,99)))+1,99)),0) + IFERROR(VLOOKUP(LEFT(TRIM(MID(SUBSTITUTE($V172,";",REPT(" ",99)),892,99)),FIND(":",TRIM(MID(SUBSTITUTE($V172,";",REPT(" ",99)),892,99)))-1),Materiales!$A$2:$E$502,5,FALSE)*VALUE(MID(TRIM(MID(SUBSTITUTE($V172,";",REPT(" ",99)),892,99)),FIND(":",TRIM(MID(SUBSTITUTE($V172,";",REPT(" ",99)),892,99)))+1,99)),0)))</f>
        <v/>
      </c>
      <c r="X172" s="39" t="str">
        <f t="shared" si="21"/>
        <v/>
      </c>
      <c r="Y172" s="64"/>
      <c r="Z172" s="67"/>
      <c r="AA172" s="65"/>
      <c r="AB172" s="14"/>
      <c r="AC172" s="66"/>
      <c r="AD172" s="65"/>
      <c r="AE172" s="44"/>
      <c r="AF172" s="45" t="str">
        <f t="shared" si="20"/>
        <v>#DIV/0!</v>
      </c>
    </row>
    <row r="173" ht="15.75" customHeight="1">
      <c r="A173" s="3"/>
      <c r="B173" s="3"/>
      <c r="C173" s="38"/>
      <c r="D173" s="38"/>
      <c r="E173" s="38"/>
      <c r="F173" s="14"/>
      <c r="G173" s="5" t="str">
        <f t="array" ref="G173">IF($A173="","",IFERROR($F173*(N($C173)*XLOOKUP($B173,Ceras!$A$2:$A$500,Ceras!$G$2:$G$500,0)+IF($D173="",0,N($E173)*XLOOKUP($D173,Ceras!$A$2:$A$500,Ceras!$G$2:$G$500,0))),"Revisar cera"))</f>
        <v/>
      </c>
      <c r="H173" s="5"/>
      <c r="I173" s="3"/>
      <c r="J173" s="14"/>
      <c r="K173" s="5" t="str">
        <f t="array" ref="K173">IF($A173="","",IFERROR($J173*XLOOKUP($I173,Pabilos!$A$2:$A$500,Pabilos!$H$2:$H$500,0),"Revisar pabilo"))</f>
        <v/>
      </c>
      <c r="L173" s="3"/>
      <c r="M173" s="14"/>
      <c r="N173" s="5" t="str">
        <f t="array" ref="N173">IF($A173="","",IFERROR($M173*XLOOKUP($L173,Esencias!$A$2:$A$501,Esencias!$G$2:$G$501,0),"Revisar esencia"))</f>
        <v/>
      </c>
      <c r="O173" s="3"/>
      <c r="P173" s="14"/>
      <c r="Q173" s="5" t="str">
        <f t="array" ref="Q173">IF($A173="","",IFERROR(IF($P173="",1,$P173)*XLOOKUP($O173,Colores!$A$2:$A$500,Colores!$H$2:$H$500,0),"Revisar color"))</f>
        <v/>
      </c>
      <c r="R173" s="3"/>
      <c r="S173" s="5" t="str">
        <f t="array" ref="S173">IF($A173="","",IF($R173="",0,IFERROR(VLOOKUP(LEFT(TRIM(MID(SUBSTITUTE($R173,";",REPT(" ",99)),1,99)),FIND(":",TRIM(MID(SUBSTITUTE($R173,";",REPT(" ",99)),1,99)))-1),Materiales!$A$2:$E$502,5,FALSE)*VALUE(MID(TRIM(MID(SUBSTITUTE($R173,";",REPT(" ",99)),1,99)),FIND(":",TRIM(MID(SUBSTITUTE($R173,";",REPT(" ",99)),1,99)))+1,99)),0) + IFERROR(VLOOKUP(LEFT(TRIM(MID(SUBSTITUTE($R173,";",REPT(" ",99)),100,99)),FIND(":",TRIM(MID(SUBSTITUTE($R173,";",REPT(" ",99)),100,99)))-1),Materiales!$A$2:$E$502,5,FALSE)*VALUE(MID(TRIM(MID(SUBSTITUTE($R173,";",REPT(" ",99)),100,99)),FIND(":",TRIM(MID(SUBSTITUTE($R173,";",REPT(" ",99)),100,99)))+1,99)),0) + IFERROR(VLOOKUP(LEFT(TRIM(MID(SUBSTITUTE($R173,";",REPT(" ",99)),199,99)),FIND(":",TRIM(MID(SUBSTITUTE($R173,";",REPT(" ",99)),199,99)))-1),Materiales!$A$2:$E$502,5,FALSE)*VALUE(MID(TRIM(MID(SUBSTITUTE($R173,";",REPT(" ",99)),199,99)),FIND(":",TRIM(MID(SUBSTITUTE($R173,";",REPT(" ",99)),199,99)))+1,99)),0) + IFERROR(VLOOKUP(LEFT(TRIM(MID(SUBSTITUTE($R173,";",REPT(" ",99)),298,99)),FIND(":",TRIM(MID(SUBSTITUTE($R173,";",REPT(" ",99)),298,99)))-1),Materiales!$A$2:$E$502,5,FALSE)*VALUE(MID(TRIM(MID(SUBSTITUTE($R173,";",REPT(" ",99)),298,99)),FIND(":",TRIM(MID(SUBSTITUTE($R173,";",REPT(" ",99)),298,99)))+1,99)),0) + IFERROR(VLOOKUP(LEFT(TRIM(MID(SUBSTITUTE($R173,";",REPT(" ",99)),397,99)),FIND(":",TRIM(MID(SUBSTITUTE($R173,";",REPT(" ",99)),397,99)))-1),Materiales!$A$2:$E$502,5,FALSE)*VALUE(MID(TRIM(MID(SUBSTITUTE($R173,";",REPT(" ",99)),397,99)),FIND(":",TRIM(MID(SUBSTITUTE($R173,";",REPT(" ",99)),397,99)))+1,99)),0) + IFERROR(VLOOKUP(LEFT(TRIM(MID(SUBSTITUTE($R173,";",REPT(" ",99)),496,99)),FIND(":",TRIM(MID(SUBSTITUTE($R173,";",REPT(" ",99)),496,99)))-1),Materiales!$A$2:$E$502,5,FALSE)*VALUE(MID(TRIM(MID(SUBSTITUTE($R173,";",REPT(" ",99)),496,99)),FIND(":",TRIM(MID(SUBSTITUTE($R173,";",REPT(" ",99)),496,99)))+1,99)),0) + IFERROR(VLOOKUP(LEFT(TRIM(MID(SUBSTITUTE($R173,";",REPT(" ",99)),595,99)),FIND(":",TRIM(MID(SUBSTITUTE($R173,";",REPT(" ",99)),595,99)))-1),Materiales!$A$2:$E$502,5,FALSE)*VALUE(MID(TRIM(MID(SUBSTITUTE($R173,";",REPT(" ",99)),595,99)),FIND(":",TRIM(MID(SUBSTITUTE($R173,";",REPT(" ",99)),595,99)))+1,99)),0) + IFERROR(VLOOKUP(LEFT(TRIM(MID(SUBSTITUTE($R173,";",REPT(" ",99)),694,99)),FIND(":",TRIM(MID(SUBSTITUTE($R173,";",REPT(" ",99)),694,99)))-1),Materiales!$A$2:$E$502,5,FALSE)*VALUE(MID(TRIM(MID(SUBSTITUTE($R173,";",REPT(" ",99)),694,99)),FIND(":",TRIM(MID(SUBSTITUTE($R173,";",REPT(" ",99)),694,99)))+1,99)),0) + IFERROR(VLOOKUP(LEFT(TRIM(MID(SUBSTITUTE($R173,";",REPT(" ",99)),793,99)),FIND(":",TRIM(MID(SUBSTITUTE($R173,";",REPT(" ",99)),793,99)))-1),Materiales!$A$2:$E$502,5,FALSE)*VALUE(MID(TRIM(MID(SUBSTITUTE($R173,";",REPT(" ",99)),793,99)),FIND(":",TRIM(MID(SUBSTITUTE($R173,";",REPT(" ",99)),793,99)))+1,99)),0) + IFERROR(VLOOKUP(LEFT(TRIM(MID(SUBSTITUTE($R173,";",REPT(" ",99)),892,99)),FIND(":",TRIM(MID(SUBSTITUTE($R173,";",REPT(" ",99)),892,99)))-1),Materiales!$A$2:$E$502,5,FALSE)*VALUE(MID(TRIM(MID(SUBSTITUTE($R173,";",REPT(" ",99)),892,99)),FIND(":",TRIM(MID(SUBSTITUTE($R173,";",REPT(" ",99)),892,99)))+1,99)),0)))</f>
        <v/>
      </c>
      <c r="T173" s="3"/>
      <c r="U173" s="5" t="str">
        <f t="array" ref="U173">IF($A173="","",IF($T173="",0,IFERROR(VLOOKUP(LEFT(TRIM(MID(SUBSTITUTE($T173,";",REPT(" ",99)),1,99)),FIND(":",TRIM(MID(SUBSTITUTE($T173,";",REPT(" ",99)),1,99)))-1),Materiales!$A$2:$E$502,5,FALSE)*VALUE(MID(TRIM(MID(SUBSTITUTE($T173,";",REPT(" ",99)),1,99)),FIND(":",TRIM(MID(SUBSTITUTE($T173,";",REPT(" ",99)),1,99)))+1,99)),0) + IFERROR(VLOOKUP(LEFT(TRIM(MID(SUBSTITUTE($T173,";",REPT(" ",99)),100,99)),FIND(":",TRIM(MID(SUBSTITUTE($T173,";",REPT(" ",99)),100,99)))-1),Materiales!$A$2:$E$502,5,FALSE)*VALUE(MID(TRIM(MID(SUBSTITUTE($T173,";",REPT(" ",99)),100,99)),FIND(":",TRIM(MID(SUBSTITUTE($T173,";",REPT(" ",99)),100,99)))+1,99)),0) + IFERROR(VLOOKUP(LEFT(TRIM(MID(SUBSTITUTE($T173,";",REPT(" ",99)),199,99)),FIND(":",TRIM(MID(SUBSTITUTE($T173,";",REPT(" ",99)),199,99)))-1),Materiales!$A$2:$E$502,5,FALSE)*VALUE(MID(TRIM(MID(SUBSTITUTE($T173,";",REPT(" ",99)),199,99)),FIND(":",TRIM(MID(SUBSTITUTE($T173,";",REPT(" ",99)),199,99)))+1,99)),0) + IFERROR(VLOOKUP(LEFT(TRIM(MID(SUBSTITUTE($T173,";",REPT(" ",99)),298,99)),FIND(":",TRIM(MID(SUBSTITUTE($T173,";",REPT(" ",99)),298,99)))-1),Materiales!$A$2:$E$502,5,FALSE)*VALUE(MID(TRIM(MID(SUBSTITUTE($T173,";",REPT(" ",99)),298,99)),FIND(":",TRIM(MID(SUBSTITUTE($T173,";",REPT(" ",99)),298,99)))+1,99)),0) + IFERROR(VLOOKUP(LEFT(TRIM(MID(SUBSTITUTE($T173,";",REPT(" ",99)),397,99)),FIND(":",TRIM(MID(SUBSTITUTE($T173,";",REPT(" ",99)),397,99)))-1),Materiales!$A$2:$E$502,5,FALSE)*VALUE(MID(TRIM(MID(SUBSTITUTE($T173,";",REPT(" ",99)),397,99)),FIND(":",TRIM(MID(SUBSTITUTE($T173,";",REPT(" ",99)),397,99)))+1,99)),0) + IFERROR(VLOOKUP(LEFT(TRIM(MID(SUBSTITUTE($T173,";",REPT(" ",99)),496,99)),FIND(":",TRIM(MID(SUBSTITUTE($T173,";",REPT(" ",99)),496,99)))-1),Materiales!$A$2:$E$502,5,FALSE)*VALUE(MID(TRIM(MID(SUBSTITUTE($T173,";",REPT(" ",99)),496,99)),FIND(":",TRIM(MID(SUBSTITUTE($T173,";",REPT(" ",99)),496,99)))+1,99)),0) + IFERROR(VLOOKUP(LEFT(TRIM(MID(SUBSTITUTE($T173,";",REPT(" ",99)),595,99)),FIND(":",TRIM(MID(SUBSTITUTE($T173,";",REPT(" ",99)),595,99)))-1),Materiales!$A$2:$E$502,5,FALSE)*VALUE(MID(TRIM(MID(SUBSTITUTE($T173,";",REPT(" ",99)),595,99)),FIND(":",TRIM(MID(SUBSTITUTE($T173,";",REPT(" ",99)),595,99)))+1,99)),0) + IFERROR(VLOOKUP(LEFT(TRIM(MID(SUBSTITUTE($T173,";",REPT(" ",99)),694,99)),FIND(":",TRIM(MID(SUBSTITUTE($T173,";",REPT(" ",99)),694,99)))-1),Materiales!$A$2:$E$502,5,FALSE)*VALUE(MID(TRIM(MID(SUBSTITUTE($T173,";",REPT(" ",99)),694,99)),FIND(":",TRIM(MID(SUBSTITUTE($T173,";",REPT(" ",99)),694,99)))+1,99)),0) + IFERROR(VLOOKUP(LEFT(TRIM(MID(SUBSTITUTE($T173,";",REPT(" ",99)),793,99)),FIND(":",TRIM(MID(SUBSTITUTE($T173,";",REPT(" ",99)),793,99)))-1),Materiales!$A$2:$E$502,5,FALSE)*VALUE(MID(TRIM(MID(SUBSTITUTE($T173,";",REPT(" ",99)),793,99)),FIND(":",TRIM(MID(SUBSTITUTE($T173,";",REPT(" ",99)),793,99)))+1,99)),0) + IFERROR(VLOOKUP(LEFT(TRIM(MID(SUBSTITUTE($T173,";",REPT(" ",99)),892,99)),FIND(":",TRIM(MID(SUBSTITUTE($T173,";",REPT(" ",99)),892,99)))-1),Materiales!$A$2:$E$502,5,FALSE)*VALUE(MID(TRIM(MID(SUBSTITUTE($T173,";",REPT(" ",99)),892,99)),FIND(":",TRIM(MID(SUBSTITUTE($T173,";",REPT(" ",99)),892,99)))+1,99)),0)))</f>
        <v/>
      </c>
      <c r="V173" s="3"/>
      <c r="W173" s="5" t="str">
        <f t="array" ref="W173">IF($A173="","",IF($V173="",0,IFERROR(VLOOKUP(LEFT(TRIM(MID(SUBSTITUTE($V173,";",REPT(" ",99)),1,99)),FIND(":",TRIM(MID(SUBSTITUTE($V173,";",REPT(" ",99)),1,99)))-1),Materiales!$A$2:$E$502,5,FALSE)*VALUE(MID(TRIM(MID(SUBSTITUTE($V173,";",REPT(" ",99)),1,99)),FIND(":",TRIM(MID(SUBSTITUTE($V173,";",REPT(" ",99)),1,99)))+1,99)),0) + IFERROR(VLOOKUP(LEFT(TRIM(MID(SUBSTITUTE($V173,";",REPT(" ",99)),100,99)),FIND(":",TRIM(MID(SUBSTITUTE($V173,";",REPT(" ",99)),100,99)))-1),Materiales!$A$2:$E$502,5,FALSE)*VALUE(MID(TRIM(MID(SUBSTITUTE($V173,";",REPT(" ",99)),100,99)),FIND(":",TRIM(MID(SUBSTITUTE($V173,";",REPT(" ",99)),100,99)))+1,99)),0) + IFERROR(VLOOKUP(LEFT(TRIM(MID(SUBSTITUTE($V173,";",REPT(" ",99)),199,99)),FIND(":",TRIM(MID(SUBSTITUTE($V173,";",REPT(" ",99)),199,99)))-1),Materiales!$A$2:$E$502,5,FALSE)*VALUE(MID(TRIM(MID(SUBSTITUTE($V173,";",REPT(" ",99)),199,99)),FIND(":",TRIM(MID(SUBSTITUTE($V173,";",REPT(" ",99)),199,99)))+1,99)),0) + IFERROR(VLOOKUP(LEFT(TRIM(MID(SUBSTITUTE($V173,";",REPT(" ",99)),298,99)),FIND(":",TRIM(MID(SUBSTITUTE($V173,";",REPT(" ",99)),298,99)))-1),Materiales!$A$2:$E$502,5,FALSE)*VALUE(MID(TRIM(MID(SUBSTITUTE($V173,";",REPT(" ",99)),298,99)),FIND(":",TRIM(MID(SUBSTITUTE($V173,";",REPT(" ",99)),298,99)))+1,99)),0) + IFERROR(VLOOKUP(LEFT(TRIM(MID(SUBSTITUTE($V173,";",REPT(" ",99)),397,99)),FIND(":",TRIM(MID(SUBSTITUTE($V173,";",REPT(" ",99)),397,99)))-1),Materiales!$A$2:$E$502,5,FALSE)*VALUE(MID(TRIM(MID(SUBSTITUTE($V173,";",REPT(" ",99)),397,99)),FIND(":",TRIM(MID(SUBSTITUTE($V173,";",REPT(" ",99)),397,99)))+1,99)),0) + IFERROR(VLOOKUP(LEFT(TRIM(MID(SUBSTITUTE($V173,";",REPT(" ",99)),496,99)),FIND(":",TRIM(MID(SUBSTITUTE($V173,";",REPT(" ",99)),496,99)))-1),Materiales!$A$2:$E$502,5,FALSE)*VALUE(MID(TRIM(MID(SUBSTITUTE($V173,";",REPT(" ",99)),496,99)),FIND(":",TRIM(MID(SUBSTITUTE($V173,";",REPT(" ",99)),496,99)))+1,99)),0) + IFERROR(VLOOKUP(LEFT(TRIM(MID(SUBSTITUTE($V173,";",REPT(" ",99)),595,99)),FIND(":",TRIM(MID(SUBSTITUTE($V173,";",REPT(" ",99)),595,99)))-1),Materiales!$A$2:$E$502,5,FALSE)*VALUE(MID(TRIM(MID(SUBSTITUTE($V173,";",REPT(" ",99)),595,99)),FIND(":",TRIM(MID(SUBSTITUTE($V173,";",REPT(" ",99)),595,99)))+1,99)),0) + IFERROR(VLOOKUP(LEFT(TRIM(MID(SUBSTITUTE($V173,";",REPT(" ",99)),694,99)),FIND(":",TRIM(MID(SUBSTITUTE($V173,";",REPT(" ",99)),694,99)))-1),Materiales!$A$2:$E$502,5,FALSE)*VALUE(MID(TRIM(MID(SUBSTITUTE($V173,";",REPT(" ",99)),694,99)),FIND(":",TRIM(MID(SUBSTITUTE($V173,";",REPT(" ",99)),694,99)))+1,99)),0) + IFERROR(VLOOKUP(LEFT(TRIM(MID(SUBSTITUTE($V173,";",REPT(" ",99)),793,99)),FIND(":",TRIM(MID(SUBSTITUTE($V173,";",REPT(" ",99)),793,99)))-1),Materiales!$A$2:$E$502,5,FALSE)*VALUE(MID(TRIM(MID(SUBSTITUTE($V173,";",REPT(" ",99)),793,99)),FIND(":",TRIM(MID(SUBSTITUTE($V173,";",REPT(" ",99)),793,99)))+1,99)),0) + IFERROR(VLOOKUP(LEFT(TRIM(MID(SUBSTITUTE($V173,";",REPT(" ",99)),892,99)),FIND(":",TRIM(MID(SUBSTITUTE($V173,";",REPT(" ",99)),892,99)))-1),Materiales!$A$2:$E$502,5,FALSE)*VALUE(MID(TRIM(MID(SUBSTITUTE($V173,";",REPT(" ",99)),892,99)),FIND(":",TRIM(MID(SUBSTITUTE($V173,";",REPT(" ",99)),892,99)))+1,99)),0)))</f>
        <v/>
      </c>
      <c r="X173" s="39" t="str">
        <f t="shared" si="21"/>
        <v/>
      </c>
      <c r="Y173" s="64"/>
      <c r="Z173" s="67"/>
      <c r="AA173" s="65"/>
      <c r="AB173" s="14"/>
      <c r="AC173" s="66"/>
      <c r="AD173" s="65"/>
      <c r="AE173" s="44"/>
      <c r="AF173" s="45" t="str">
        <f t="shared" si="20"/>
        <v>#DIV/0!</v>
      </c>
    </row>
    <row r="174" ht="15.75" customHeight="1">
      <c r="A174" s="3"/>
      <c r="B174" s="3"/>
      <c r="C174" s="38"/>
      <c r="D174" s="38"/>
      <c r="E174" s="38"/>
      <c r="F174" s="14"/>
      <c r="G174" s="5" t="str">
        <f t="array" ref="G174">IF($A174="","",IFERROR($F174*(N($C174)*XLOOKUP($B174,Ceras!$A$2:$A$500,Ceras!$G$2:$G$500,0)+IF($D174="",0,N($E174)*XLOOKUP($D174,Ceras!$A$2:$A$500,Ceras!$G$2:$G$500,0))),"Revisar cera"))</f>
        <v/>
      </c>
      <c r="H174" s="5"/>
      <c r="I174" s="3"/>
      <c r="J174" s="14"/>
      <c r="K174" s="5" t="str">
        <f t="array" ref="K174">IF($A174="","",IFERROR($J174*XLOOKUP($I174,Pabilos!$A$2:$A$500,Pabilos!$H$2:$H$500,0),"Revisar pabilo"))</f>
        <v/>
      </c>
      <c r="L174" s="3"/>
      <c r="M174" s="14"/>
      <c r="N174" s="5" t="str">
        <f t="array" ref="N174">IF($A174="","",IFERROR($M174*XLOOKUP($L174,Esencias!$A$2:$A$501,Esencias!$G$2:$G$501,0),"Revisar esencia"))</f>
        <v/>
      </c>
      <c r="O174" s="3"/>
      <c r="P174" s="14"/>
      <c r="Q174" s="5" t="str">
        <f t="array" ref="Q174">IF($A174="","",IFERROR(IF($P174="",1,$P174)*XLOOKUP($O174,Colores!$A$2:$A$500,Colores!$H$2:$H$500,0),"Revisar color"))</f>
        <v/>
      </c>
      <c r="R174" s="3"/>
      <c r="S174" s="5" t="str">
        <f t="array" ref="S174">IF($A174="","",IF($R174="",0,IFERROR(VLOOKUP(LEFT(TRIM(MID(SUBSTITUTE($R174,";",REPT(" ",99)),1,99)),FIND(":",TRIM(MID(SUBSTITUTE($R174,";",REPT(" ",99)),1,99)))-1),Materiales!$A$2:$E$502,5,FALSE)*VALUE(MID(TRIM(MID(SUBSTITUTE($R174,";",REPT(" ",99)),1,99)),FIND(":",TRIM(MID(SUBSTITUTE($R174,";",REPT(" ",99)),1,99)))+1,99)),0) + IFERROR(VLOOKUP(LEFT(TRIM(MID(SUBSTITUTE($R174,";",REPT(" ",99)),100,99)),FIND(":",TRIM(MID(SUBSTITUTE($R174,";",REPT(" ",99)),100,99)))-1),Materiales!$A$2:$E$502,5,FALSE)*VALUE(MID(TRIM(MID(SUBSTITUTE($R174,";",REPT(" ",99)),100,99)),FIND(":",TRIM(MID(SUBSTITUTE($R174,";",REPT(" ",99)),100,99)))+1,99)),0) + IFERROR(VLOOKUP(LEFT(TRIM(MID(SUBSTITUTE($R174,";",REPT(" ",99)),199,99)),FIND(":",TRIM(MID(SUBSTITUTE($R174,";",REPT(" ",99)),199,99)))-1),Materiales!$A$2:$E$502,5,FALSE)*VALUE(MID(TRIM(MID(SUBSTITUTE($R174,";",REPT(" ",99)),199,99)),FIND(":",TRIM(MID(SUBSTITUTE($R174,";",REPT(" ",99)),199,99)))+1,99)),0) + IFERROR(VLOOKUP(LEFT(TRIM(MID(SUBSTITUTE($R174,";",REPT(" ",99)),298,99)),FIND(":",TRIM(MID(SUBSTITUTE($R174,";",REPT(" ",99)),298,99)))-1),Materiales!$A$2:$E$502,5,FALSE)*VALUE(MID(TRIM(MID(SUBSTITUTE($R174,";",REPT(" ",99)),298,99)),FIND(":",TRIM(MID(SUBSTITUTE($R174,";",REPT(" ",99)),298,99)))+1,99)),0) + IFERROR(VLOOKUP(LEFT(TRIM(MID(SUBSTITUTE($R174,";",REPT(" ",99)),397,99)),FIND(":",TRIM(MID(SUBSTITUTE($R174,";",REPT(" ",99)),397,99)))-1),Materiales!$A$2:$E$502,5,FALSE)*VALUE(MID(TRIM(MID(SUBSTITUTE($R174,";",REPT(" ",99)),397,99)),FIND(":",TRIM(MID(SUBSTITUTE($R174,";",REPT(" ",99)),397,99)))+1,99)),0) + IFERROR(VLOOKUP(LEFT(TRIM(MID(SUBSTITUTE($R174,";",REPT(" ",99)),496,99)),FIND(":",TRIM(MID(SUBSTITUTE($R174,";",REPT(" ",99)),496,99)))-1),Materiales!$A$2:$E$502,5,FALSE)*VALUE(MID(TRIM(MID(SUBSTITUTE($R174,";",REPT(" ",99)),496,99)),FIND(":",TRIM(MID(SUBSTITUTE($R174,";",REPT(" ",99)),496,99)))+1,99)),0) + IFERROR(VLOOKUP(LEFT(TRIM(MID(SUBSTITUTE($R174,";",REPT(" ",99)),595,99)),FIND(":",TRIM(MID(SUBSTITUTE($R174,";",REPT(" ",99)),595,99)))-1),Materiales!$A$2:$E$502,5,FALSE)*VALUE(MID(TRIM(MID(SUBSTITUTE($R174,";",REPT(" ",99)),595,99)),FIND(":",TRIM(MID(SUBSTITUTE($R174,";",REPT(" ",99)),595,99)))+1,99)),0) + IFERROR(VLOOKUP(LEFT(TRIM(MID(SUBSTITUTE($R174,";",REPT(" ",99)),694,99)),FIND(":",TRIM(MID(SUBSTITUTE($R174,";",REPT(" ",99)),694,99)))-1),Materiales!$A$2:$E$502,5,FALSE)*VALUE(MID(TRIM(MID(SUBSTITUTE($R174,";",REPT(" ",99)),694,99)),FIND(":",TRIM(MID(SUBSTITUTE($R174,";",REPT(" ",99)),694,99)))+1,99)),0) + IFERROR(VLOOKUP(LEFT(TRIM(MID(SUBSTITUTE($R174,";",REPT(" ",99)),793,99)),FIND(":",TRIM(MID(SUBSTITUTE($R174,";",REPT(" ",99)),793,99)))-1),Materiales!$A$2:$E$502,5,FALSE)*VALUE(MID(TRIM(MID(SUBSTITUTE($R174,";",REPT(" ",99)),793,99)),FIND(":",TRIM(MID(SUBSTITUTE($R174,";",REPT(" ",99)),793,99)))+1,99)),0) + IFERROR(VLOOKUP(LEFT(TRIM(MID(SUBSTITUTE($R174,";",REPT(" ",99)),892,99)),FIND(":",TRIM(MID(SUBSTITUTE($R174,";",REPT(" ",99)),892,99)))-1),Materiales!$A$2:$E$502,5,FALSE)*VALUE(MID(TRIM(MID(SUBSTITUTE($R174,";",REPT(" ",99)),892,99)),FIND(":",TRIM(MID(SUBSTITUTE($R174,";",REPT(" ",99)),892,99)))+1,99)),0)))</f>
        <v/>
      </c>
      <c r="T174" s="3"/>
      <c r="U174" s="5" t="str">
        <f t="array" ref="U174">IF($A174="","",IF($T174="",0,IFERROR(VLOOKUP(LEFT(TRIM(MID(SUBSTITUTE($T174,";",REPT(" ",99)),1,99)),FIND(":",TRIM(MID(SUBSTITUTE($T174,";",REPT(" ",99)),1,99)))-1),Materiales!$A$2:$E$502,5,FALSE)*VALUE(MID(TRIM(MID(SUBSTITUTE($T174,";",REPT(" ",99)),1,99)),FIND(":",TRIM(MID(SUBSTITUTE($T174,";",REPT(" ",99)),1,99)))+1,99)),0) + IFERROR(VLOOKUP(LEFT(TRIM(MID(SUBSTITUTE($T174,";",REPT(" ",99)),100,99)),FIND(":",TRIM(MID(SUBSTITUTE($T174,";",REPT(" ",99)),100,99)))-1),Materiales!$A$2:$E$502,5,FALSE)*VALUE(MID(TRIM(MID(SUBSTITUTE($T174,";",REPT(" ",99)),100,99)),FIND(":",TRIM(MID(SUBSTITUTE($T174,";",REPT(" ",99)),100,99)))+1,99)),0) + IFERROR(VLOOKUP(LEFT(TRIM(MID(SUBSTITUTE($T174,";",REPT(" ",99)),199,99)),FIND(":",TRIM(MID(SUBSTITUTE($T174,";",REPT(" ",99)),199,99)))-1),Materiales!$A$2:$E$502,5,FALSE)*VALUE(MID(TRIM(MID(SUBSTITUTE($T174,";",REPT(" ",99)),199,99)),FIND(":",TRIM(MID(SUBSTITUTE($T174,";",REPT(" ",99)),199,99)))+1,99)),0) + IFERROR(VLOOKUP(LEFT(TRIM(MID(SUBSTITUTE($T174,";",REPT(" ",99)),298,99)),FIND(":",TRIM(MID(SUBSTITUTE($T174,";",REPT(" ",99)),298,99)))-1),Materiales!$A$2:$E$502,5,FALSE)*VALUE(MID(TRIM(MID(SUBSTITUTE($T174,";",REPT(" ",99)),298,99)),FIND(":",TRIM(MID(SUBSTITUTE($T174,";",REPT(" ",99)),298,99)))+1,99)),0) + IFERROR(VLOOKUP(LEFT(TRIM(MID(SUBSTITUTE($T174,";",REPT(" ",99)),397,99)),FIND(":",TRIM(MID(SUBSTITUTE($T174,";",REPT(" ",99)),397,99)))-1),Materiales!$A$2:$E$502,5,FALSE)*VALUE(MID(TRIM(MID(SUBSTITUTE($T174,";",REPT(" ",99)),397,99)),FIND(":",TRIM(MID(SUBSTITUTE($T174,";",REPT(" ",99)),397,99)))+1,99)),0) + IFERROR(VLOOKUP(LEFT(TRIM(MID(SUBSTITUTE($T174,";",REPT(" ",99)),496,99)),FIND(":",TRIM(MID(SUBSTITUTE($T174,";",REPT(" ",99)),496,99)))-1),Materiales!$A$2:$E$502,5,FALSE)*VALUE(MID(TRIM(MID(SUBSTITUTE($T174,";",REPT(" ",99)),496,99)),FIND(":",TRIM(MID(SUBSTITUTE($T174,";",REPT(" ",99)),496,99)))+1,99)),0) + IFERROR(VLOOKUP(LEFT(TRIM(MID(SUBSTITUTE($T174,";",REPT(" ",99)),595,99)),FIND(":",TRIM(MID(SUBSTITUTE($T174,";",REPT(" ",99)),595,99)))-1),Materiales!$A$2:$E$502,5,FALSE)*VALUE(MID(TRIM(MID(SUBSTITUTE($T174,";",REPT(" ",99)),595,99)),FIND(":",TRIM(MID(SUBSTITUTE($T174,";",REPT(" ",99)),595,99)))+1,99)),0) + IFERROR(VLOOKUP(LEFT(TRIM(MID(SUBSTITUTE($T174,";",REPT(" ",99)),694,99)),FIND(":",TRIM(MID(SUBSTITUTE($T174,";",REPT(" ",99)),694,99)))-1),Materiales!$A$2:$E$502,5,FALSE)*VALUE(MID(TRIM(MID(SUBSTITUTE($T174,";",REPT(" ",99)),694,99)),FIND(":",TRIM(MID(SUBSTITUTE($T174,";",REPT(" ",99)),694,99)))+1,99)),0) + IFERROR(VLOOKUP(LEFT(TRIM(MID(SUBSTITUTE($T174,";",REPT(" ",99)),793,99)),FIND(":",TRIM(MID(SUBSTITUTE($T174,";",REPT(" ",99)),793,99)))-1),Materiales!$A$2:$E$502,5,FALSE)*VALUE(MID(TRIM(MID(SUBSTITUTE($T174,";",REPT(" ",99)),793,99)),FIND(":",TRIM(MID(SUBSTITUTE($T174,";",REPT(" ",99)),793,99)))+1,99)),0) + IFERROR(VLOOKUP(LEFT(TRIM(MID(SUBSTITUTE($T174,";",REPT(" ",99)),892,99)),FIND(":",TRIM(MID(SUBSTITUTE($T174,";",REPT(" ",99)),892,99)))-1),Materiales!$A$2:$E$502,5,FALSE)*VALUE(MID(TRIM(MID(SUBSTITUTE($T174,";",REPT(" ",99)),892,99)),FIND(":",TRIM(MID(SUBSTITUTE($T174,";",REPT(" ",99)),892,99)))+1,99)),0)))</f>
        <v/>
      </c>
      <c r="V174" s="3"/>
      <c r="W174" s="5" t="str">
        <f t="array" ref="W174">IF($A174="","",IF($V174="",0,IFERROR(VLOOKUP(LEFT(TRIM(MID(SUBSTITUTE($V174,";",REPT(" ",99)),1,99)),FIND(":",TRIM(MID(SUBSTITUTE($V174,";",REPT(" ",99)),1,99)))-1),Materiales!$A$2:$E$502,5,FALSE)*VALUE(MID(TRIM(MID(SUBSTITUTE($V174,";",REPT(" ",99)),1,99)),FIND(":",TRIM(MID(SUBSTITUTE($V174,";",REPT(" ",99)),1,99)))+1,99)),0) + IFERROR(VLOOKUP(LEFT(TRIM(MID(SUBSTITUTE($V174,";",REPT(" ",99)),100,99)),FIND(":",TRIM(MID(SUBSTITUTE($V174,";",REPT(" ",99)),100,99)))-1),Materiales!$A$2:$E$502,5,FALSE)*VALUE(MID(TRIM(MID(SUBSTITUTE($V174,";",REPT(" ",99)),100,99)),FIND(":",TRIM(MID(SUBSTITUTE($V174,";",REPT(" ",99)),100,99)))+1,99)),0) + IFERROR(VLOOKUP(LEFT(TRIM(MID(SUBSTITUTE($V174,";",REPT(" ",99)),199,99)),FIND(":",TRIM(MID(SUBSTITUTE($V174,";",REPT(" ",99)),199,99)))-1),Materiales!$A$2:$E$502,5,FALSE)*VALUE(MID(TRIM(MID(SUBSTITUTE($V174,";",REPT(" ",99)),199,99)),FIND(":",TRIM(MID(SUBSTITUTE($V174,";",REPT(" ",99)),199,99)))+1,99)),0) + IFERROR(VLOOKUP(LEFT(TRIM(MID(SUBSTITUTE($V174,";",REPT(" ",99)),298,99)),FIND(":",TRIM(MID(SUBSTITUTE($V174,";",REPT(" ",99)),298,99)))-1),Materiales!$A$2:$E$502,5,FALSE)*VALUE(MID(TRIM(MID(SUBSTITUTE($V174,";",REPT(" ",99)),298,99)),FIND(":",TRIM(MID(SUBSTITUTE($V174,";",REPT(" ",99)),298,99)))+1,99)),0) + IFERROR(VLOOKUP(LEFT(TRIM(MID(SUBSTITUTE($V174,";",REPT(" ",99)),397,99)),FIND(":",TRIM(MID(SUBSTITUTE($V174,";",REPT(" ",99)),397,99)))-1),Materiales!$A$2:$E$502,5,FALSE)*VALUE(MID(TRIM(MID(SUBSTITUTE($V174,";",REPT(" ",99)),397,99)),FIND(":",TRIM(MID(SUBSTITUTE($V174,";",REPT(" ",99)),397,99)))+1,99)),0) + IFERROR(VLOOKUP(LEFT(TRIM(MID(SUBSTITUTE($V174,";",REPT(" ",99)),496,99)),FIND(":",TRIM(MID(SUBSTITUTE($V174,";",REPT(" ",99)),496,99)))-1),Materiales!$A$2:$E$502,5,FALSE)*VALUE(MID(TRIM(MID(SUBSTITUTE($V174,";",REPT(" ",99)),496,99)),FIND(":",TRIM(MID(SUBSTITUTE($V174,";",REPT(" ",99)),496,99)))+1,99)),0) + IFERROR(VLOOKUP(LEFT(TRIM(MID(SUBSTITUTE($V174,";",REPT(" ",99)),595,99)),FIND(":",TRIM(MID(SUBSTITUTE($V174,";",REPT(" ",99)),595,99)))-1),Materiales!$A$2:$E$502,5,FALSE)*VALUE(MID(TRIM(MID(SUBSTITUTE($V174,";",REPT(" ",99)),595,99)),FIND(":",TRIM(MID(SUBSTITUTE($V174,";",REPT(" ",99)),595,99)))+1,99)),0) + IFERROR(VLOOKUP(LEFT(TRIM(MID(SUBSTITUTE($V174,";",REPT(" ",99)),694,99)),FIND(":",TRIM(MID(SUBSTITUTE($V174,";",REPT(" ",99)),694,99)))-1),Materiales!$A$2:$E$502,5,FALSE)*VALUE(MID(TRIM(MID(SUBSTITUTE($V174,";",REPT(" ",99)),694,99)),FIND(":",TRIM(MID(SUBSTITUTE($V174,";",REPT(" ",99)),694,99)))+1,99)),0) + IFERROR(VLOOKUP(LEFT(TRIM(MID(SUBSTITUTE($V174,";",REPT(" ",99)),793,99)),FIND(":",TRIM(MID(SUBSTITUTE($V174,";",REPT(" ",99)),793,99)))-1),Materiales!$A$2:$E$502,5,FALSE)*VALUE(MID(TRIM(MID(SUBSTITUTE($V174,";",REPT(" ",99)),793,99)),FIND(":",TRIM(MID(SUBSTITUTE($V174,";",REPT(" ",99)),793,99)))+1,99)),0) + IFERROR(VLOOKUP(LEFT(TRIM(MID(SUBSTITUTE($V174,";",REPT(" ",99)),892,99)),FIND(":",TRIM(MID(SUBSTITUTE($V174,";",REPT(" ",99)),892,99)))-1),Materiales!$A$2:$E$502,5,FALSE)*VALUE(MID(TRIM(MID(SUBSTITUTE($V174,";",REPT(" ",99)),892,99)),FIND(":",TRIM(MID(SUBSTITUTE($V174,";",REPT(" ",99)),892,99)))+1,99)),0)))</f>
        <v/>
      </c>
      <c r="X174" s="39" t="str">
        <f t="shared" si="21"/>
        <v/>
      </c>
      <c r="Y174" s="64"/>
      <c r="Z174" s="67"/>
      <c r="AA174" s="65"/>
      <c r="AB174" s="14"/>
      <c r="AC174" s="66"/>
      <c r="AD174" s="65"/>
      <c r="AE174" s="44"/>
      <c r="AF174" s="45" t="str">
        <f t="shared" si="20"/>
        <v>#DIV/0!</v>
      </c>
    </row>
    <row r="175" ht="15.75" customHeight="1">
      <c r="A175" s="3"/>
      <c r="B175" s="3"/>
      <c r="C175" s="38"/>
      <c r="D175" s="38"/>
      <c r="E175" s="38"/>
      <c r="F175" s="14"/>
      <c r="G175" s="5" t="str">
        <f t="array" ref="G175">IF($A175="","",IFERROR($F175*(N($C175)*XLOOKUP($B175,Ceras!$A$2:$A$500,Ceras!$G$2:$G$500,0)+IF($D175="",0,N($E175)*XLOOKUP($D175,Ceras!$A$2:$A$500,Ceras!$G$2:$G$500,0))),"Revisar cera"))</f>
        <v/>
      </c>
      <c r="H175" s="5"/>
      <c r="I175" s="3"/>
      <c r="J175" s="14"/>
      <c r="K175" s="5" t="str">
        <f t="array" ref="K175">IF($A175="","",IFERROR($J175*XLOOKUP($I175,Pabilos!$A$2:$A$500,Pabilos!$H$2:$H$500,0),"Revisar pabilo"))</f>
        <v/>
      </c>
      <c r="L175" s="3"/>
      <c r="M175" s="14"/>
      <c r="N175" s="5" t="str">
        <f t="array" ref="N175">IF($A175="","",IFERROR($M175*XLOOKUP($L175,Esencias!$A$2:$A$501,Esencias!$G$2:$G$501,0),"Revisar esencia"))</f>
        <v/>
      </c>
      <c r="O175" s="3"/>
      <c r="P175" s="14"/>
      <c r="Q175" s="5" t="str">
        <f t="array" ref="Q175">IF($A175="","",IFERROR(IF($P175="",1,$P175)*XLOOKUP($O175,Colores!$A$2:$A$500,Colores!$H$2:$H$500,0),"Revisar color"))</f>
        <v/>
      </c>
      <c r="R175" s="3"/>
      <c r="S175" s="5" t="str">
        <f t="array" ref="S175">IF($A175="","",IF($R175="",0,IFERROR(VLOOKUP(LEFT(TRIM(MID(SUBSTITUTE($R175,";",REPT(" ",99)),1,99)),FIND(":",TRIM(MID(SUBSTITUTE($R175,";",REPT(" ",99)),1,99)))-1),Materiales!$A$2:$E$502,5,FALSE)*VALUE(MID(TRIM(MID(SUBSTITUTE($R175,";",REPT(" ",99)),1,99)),FIND(":",TRIM(MID(SUBSTITUTE($R175,";",REPT(" ",99)),1,99)))+1,99)),0) + IFERROR(VLOOKUP(LEFT(TRIM(MID(SUBSTITUTE($R175,";",REPT(" ",99)),100,99)),FIND(":",TRIM(MID(SUBSTITUTE($R175,";",REPT(" ",99)),100,99)))-1),Materiales!$A$2:$E$502,5,FALSE)*VALUE(MID(TRIM(MID(SUBSTITUTE($R175,";",REPT(" ",99)),100,99)),FIND(":",TRIM(MID(SUBSTITUTE($R175,";",REPT(" ",99)),100,99)))+1,99)),0) + IFERROR(VLOOKUP(LEFT(TRIM(MID(SUBSTITUTE($R175,";",REPT(" ",99)),199,99)),FIND(":",TRIM(MID(SUBSTITUTE($R175,";",REPT(" ",99)),199,99)))-1),Materiales!$A$2:$E$502,5,FALSE)*VALUE(MID(TRIM(MID(SUBSTITUTE($R175,";",REPT(" ",99)),199,99)),FIND(":",TRIM(MID(SUBSTITUTE($R175,";",REPT(" ",99)),199,99)))+1,99)),0) + IFERROR(VLOOKUP(LEFT(TRIM(MID(SUBSTITUTE($R175,";",REPT(" ",99)),298,99)),FIND(":",TRIM(MID(SUBSTITUTE($R175,";",REPT(" ",99)),298,99)))-1),Materiales!$A$2:$E$502,5,FALSE)*VALUE(MID(TRIM(MID(SUBSTITUTE($R175,";",REPT(" ",99)),298,99)),FIND(":",TRIM(MID(SUBSTITUTE($R175,";",REPT(" ",99)),298,99)))+1,99)),0) + IFERROR(VLOOKUP(LEFT(TRIM(MID(SUBSTITUTE($R175,";",REPT(" ",99)),397,99)),FIND(":",TRIM(MID(SUBSTITUTE($R175,";",REPT(" ",99)),397,99)))-1),Materiales!$A$2:$E$502,5,FALSE)*VALUE(MID(TRIM(MID(SUBSTITUTE($R175,";",REPT(" ",99)),397,99)),FIND(":",TRIM(MID(SUBSTITUTE($R175,";",REPT(" ",99)),397,99)))+1,99)),0) + IFERROR(VLOOKUP(LEFT(TRIM(MID(SUBSTITUTE($R175,";",REPT(" ",99)),496,99)),FIND(":",TRIM(MID(SUBSTITUTE($R175,";",REPT(" ",99)),496,99)))-1),Materiales!$A$2:$E$502,5,FALSE)*VALUE(MID(TRIM(MID(SUBSTITUTE($R175,";",REPT(" ",99)),496,99)),FIND(":",TRIM(MID(SUBSTITUTE($R175,";",REPT(" ",99)),496,99)))+1,99)),0) + IFERROR(VLOOKUP(LEFT(TRIM(MID(SUBSTITUTE($R175,";",REPT(" ",99)),595,99)),FIND(":",TRIM(MID(SUBSTITUTE($R175,";",REPT(" ",99)),595,99)))-1),Materiales!$A$2:$E$502,5,FALSE)*VALUE(MID(TRIM(MID(SUBSTITUTE($R175,";",REPT(" ",99)),595,99)),FIND(":",TRIM(MID(SUBSTITUTE($R175,";",REPT(" ",99)),595,99)))+1,99)),0) + IFERROR(VLOOKUP(LEFT(TRIM(MID(SUBSTITUTE($R175,";",REPT(" ",99)),694,99)),FIND(":",TRIM(MID(SUBSTITUTE($R175,";",REPT(" ",99)),694,99)))-1),Materiales!$A$2:$E$502,5,FALSE)*VALUE(MID(TRIM(MID(SUBSTITUTE($R175,";",REPT(" ",99)),694,99)),FIND(":",TRIM(MID(SUBSTITUTE($R175,";",REPT(" ",99)),694,99)))+1,99)),0) + IFERROR(VLOOKUP(LEFT(TRIM(MID(SUBSTITUTE($R175,";",REPT(" ",99)),793,99)),FIND(":",TRIM(MID(SUBSTITUTE($R175,";",REPT(" ",99)),793,99)))-1),Materiales!$A$2:$E$502,5,FALSE)*VALUE(MID(TRIM(MID(SUBSTITUTE($R175,";",REPT(" ",99)),793,99)),FIND(":",TRIM(MID(SUBSTITUTE($R175,";",REPT(" ",99)),793,99)))+1,99)),0) + IFERROR(VLOOKUP(LEFT(TRIM(MID(SUBSTITUTE($R175,";",REPT(" ",99)),892,99)),FIND(":",TRIM(MID(SUBSTITUTE($R175,";",REPT(" ",99)),892,99)))-1),Materiales!$A$2:$E$502,5,FALSE)*VALUE(MID(TRIM(MID(SUBSTITUTE($R175,";",REPT(" ",99)),892,99)),FIND(":",TRIM(MID(SUBSTITUTE($R175,";",REPT(" ",99)),892,99)))+1,99)),0)))</f>
        <v/>
      </c>
      <c r="T175" s="3"/>
      <c r="U175" s="5" t="str">
        <f t="array" ref="U175">IF($A175="","",IF($T175="",0,IFERROR(VLOOKUP(LEFT(TRIM(MID(SUBSTITUTE($T175,";",REPT(" ",99)),1,99)),FIND(":",TRIM(MID(SUBSTITUTE($T175,";",REPT(" ",99)),1,99)))-1),Materiales!$A$2:$E$502,5,FALSE)*VALUE(MID(TRIM(MID(SUBSTITUTE($T175,";",REPT(" ",99)),1,99)),FIND(":",TRIM(MID(SUBSTITUTE($T175,";",REPT(" ",99)),1,99)))+1,99)),0) + IFERROR(VLOOKUP(LEFT(TRIM(MID(SUBSTITUTE($T175,";",REPT(" ",99)),100,99)),FIND(":",TRIM(MID(SUBSTITUTE($T175,";",REPT(" ",99)),100,99)))-1),Materiales!$A$2:$E$502,5,FALSE)*VALUE(MID(TRIM(MID(SUBSTITUTE($T175,";",REPT(" ",99)),100,99)),FIND(":",TRIM(MID(SUBSTITUTE($T175,";",REPT(" ",99)),100,99)))+1,99)),0) + IFERROR(VLOOKUP(LEFT(TRIM(MID(SUBSTITUTE($T175,";",REPT(" ",99)),199,99)),FIND(":",TRIM(MID(SUBSTITUTE($T175,";",REPT(" ",99)),199,99)))-1),Materiales!$A$2:$E$502,5,FALSE)*VALUE(MID(TRIM(MID(SUBSTITUTE($T175,";",REPT(" ",99)),199,99)),FIND(":",TRIM(MID(SUBSTITUTE($T175,";",REPT(" ",99)),199,99)))+1,99)),0) + IFERROR(VLOOKUP(LEFT(TRIM(MID(SUBSTITUTE($T175,";",REPT(" ",99)),298,99)),FIND(":",TRIM(MID(SUBSTITUTE($T175,";",REPT(" ",99)),298,99)))-1),Materiales!$A$2:$E$502,5,FALSE)*VALUE(MID(TRIM(MID(SUBSTITUTE($T175,";",REPT(" ",99)),298,99)),FIND(":",TRIM(MID(SUBSTITUTE($T175,";",REPT(" ",99)),298,99)))+1,99)),0) + IFERROR(VLOOKUP(LEFT(TRIM(MID(SUBSTITUTE($T175,";",REPT(" ",99)),397,99)),FIND(":",TRIM(MID(SUBSTITUTE($T175,";",REPT(" ",99)),397,99)))-1),Materiales!$A$2:$E$502,5,FALSE)*VALUE(MID(TRIM(MID(SUBSTITUTE($T175,";",REPT(" ",99)),397,99)),FIND(":",TRIM(MID(SUBSTITUTE($T175,";",REPT(" ",99)),397,99)))+1,99)),0) + IFERROR(VLOOKUP(LEFT(TRIM(MID(SUBSTITUTE($T175,";",REPT(" ",99)),496,99)),FIND(":",TRIM(MID(SUBSTITUTE($T175,";",REPT(" ",99)),496,99)))-1),Materiales!$A$2:$E$502,5,FALSE)*VALUE(MID(TRIM(MID(SUBSTITUTE($T175,";",REPT(" ",99)),496,99)),FIND(":",TRIM(MID(SUBSTITUTE($T175,";",REPT(" ",99)),496,99)))+1,99)),0) + IFERROR(VLOOKUP(LEFT(TRIM(MID(SUBSTITUTE($T175,";",REPT(" ",99)),595,99)),FIND(":",TRIM(MID(SUBSTITUTE($T175,";",REPT(" ",99)),595,99)))-1),Materiales!$A$2:$E$502,5,FALSE)*VALUE(MID(TRIM(MID(SUBSTITUTE($T175,";",REPT(" ",99)),595,99)),FIND(":",TRIM(MID(SUBSTITUTE($T175,";",REPT(" ",99)),595,99)))+1,99)),0) + IFERROR(VLOOKUP(LEFT(TRIM(MID(SUBSTITUTE($T175,";",REPT(" ",99)),694,99)),FIND(":",TRIM(MID(SUBSTITUTE($T175,";",REPT(" ",99)),694,99)))-1),Materiales!$A$2:$E$502,5,FALSE)*VALUE(MID(TRIM(MID(SUBSTITUTE($T175,";",REPT(" ",99)),694,99)),FIND(":",TRIM(MID(SUBSTITUTE($T175,";",REPT(" ",99)),694,99)))+1,99)),0) + IFERROR(VLOOKUP(LEFT(TRIM(MID(SUBSTITUTE($T175,";",REPT(" ",99)),793,99)),FIND(":",TRIM(MID(SUBSTITUTE($T175,";",REPT(" ",99)),793,99)))-1),Materiales!$A$2:$E$502,5,FALSE)*VALUE(MID(TRIM(MID(SUBSTITUTE($T175,";",REPT(" ",99)),793,99)),FIND(":",TRIM(MID(SUBSTITUTE($T175,";",REPT(" ",99)),793,99)))+1,99)),0) + IFERROR(VLOOKUP(LEFT(TRIM(MID(SUBSTITUTE($T175,";",REPT(" ",99)),892,99)),FIND(":",TRIM(MID(SUBSTITUTE($T175,";",REPT(" ",99)),892,99)))-1),Materiales!$A$2:$E$502,5,FALSE)*VALUE(MID(TRIM(MID(SUBSTITUTE($T175,";",REPT(" ",99)),892,99)),FIND(":",TRIM(MID(SUBSTITUTE($T175,";",REPT(" ",99)),892,99)))+1,99)),0)))</f>
        <v/>
      </c>
      <c r="V175" s="3"/>
      <c r="W175" s="5" t="str">
        <f t="array" ref="W175">IF($A175="","",IF($V175="",0,IFERROR(VLOOKUP(LEFT(TRIM(MID(SUBSTITUTE($V175,";",REPT(" ",99)),1,99)),FIND(":",TRIM(MID(SUBSTITUTE($V175,";",REPT(" ",99)),1,99)))-1),Materiales!$A$2:$E$502,5,FALSE)*VALUE(MID(TRIM(MID(SUBSTITUTE($V175,";",REPT(" ",99)),1,99)),FIND(":",TRIM(MID(SUBSTITUTE($V175,";",REPT(" ",99)),1,99)))+1,99)),0) + IFERROR(VLOOKUP(LEFT(TRIM(MID(SUBSTITUTE($V175,";",REPT(" ",99)),100,99)),FIND(":",TRIM(MID(SUBSTITUTE($V175,";",REPT(" ",99)),100,99)))-1),Materiales!$A$2:$E$502,5,FALSE)*VALUE(MID(TRIM(MID(SUBSTITUTE($V175,";",REPT(" ",99)),100,99)),FIND(":",TRIM(MID(SUBSTITUTE($V175,";",REPT(" ",99)),100,99)))+1,99)),0) + IFERROR(VLOOKUP(LEFT(TRIM(MID(SUBSTITUTE($V175,";",REPT(" ",99)),199,99)),FIND(":",TRIM(MID(SUBSTITUTE($V175,";",REPT(" ",99)),199,99)))-1),Materiales!$A$2:$E$502,5,FALSE)*VALUE(MID(TRIM(MID(SUBSTITUTE($V175,";",REPT(" ",99)),199,99)),FIND(":",TRIM(MID(SUBSTITUTE($V175,";",REPT(" ",99)),199,99)))+1,99)),0) + IFERROR(VLOOKUP(LEFT(TRIM(MID(SUBSTITUTE($V175,";",REPT(" ",99)),298,99)),FIND(":",TRIM(MID(SUBSTITUTE($V175,";",REPT(" ",99)),298,99)))-1),Materiales!$A$2:$E$502,5,FALSE)*VALUE(MID(TRIM(MID(SUBSTITUTE($V175,";",REPT(" ",99)),298,99)),FIND(":",TRIM(MID(SUBSTITUTE($V175,";",REPT(" ",99)),298,99)))+1,99)),0) + IFERROR(VLOOKUP(LEFT(TRIM(MID(SUBSTITUTE($V175,";",REPT(" ",99)),397,99)),FIND(":",TRIM(MID(SUBSTITUTE($V175,";",REPT(" ",99)),397,99)))-1),Materiales!$A$2:$E$502,5,FALSE)*VALUE(MID(TRIM(MID(SUBSTITUTE($V175,";",REPT(" ",99)),397,99)),FIND(":",TRIM(MID(SUBSTITUTE($V175,";",REPT(" ",99)),397,99)))+1,99)),0) + IFERROR(VLOOKUP(LEFT(TRIM(MID(SUBSTITUTE($V175,";",REPT(" ",99)),496,99)),FIND(":",TRIM(MID(SUBSTITUTE($V175,";",REPT(" ",99)),496,99)))-1),Materiales!$A$2:$E$502,5,FALSE)*VALUE(MID(TRIM(MID(SUBSTITUTE($V175,";",REPT(" ",99)),496,99)),FIND(":",TRIM(MID(SUBSTITUTE($V175,";",REPT(" ",99)),496,99)))+1,99)),0) + IFERROR(VLOOKUP(LEFT(TRIM(MID(SUBSTITUTE($V175,";",REPT(" ",99)),595,99)),FIND(":",TRIM(MID(SUBSTITUTE($V175,";",REPT(" ",99)),595,99)))-1),Materiales!$A$2:$E$502,5,FALSE)*VALUE(MID(TRIM(MID(SUBSTITUTE($V175,";",REPT(" ",99)),595,99)),FIND(":",TRIM(MID(SUBSTITUTE($V175,";",REPT(" ",99)),595,99)))+1,99)),0) + IFERROR(VLOOKUP(LEFT(TRIM(MID(SUBSTITUTE($V175,";",REPT(" ",99)),694,99)),FIND(":",TRIM(MID(SUBSTITUTE($V175,";",REPT(" ",99)),694,99)))-1),Materiales!$A$2:$E$502,5,FALSE)*VALUE(MID(TRIM(MID(SUBSTITUTE($V175,";",REPT(" ",99)),694,99)),FIND(":",TRIM(MID(SUBSTITUTE($V175,";",REPT(" ",99)),694,99)))+1,99)),0) + IFERROR(VLOOKUP(LEFT(TRIM(MID(SUBSTITUTE($V175,";",REPT(" ",99)),793,99)),FIND(":",TRIM(MID(SUBSTITUTE($V175,";",REPT(" ",99)),793,99)))-1),Materiales!$A$2:$E$502,5,FALSE)*VALUE(MID(TRIM(MID(SUBSTITUTE($V175,";",REPT(" ",99)),793,99)),FIND(":",TRIM(MID(SUBSTITUTE($V175,";",REPT(" ",99)),793,99)))+1,99)),0) + IFERROR(VLOOKUP(LEFT(TRIM(MID(SUBSTITUTE($V175,";",REPT(" ",99)),892,99)),FIND(":",TRIM(MID(SUBSTITUTE($V175,";",REPT(" ",99)),892,99)))-1),Materiales!$A$2:$E$502,5,FALSE)*VALUE(MID(TRIM(MID(SUBSTITUTE($V175,";",REPT(" ",99)),892,99)),FIND(":",TRIM(MID(SUBSTITUTE($V175,";",REPT(" ",99)),892,99)))+1,99)),0)))</f>
        <v/>
      </c>
      <c r="X175" s="39" t="str">
        <f t="shared" si="21"/>
        <v/>
      </c>
      <c r="Y175" s="64"/>
      <c r="Z175" s="67"/>
      <c r="AA175" s="65"/>
      <c r="AB175" s="14"/>
      <c r="AC175" s="66"/>
      <c r="AD175" s="65"/>
      <c r="AE175" s="44"/>
      <c r="AF175" s="45" t="str">
        <f t="shared" si="20"/>
        <v>#DIV/0!</v>
      </c>
    </row>
    <row r="176" ht="15.75" customHeight="1">
      <c r="A176" s="3"/>
      <c r="B176" s="3"/>
      <c r="C176" s="38"/>
      <c r="D176" s="38"/>
      <c r="E176" s="38"/>
      <c r="F176" s="14"/>
      <c r="G176" s="5" t="str">
        <f t="array" ref="G176">IF($A176="","",IFERROR($F176*(N($C176)*XLOOKUP($B176,Ceras!$A$2:$A$500,Ceras!$G$2:$G$500,0)+IF($D176="",0,N($E176)*XLOOKUP($D176,Ceras!$A$2:$A$500,Ceras!$G$2:$G$500,0))),"Revisar cera"))</f>
        <v/>
      </c>
      <c r="H176" s="5"/>
      <c r="I176" s="3"/>
      <c r="J176" s="14"/>
      <c r="K176" s="5" t="str">
        <f t="array" ref="K176">IF($A176="","",IFERROR($J176*XLOOKUP($I176,Pabilos!$A$2:$A$500,Pabilos!$H$2:$H$500,0),"Revisar pabilo"))</f>
        <v/>
      </c>
      <c r="L176" s="3"/>
      <c r="M176" s="14"/>
      <c r="N176" s="5" t="str">
        <f t="array" ref="N176">IF($A176="","",IFERROR($M176*XLOOKUP($L176,Esencias!$A$2:$A$501,Esencias!$G$2:$G$501,0),"Revisar esencia"))</f>
        <v/>
      </c>
      <c r="O176" s="3"/>
      <c r="P176" s="14"/>
      <c r="Q176" s="5" t="str">
        <f t="array" ref="Q176">IF($A176="","",IFERROR(IF($P176="",1,$P176)*XLOOKUP($O176,Colores!$A$2:$A$500,Colores!$H$2:$H$500,0),"Revisar color"))</f>
        <v/>
      </c>
      <c r="R176" s="3"/>
      <c r="S176" s="5" t="str">
        <f t="array" ref="S176">IF($A176="","",IF($R176="",0,IFERROR(VLOOKUP(LEFT(TRIM(MID(SUBSTITUTE($R176,";",REPT(" ",99)),1,99)),FIND(":",TRIM(MID(SUBSTITUTE($R176,";",REPT(" ",99)),1,99)))-1),Materiales!$A$2:$E$502,5,FALSE)*VALUE(MID(TRIM(MID(SUBSTITUTE($R176,";",REPT(" ",99)),1,99)),FIND(":",TRIM(MID(SUBSTITUTE($R176,";",REPT(" ",99)),1,99)))+1,99)),0) + IFERROR(VLOOKUP(LEFT(TRIM(MID(SUBSTITUTE($R176,";",REPT(" ",99)),100,99)),FIND(":",TRIM(MID(SUBSTITUTE($R176,";",REPT(" ",99)),100,99)))-1),Materiales!$A$2:$E$502,5,FALSE)*VALUE(MID(TRIM(MID(SUBSTITUTE($R176,";",REPT(" ",99)),100,99)),FIND(":",TRIM(MID(SUBSTITUTE($R176,";",REPT(" ",99)),100,99)))+1,99)),0) + IFERROR(VLOOKUP(LEFT(TRIM(MID(SUBSTITUTE($R176,";",REPT(" ",99)),199,99)),FIND(":",TRIM(MID(SUBSTITUTE($R176,";",REPT(" ",99)),199,99)))-1),Materiales!$A$2:$E$502,5,FALSE)*VALUE(MID(TRIM(MID(SUBSTITUTE($R176,";",REPT(" ",99)),199,99)),FIND(":",TRIM(MID(SUBSTITUTE($R176,";",REPT(" ",99)),199,99)))+1,99)),0) + IFERROR(VLOOKUP(LEFT(TRIM(MID(SUBSTITUTE($R176,";",REPT(" ",99)),298,99)),FIND(":",TRIM(MID(SUBSTITUTE($R176,";",REPT(" ",99)),298,99)))-1),Materiales!$A$2:$E$502,5,FALSE)*VALUE(MID(TRIM(MID(SUBSTITUTE($R176,";",REPT(" ",99)),298,99)),FIND(":",TRIM(MID(SUBSTITUTE($R176,";",REPT(" ",99)),298,99)))+1,99)),0) + IFERROR(VLOOKUP(LEFT(TRIM(MID(SUBSTITUTE($R176,";",REPT(" ",99)),397,99)),FIND(":",TRIM(MID(SUBSTITUTE($R176,";",REPT(" ",99)),397,99)))-1),Materiales!$A$2:$E$502,5,FALSE)*VALUE(MID(TRIM(MID(SUBSTITUTE($R176,";",REPT(" ",99)),397,99)),FIND(":",TRIM(MID(SUBSTITUTE($R176,";",REPT(" ",99)),397,99)))+1,99)),0) + IFERROR(VLOOKUP(LEFT(TRIM(MID(SUBSTITUTE($R176,";",REPT(" ",99)),496,99)),FIND(":",TRIM(MID(SUBSTITUTE($R176,";",REPT(" ",99)),496,99)))-1),Materiales!$A$2:$E$502,5,FALSE)*VALUE(MID(TRIM(MID(SUBSTITUTE($R176,";",REPT(" ",99)),496,99)),FIND(":",TRIM(MID(SUBSTITUTE($R176,";",REPT(" ",99)),496,99)))+1,99)),0) + IFERROR(VLOOKUP(LEFT(TRIM(MID(SUBSTITUTE($R176,";",REPT(" ",99)),595,99)),FIND(":",TRIM(MID(SUBSTITUTE($R176,";",REPT(" ",99)),595,99)))-1),Materiales!$A$2:$E$502,5,FALSE)*VALUE(MID(TRIM(MID(SUBSTITUTE($R176,";",REPT(" ",99)),595,99)),FIND(":",TRIM(MID(SUBSTITUTE($R176,";",REPT(" ",99)),595,99)))+1,99)),0) + IFERROR(VLOOKUP(LEFT(TRIM(MID(SUBSTITUTE($R176,";",REPT(" ",99)),694,99)),FIND(":",TRIM(MID(SUBSTITUTE($R176,";",REPT(" ",99)),694,99)))-1),Materiales!$A$2:$E$502,5,FALSE)*VALUE(MID(TRIM(MID(SUBSTITUTE($R176,";",REPT(" ",99)),694,99)),FIND(":",TRIM(MID(SUBSTITUTE($R176,";",REPT(" ",99)),694,99)))+1,99)),0) + IFERROR(VLOOKUP(LEFT(TRIM(MID(SUBSTITUTE($R176,";",REPT(" ",99)),793,99)),FIND(":",TRIM(MID(SUBSTITUTE($R176,";",REPT(" ",99)),793,99)))-1),Materiales!$A$2:$E$502,5,FALSE)*VALUE(MID(TRIM(MID(SUBSTITUTE($R176,";",REPT(" ",99)),793,99)),FIND(":",TRIM(MID(SUBSTITUTE($R176,";",REPT(" ",99)),793,99)))+1,99)),0) + IFERROR(VLOOKUP(LEFT(TRIM(MID(SUBSTITUTE($R176,";",REPT(" ",99)),892,99)),FIND(":",TRIM(MID(SUBSTITUTE($R176,";",REPT(" ",99)),892,99)))-1),Materiales!$A$2:$E$502,5,FALSE)*VALUE(MID(TRIM(MID(SUBSTITUTE($R176,";",REPT(" ",99)),892,99)),FIND(":",TRIM(MID(SUBSTITUTE($R176,";",REPT(" ",99)),892,99)))+1,99)),0)))</f>
        <v/>
      </c>
      <c r="T176" s="3"/>
      <c r="U176" s="5" t="str">
        <f t="array" ref="U176">IF($A176="","",IF($T176="",0,IFERROR(VLOOKUP(LEFT(TRIM(MID(SUBSTITUTE($T176,";",REPT(" ",99)),1,99)),FIND(":",TRIM(MID(SUBSTITUTE($T176,";",REPT(" ",99)),1,99)))-1),Materiales!$A$2:$E$502,5,FALSE)*VALUE(MID(TRIM(MID(SUBSTITUTE($T176,";",REPT(" ",99)),1,99)),FIND(":",TRIM(MID(SUBSTITUTE($T176,";",REPT(" ",99)),1,99)))+1,99)),0) + IFERROR(VLOOKUP(LEFT(TRIM(MID(SUBSTITUTE($T176,";",REPT(" ",99)),100,99)),FIND(":",TRIM(MID(SUBSTITUTE($T176,";",REPT(" ",99)),100,99)))-1),Materiales!$A$2:$E$502,5,FALSE)*VALUE(MID(TRIM(MID(SUBSTITUTE($T176,";",REPT(" ",99)),100,99)),FIND(":",TRIM(MID(SUBSTITUTE($T176,";",REPT(" ",99)),100,99)))+1,99)),0) + IFERROR(VLOOKUP(LEFT(TRIM(MID(SUBSTITUTE($T176,";",REPT(" ",99)),199,99)),FIND(":",TRIM(MID(SUBSTITUTE($T176,";",REPT(" ",99)),199,99)))-1),Materiales!$A$2:$E$502,5,FALSE)*VALUE(MID(TRIM(MID(SUBSTITUTE($T176,";",REPT(" ",99)),199,99)),FIND(":",TRIM(MID(SUBSTITUTE($T176,";",REPT(" ",99)),199,99)))+1,99)),0) + IFERROR(VLOOKUP(LEFT(TRIM(MID(SUBSTITUTE($T176,";",REPT(" ",99)),298,99)),FIND(":",TRIM(MID(SUBSTITUTE($T176,";",REPT(" ",99)),298,99)))-1),Materiales!$A$2:$E$502,5,FALSE)*VALUE(MID(TRIM(MID(SUBSTITUTE($T176,";",REPT(" ",99)),298,99)),FIND(":",TRIM(MID(SUBSTITUTE($T176,";",REPT(" ",99)),298,99)))+1,99)),0) + IFERROR(VLOOKUP(LEFT(TRIM(MID(SUBSTITUTE($T176,";",REPT(" ",99)),397,99)),FIND(":",TRIM(MID(SUBSTITUTE($T176,";",REPT(" ",99)),397,99)))-1),Materiales!$A$2:$E$502,5,FALSE)*VALUE(MID(TRIM(MID(SUBSTITUTE($T176,";",REPT(" ",99)),397,99)),FIND(":",TRIM(MID(SUBSTITUTE($T176,";",REPT(" ",99)),397,99)))+1,99)),0) + IFERROR(VLOOKUP(LEFT(TRIM(MID(SUBSTITUTE($T176,";",REPT(" ",99)),496,99)),FIND(":",TRIM(MID(SUBSTITUTE($T176,";",REPT(" ",99)),496,99)))-1),Materiales!$A$2:$E$502,5,FALSE)*VALUE(MID(TRIM(MID(SUBSTITUTE($T176,";",REPT(" ",99)),496,99)),FIND(":",TRIM(MID(SUBSTITUTE($T176,";",REPT(" ",99)),496,99)))+1,99)),0) + IFERROR(VLOOKUP(LEFT(TRIM(MID(SUBSTITUTE($T176,";",REPT(" ",99)),595,99)),FIND(":",TRIM(MID(SUBSTITUTE($T176,";",REPT(" ",99)),595,99)))-1),Materiales!$A$2:$E$502,5,FALSE)*VALUE(MID(TRIM(MID(SUBSTITUTE($T176,";",REPT(" ",99)),595,99)),FIND(":",TRIM(MID(SUBSTITUTE($T176,";",REPT(" ",99)),595,99)))+1,99)),0) + IFERROR(VLOOKUP(LEFT(TRIM(MID(SUBSTITUTE($T176,";",REPT(" ",99)),694,99)),FIND(":",TRIM(MID(SUBSTITUTE($T176,";",REPT(" ",99)),694,99)))-1),Materiales!$A$2:$E$502,5,FALSE)*VALUE(MID(TRIM(MID(SUBSTITUTE($T176,";",REPT(" ",99)),694,99)),FIND(":",TRIM(MID(SUBSTITUTE($T176,";",REPT(" ",99)),694,99)))+1,99)),0) + IFERROR(VLOOKUP(LEFT(TRIM(MID(SUBSTITUTE($T176,";",REPT(" ",99)),793,99)),FIND(":",TRIM(MID(SUBSTITUTE($T176,";",REPT(" ",99)),793,99)))-1),Materiales!$A$2:$E$502,5,FALSE)*VALUE(MID(TRIM(MID(SUBSTITUTE($T176,";",REPT(" ",99)),793,99)),FIND(":",TRIM(MID(SUBSTITUTE($T176,";",REPT(" ",99)),793,99)))+1,99)),0) + IFERROR(VLOOKUP(LEFT(TRIM(MID(SUBSTITUTE($T176,";",REPT(" ",99)),892,99)),FIND(":",TRIM(MID(SUBSTITUTE($T176,";",REPT(" ",99)),892,99)))-1),Materiales!$A$2:$E$502,5,FALSE)*VALUE(MID(TRIM(MID(SUBSTITUTE($T176,";",REPT(" ",99)),892,99)),FIND(":",TRIM(MID(SUBSTITUTE($T176,";",REPT(" ",99)),892,99)))+1,99)),0)))</f>
        <v/>
      </c>
      <c r="V176" s="3"/>
      <c r="W176" s="5" t="str">
        <f t="array" ref="W176">IF($A176="","",IF($V176="",0,IFERROR(VLOOKUP(LEFT(TRIM(MID(SUBSTITUTE($V176,";",REPT(" ",99)),1,99)),FIND(":",TRIM(MID(SUBSTITUTE($V176,";",REPT(" ",99)),1,99)))-1),Materiales!$A$2:$E$502,5,FALSE)*VALUE(MID(TRIM(MID(SUBSTITUTE($V176,";",REPT(" ",99)),1,99)),FIND(":",TRIM(MID(SUBSTITUTE($V176,";",REPT(" ",99)),1,99)))+1,99)),0) + IFERROR(VLOOKUP(LEFT(TRIM(MID(SUBSTITUTE($V176,";",REPT(" ",99)),100,99)),FIND(":",TRIM(MID(SUBSTITUTE($V176,";",REPT(" ",99)),100,99)))-1),Materiales!$A$2:$E$502,5,FALSE)*VALUE(MID(TRIM(MID(SUBSTITUTE($V176,";",REPT(" ",99)),100,99)),FIND(":",TRIM(MID(SUBSTITUTE($V176,";",REPT(" ",99)),100,99)))+1,99)),0) + IFERROR(VLOOKUP(LEFT(TRIM(MID(SUBSTITUTE($V176,";",REPT(" ",99)),199,99)),FIND(":",TRIM(MID(SUBSTITUTE($V176,";",REPT(" ",99)),199,99)))-1),Materiales!$A$2:$E$502,5,FALSE)*VALUE(MID(TRIM(MID(SUBSTITUTE($V176,";",REPT(" ",99)),199,99)),FIND(":",TRIM(MID(SUBSTITUTE($V176,";",REPT(" ",99)),199,99)))+1,99)),0) + IFERROR(VLOOKUP(LEFT(TRIM(MID(SUBSTITUTE($V176,";",REPT(" ",99)),298,99)),FIND(":",TRIM(MID(SUBSTITUTE($V176,";",REPT(" ",99)),298,99)))-1),Materiales!$A$2:$E$502,5,FALSE)*VALUE(MID(TRIM(MID(SUBSTITUTE($V176,";",REPT(" ",99)),298,99)),FIND(":",TRIM(MID(SUBSTITUTE($V176,";",REPT(" ",99)),298,99)))+1,99)),0) + IFERROR(VLOOKUP(LEFT(TRIM(MID(SUBSTITUTE($V176,";",REPT(" ",99)),397,99)),FIND(":",TRIM(MID(SUBSTITUTE($V176,";",REPT(" ",99)),397,99)))-1),Materiales!$A$2:$E$502,5,FALSE)*VALUE(MID(TRIM(MID(SUBSTITUTE($V176,";",REPT(" ",99)),397,99)),FIND(":",TRIM(MID(SUBSTITUTE($V176,";",REPT(" ",99)),397,99)))+1,99)),0) + IFERROR(VLOOKUP(LEFT(TRIM(MID(SUBSTITUTE($V176,";",REPT(" ",99)),496,99)),FIND(":",TRIM(MID(SUBSTITUTE($V176,";",REPT(" ",99)),496,99)))-1),Materiales!$A$2:$E$502,5,FALSE)*VALUE(MID(TRIM(MID(SUBSTITUTE($V176,";",REPT(" ",99)),496,99)),FIND(":",TRIM(MID(SUBSTITUTE($V176,";",REPT(" ",99)),496,99)))+1,99)),0) + IFERROR(VLOOKUP(LEFT(TRIM(MID(SUBSTITUTE($V176,";",REPT(" ",99)),595,99)),FIND(":",TRIM(MID(SUBSTITUTE($V176,";",REPT(" ",99)),595,99)))-1),Materiales!$A$2:$E$502,5,FALSE)*VALUE(MID(TRIM(MID(SUBSTITUTE($V176,";",REPT(" ",99)),595,99)),FIND(":",TRIM(MID(SUBSTITUTE($V176,";",REPT(" ",99)),595,99)))+1,99)),0) + IFERROR(VLOOKUP(LEFT(TRIM(MID(SUBSTITUTE($V176,";",REPT(" ",99)),694,99)),FIND(":",TRIM(MID(SUBSTITUTE($V176,";",REPT(" ",99)),694,99)))-1),Materiales!$A$2:$E$502,5,FALSE)*VALUE(MID(TRIM(MID(SUBSTITUTE($V176,";",REPT(" ",99)),694,99)),FIND(":",TRIM(MID(SUBSTITUTE($V176,";",REPT(" ",99)),694,99)))+1,99)),0) + IFERROR(VLOOKUP(LEFT(TRIM(MID(SUBSTITUTE($V176,";",REPT(" ",99)),793,99)),FIND(":",TRIM(MID(SUBSTITUTE($V176,";",REPT(" ",99)),793,99)))-1),Materiales!$A$2:$E$502,5,FALSE)*VALUE(MID(TRIM(MID(SUBSTITUTE($V176,";",REPT(" ",99)),793,99)),FIND(":",TRIM(MID(SUBSTITUTE($V176,";",REPT(" ",99)),793,99)))+1,99)),0) + IFERROR(VLOOKUP(LEFT(TRIM(MID(SUBSTITUTE($V176,";",REPT(" ",99)),892,99)),FIND(":",TRIM(MID(SUBSTITUTE($V176,";",REPT(" ",99)),892,99)))-1),Materiales!$A$2:$E$502,5,FALSE)*VALUE(MID(TRIM(MID(SUBSTITUTE($V176,";",REPT(" ",99)),892,99)),FIND(":",TRIM(MID(SUBSTITUTE($V176,";",REPT(" ",99)),892,99)))+1,99)),0)))</f>
        <v/>
      </c>
      <c r="X176" s="39" t="str">
        <f t="shared" si="21"/>
        <v/>
      </c>
      <c r="Y176" s="64"/>
      <c r="Z176" s="67"/>
      <c r="AA176" s="65"/>
      <c r="AB176" s="14"/>
      <c r="AC176" s="66"/>
      <c r="AD176" s="65"/>
      <c r="AE176" s="44"/>
      <c r="AF176" s="45" t="str">
        <f t="shared" si="20"/>
        <v>#DIV/0!</v>
      </c>
    </row>
    <row r="177" ht="15.75" customHeight="1">
      <c r="A177" s="3"/>
      <c r="B177" s="3"/>
      <c r="C177" s="38"/>
      <c r="D177" s="38"/>
      <c r="E177" s="38"/>
      <c r="F177" s="14"/>
      <c r="G177" s="5" t="str">
        <f t="array" ref="G177">IF($A177="","",IFERROR($F177*(N($C177)*XLOOKUP($B177,Ceras!$A$2:$A$500,Ceras!$G$2:$G$500,0)+IF($D177="",0,N($E177)*XLOOKUP($D177,Ceras!$A$2:$A$500,Ceras!$G$2:$G$500,0))),"Revisar cera"))</f>
        <v/>
      </c>
      <c r="H177" s="5"/>
      <c r="I177" s="3"/>
      <c r="J177" s="14"/>
      <c r="K177" s="5" t="str">
        <f t="array" ref="K177">IF($A177="","",IFERROR($J177*XLOOKUP($I177,Pabilos!$A$2:$A$500,Pabilos!$H$2:$H$500,0),"Revisar pabilo"))</f>
        <v/>
      </c>
      <c r="L177" s="3"/>
      <c r="M177" s="14"/>
      <c r="N177" s="5" t="str">
        <f t="array" ref="N177">IF($A177="","",IFERROR($M177*XLOOKUP($L177,Esencias!$A$2:$A$501,Esencias!$G$2:$G$501,0),"Revisar esencia"))</f>
        <v/>
      </c>
      <c r="O177" s="3"/>
      <c r="P177" s="14"/>
      <c r="Q177" s="5" t="str">
        <f t="array" ref="Q177">IF($A177="","",IFERROR(IF($P177="",1,$P177)*XLOOKUP($O177,Colores!$A$2:$A$500,Colores!$H$2:$H$500,0),"Revisar color"))</f>
        <v/>
      </c>
      <c r="R177" s="3"/>
      <c r="S177" s="5" t="str">
        <f t="array" ref="S177">IF($A177="","",IF($R177="",0,IFERROR(VLOOKUP(LEFT(TRIM(MID(SUBSTITUTE($R177,";",REPT(" ",99)),1,99)),FIND(":",TRIM(MID(SUBSTITUTE($R177,";",REPT(" ",99)),1,99)))-1),Materiales!$A$2:$E$502,5,FALSE)*VALUE(MID(TRIM(MID(SUBSTITUTE($R177,";",REPT(" ",99)),1,99)),FIND(":",TRIM(MID(SUBSTITUTE($R177,";",REPT(" ",99)),1,99)))+1,99)),0) + IFERROR(VLOOKUP(LEFT(TRIM(MID(SUBSTITUTE($R177,";",REPT(" ",99)),100,99)),FIND(":",TRIM(MID(SUBSTITUTE($R177,";",REPT(" ",99)),100,99)))-1),Materiales!$A$2:$E$502,5,FALSE)*VALUE(MID(TRIM(MID(SUBSTITUTE($R177,";",REPT(" ",99)),100,99)),FIND(":",TRIM(MID(SUBSTITUTE($R177,";",REPT(" ",99)),100,99)))+1,99)),0) + IFERROR(VLOOKUP(LEFT(TRIM(MID(SUBSTITUTE($R177,";",REPT(" ",99)),199,99)),FIND(":",TRIM(MID(SUBSTITUTE($R177,";",REPT(" ",99)),199,99)))-1),Materiales!$A$2:$E$502,5,FALSE)*VALUE(MID(TRIM(MID(SUBSTITUTE($R177,";",REPT(" ",99)),199,99)),FIND(":",TRIM(MID(SUBSTITUTE($R177,";",REPT(" ",99)),199,99)))+1,99)),0) + IFERROR(VLOOKUP(LEFT(TRIM(MID(SUBSTITUTE($R177,";",REPT(" ",99)),298,99)),FIND(":",TRIM(MID(SUBSTITUTE($R177,";",REPT(" ",99)),298,99)))-1),Materiales!$A$2:$E$502,5,FALSE)*VALUE(MID(TRIM(MID(SUBSTITUTE($R177,";",REPT(" ",99)),298,99)),FIND(":",TRIM(MID(SUBSTITUTE($R177,";",REPT(" ",99)),298,99)))+1,99)),0) + IFERROR(VLOOKUP(LEFT(TRIM(MID(SUBSTITUTE($R177,";",REPT(" ",99)),397,99)),FIND(":",TRIM(MID(SUBSTITUTE($R177,";",REPT(" ",99)),397,99)))-1),Materiales!$A$2:$E$502,5,FALSE)*VALUE(MID(TRIM(MID(SUBSTITUTE($R177,";",REPT(" ",99)),397,99)),FIND(":",TRIM(MID(SUBSTITUTE($R177,";",REPT(" ",99)),397,99)))+1,99)),0) + IFERROR(VLOOKUP(LEFT(TRIM(MID(SUBSTITUTE($R177,";",REPT(" ",99)),496,99)),FIND(":",TRIM(MID(SUBSTITUTE($R177,";",REPT(" ",99)),496,99)))-1),Materiales!$A$2:$E$502,5,FALSE)*VALUE(MID(TRIM(MID(SUBSTITUTE($R177,";",REPT(" ",99)),496,99)),FIND(":",TRIM(MID(SUBSTITUTE($R177,";",REPT(" ",99)),496,99)))+1,99)),0) + IFERROR(VLOOKUP(LEFT(TRIM(MID(SUBSTITUTE($R177,";",REPT(" ",99)),595,99)),FIND(":",TRIM(MID(SUBSTITUTE($R177,";",REPT(" ",99)),595,99)))-1),Materiales!$A$2:$E$502,5,FALSE)*VALUE(MID(TRIM(MID(SUBSTITUTE($R177,";",REPT(" ",99)),595,99)),FIND(":",TRIM(MID(SUBSTITUTE($R177,";",REPT(" ",99)),595,99)))+1,99)),0) + IFERROR(VLOOKUP(LEFT(TRIM(MID(SUBSTITUTE($R177,";",REPT(" ",99)),694,99)),FIND(":",TRIM(MID(SUBSTITUTE($R177,";",REPT(" ",99)),694,99)))-1),Materiales!$A$2:$E$502,5,FALSE)*VALUE(MID(TRIM(MID(SUBSTITUTE($R177,";",REPT(" ",99)),694,99)),FIND(":",TRIM(MID(SUBSTITUTE($R177,";",REPT(" ",99)),694,99)))+1,99)),0) + IFERROR(VLOOKUP(LEFT(TRIM(MID(SUBSTITUTE($R177,";",REPT(" ",99)),793,99)),FIND(":",TRIM(MID(SUBSTITUTE($R177,";",REPT(" ",99)),793,99)))-1),Materiales!$A$2:$E$502,5,FALSE)*VALUE(MID(TRIM(MID(SUBSTITUTE($R177,";",REPT(" ",99)),793,99)),FIND(":",TRIM(MID(SUBSTITUTE($R177,";",REPT(" ",99)),793,99)))+1,99)),0) + IFERROR(VLOOKUP(LEFT(TRIM(MID(SUBSTITUTE($R177,";",REPT(" ",99)),892,99)),FIND(":",TRIM(MID(SUBSTITUTE($R177,";",REPT(" ",99)),892,99)))-1),Materiales!$A$2:$E$502,5,FALSE)*VALUE(MID(TRIM(MID(SUBSTITUTE($R177,";",REPT(" ",99)),892,99)),FIND(":",TRIM(MID(SUBSTITUTE($R177,";",REPT(" ",99)),892,99)))+1,99)),0)))</f>
        <v/>
      </c>
      <c r="T177" s="3"/>
      <c r="U177" s="5" t="str">
        <f t="array" ref="U177">IF($A177="","",IF($T177="",0,IFERROR(VLOOKUP(LEFT(TRIM(MID(SUBSTITUTE($T177,";",REPT(" ",99)),1,99)),FIND(":",TRIM(MID(SUBSTITUTE($T177,";",REPT(" ",99)),1,99)))-1),Materiales!$A$2:$E$502,5,FALSE)*VALUE(MID(TRIM(MID(SUBSTITUTE($T177,";",REPT(" ",99)),1,99)),FIND(":",TRIM(MID(SUBSTITUTE($T177,";",REPT(" ",99)),1,99)))+1,99)),0) + IFERROR(VLOOKUP(LEFT(TRIM(MID(SUBSTITUTE($T177,";",REPT(" ",99)),100,99)),FIND(":",TRIM(MID(SUBSTITUTE($T177,";",REPT(" ",99)),100,99)))-1),Materiales!$A$2:$E$502,5,FALSE)*VALUE(MID(TRIM(MID(SUBSTITUTE($T177,";",REPT(" ",99)),100,99)),FIND(":",TRIM(MID(SUBSTITUTE($T177,";",REPT(" ",99)),100,99)))+1,99)),0) + IFERROR(VLOOKUP(LEFT(TRIM(MID(SUBSTITUTE($T177,";",REPT(" ",99)),199,99)),FIND(":",TRIM(MID(SUBSTITUTE($T177,";",REPT(" ",99)),199,99)))-1),Materiales!$A$2:$E$502,5,FALSE)*VALUE(MID(TRIM(MID(SUBSTITUTE($T177,";",REPT(" ",99)),199,99)),FIND(":",TRIM(MID(SUBSTITUTE($T177,";",REPT(" ",99)),199,99)))+1,99)),0) + IFERROR(VLOOKUP(LEFT(TRIM(MID(SUBSTITUTE($T177,";",REPT(" ",99)),298,99)),FIND(":",TRIM(MID(SUBSTITUTE($T177,";",REPT(" ",99)),298,99)))-1),Materiales!$A$2:$E$502,5,FALSE)*VALUE(MID(TRIM(MID(SUBSTITUTE($T177,";",REPT(" ",99)),298,99)),FIND(":",TRIM(MID(SUBSTITUTE($T177,";",REPT(" ",99)),298,99)))+1,99)),0) + IFERROR(VLOOKUP(LEFT(TRIM(MID(SUBSTITUTE($T177,";",REPT(" ",99)),397,99)),FIND(":",TRIM(MID(SUBSTITUTE($T177,";",REPT(" ",99)),397,99)))-1),Materiales!$A$2:$E$502,5,FALSE)*VALUE(MID(TRIM(MID(SUBSTITUTE($T177,";",REPT(" ",99)),397,99)),FIND(":",TRIM(MID(SUBSTITUTE($T177,";",REPT(" ",99)),397,99)))+1,99)),0) + IFERROR(VLOOKUP(LEFT(TRIM(MID(SUBSTITUTE($T177,";",REPT(" ",99)),496,99)),FIND(":",TRIM(MID(SUBSTITUTE($T177,";",REPT(" ",99)),496,99)))-1),Materiales!$A$2:$E$502,5,FALSE)*VALUE(MID(TRIM(MID(SUBSTITUTE($T177,";",REPT(" ",99)),496,99)),FIND(":",TRIM(MID(SUBSTITUTE($T177,";",REPT(" ",99)),496,99)))+1,99)),0) + IFERROR(VLOOKUP(LEFT(TRIM(MID(SUBSTITUTE($T177,";",REPT(" ",99)),595,99)),FIND(":",TRIM(MID(SUBSTITUTE($T177,";",REPT(" ",99)),595,99)))-1),Materiales!$A$2:$E$502,5,FALSE)*VALUE(MID(TRIM(MID(SUBSTITUTE($T177,";",REPT(" ",99)),595,99)),FIND(":",TRIM(MID(SUBSTITUTE($T177,";",REPT(" ",99)),595,99)))+1,99)),0) + IFERROR(VLOOKUP(LEFT(TRIM(MID(SUBSTITUTE($T177,";",REPT(" ",99)),694,99)),FIND(":",TRIM(MID(SUBSTITUTE($T177,";",REPT(" ",99)),694,99)))-1),Materiales!$A$2:$E$502,5,FALSE)*VALUE(MID(TRIM(MID(SUBSTITUTE($T177,";",REPT(" ",99)),694,99)),FIND(":",TRIM(MID(SUBSTITUTE($T177,";",REPT(" ",99)),694,99)))+1,99)),0) + IFERROR(VLOOKUP(LEFT(TRIM(MID(SUBSTITUTE($T177,";",REPT(" ",99)),793,99)),FIND(":",TRIM(MID(SUBSTITUTE($T177,";",REPT(" ",99)),793,99)))-1),Materiales!$A$2:$E$502,5,FALSE)*VALUE(MID(TRIM(MID(SUBSTITUTE($T177,";",REPT(" ",99)),793,99)),FIND(":",TRIM(MID(SUBSTITUTE($T177,";",REPT(" ",99)),793,99)))+1,99)),0) + IFERROR(VLOOKUP(LEFT(TRIM(MID(SUBSTITUTE($T177,";",REPT(" ",99)),892,99)),FIND(":",TRIM(MID(SUBSTITUTE($T177,";",REPT(" ",99)),892,99)))-1),Materiales!$A$2:$E$502,5,FALSE)*VALUE(MID(TRIM(MID(SUBSTITUTE($T177,";",REPT(" ",99)),892,99)),FIND(":",TRIM(MID(SUBSTITUTE($T177,";",REPT(" ",99)),892,99)))+1,99)),0)))</f>
        <v/>
      </c>
      <c r="V177" s="3"/>
      <c r="W177" s="5" t="str">
        <f t="array" ref="W177">IF($A177="","",IF($V177="",0,IFERROR(VLOOKUP(LEFT(TRIM(MID(SUBSTITUTE($V177,";",REPT(" ",99)),1,99)),FIND(":",TRIM(MID(SUBSTITUTE($V177,";",REPT(" ",99)),1,99)))-1),Materiales!$A$2:$E$502,5,FALSE)*VALUE(MID(TRIM(MID(SUBSTITUTE($V177,";",REPT(" ",99)),1,99)),FIND(":",TRIM(MID(SUBSTITUTE($V177,";",REPT(" ",99)),1,99)))+1,99)),0) + IFERROR(VLOOKUP(LEFT(TRIM(MID(SUBSTITUTE($V177,";",REPT(" ",99)),100,99)),FIND(":",TRIM(MID(SUBSTITUTE($V177,";",REPT(" ",99)),100,99)))-1),Materiales!$A$2:$E$502,5,FALSE)*VALUE(MID(TRIM(MID(SUBSTITUTE($V177,";",REPT(" ",99)),100,99)),FIND(":",TRIM(MID(SUBSTITUTE($V177,";",REPT(" ",99)),100,99)))+1,99)),0) + IFERROR(VLOOKUP(LEFT(TRIM(MID(SUBSTITUTE($V177,";",REPT(" ",99)),199,99)),FIND(":",TRIM(MID(SUBSTITUTE($V177,";",REPT(" ",99)),199,99)))-1),Materiales!$A$2:$E$502,5,FALSE)*VALUE(MID(TRIM(MID(SUBSTITUTE($V177,";",REPT(" ",99)),199,99)),FIND(":",TRIM(MID(SUBSTITUTE($V177,";",REPT(" ",99)),199,99)))+1,99)),0) + IFERROR(VLOOKUP(LEFT(TRIM(MID(SUBSTITUTE($V177,";",REPT(" ",99)),298,99)),FIND(":",TRIM(MID(SUBSTITUTE($V177,";",REPT(" ",99)),298,99)))-1),Materiales!$A$2:$E$502,5,FALSE)*VALUE(MID(TRIM(MID(SUBSTITUTE($V177,";",REPT(" ",99)),298,99)),FIND(":",TRIM(MID(SUBSTITUTE($V177,";",REPT(" ",99)),298,99)))+1,99)),0) + IFERROR(VLOOKUP(LEFT(TRIM(MID(SUBSTITUTE($V177,";",REPT(" ",99)),397,99)),FIND(":",TRIM(MID(SUBSTITUTE($V177,";",REPT(" ",99)),397,99)))-1),Materiales!$A$2:$E$502,5,FALSE)*VALUE(MID(TRIM(MID(SUBSTITUTE($V177,";",REPT(" ",99)),397,99)),FIND(":",TRIM(MID(SUBSTITUTE($V177,";",REPT(" ",99)),397,99)))+1,99)),0) + IFERROR(VLOOKUP(LEFT(TRIM(MID(SUBSTITUTE($V177,";",REPT(" ",99)),496,99)),FIND(":",TRIM(MID(SUBSTITUTE($V177,";",REPT(" ",99)),496,99)))-1),Materiales!$A$2:$E$502,5,FALSE)*VALUE(MID(TRIM(MID(SUBSTITUTE($V177,";",REPT(" ",99)),496,99)),FIND(":",TRIM(MID(SUBSTITUTE($V177,";",REPT(" ",99)),496,99)))+1,99)),0) + IFERROR(VLOOKUP(LEFT(TRIM(MID(SUBSTITUTE($V177,";",REPT(" ",99)),595,99)),FIND(":",TRIM(MID(SUBSTITUTE($V177,";",REPT(" ",99)),595,99)))-1),Materiales!$A$2:$E$502,5,FALSE)*VALUE(MID(TRIM(MID(SUBSTITUTE($V177,";",REPT(" ",99)),595,99)),FIND(":",TRIM(MID(SUBSTITUTE($V177,";",REPT(" ",99)),595,99)))+1,99)),0) + IFERROR(VLOOKUP(LEFT(TRIM(MID(SUBSTITUTE($V177,";",REPT(" ",99)),694,99)),FIND(":",TRIM(MID(SUBSTITUTE($V177,";",REPT(" ",99)),694,99)))-1),Materiales!$A$2:$E$502,5,FALSE)*VALUE(MID(TRIM(MID(SUBSTITUTE($V177,";",REPT(" ",99)),694,99)),FIND(":",TRIM(MID(SUBSTITUTE($V177,";",REPT(" ",99)),694,99)))+1,99)),0) + IFERROR(VLOOKUP(LEFT(TRIM(MID(SUBSTITUTE($V177,";",REPT(" ",99)),793,99)),FIND(":",TRIM(MID(SUBSTITUTE($V177,";",REPT(" ",99)),793,99)))-1),Materiales!$A$2:$E$502,5,FALSE)*VALUE(MID(TRIM(MID(SUBSTITUTE($V177,";",REPT(" ",99)),793,99)),FIND(":",TRIM(MID(SUBSTITUTE($V177,";",REPT(" ",99)),793,99)))+1,99)),0) + IFERROR(VLOOKUP(LEFT(TRIM(MID(SUBSTITUTE($V177,";",REPT(" ",99)),892,99)),FIND(":",TRIM(MID(SUBSTITUTE($V177,";",REPT(" ",99)),892,99)))-1),Materiales!$A$2:$E$502,5,FALSE)*VALUE(MID(TRIM(MID(SUBSTITUTE($V177,";",REPT(" ",99)),892,99)),FIND(":",TRIM(MID(SUBSTITUTE($V177,";",REPT(" ",99)),892,99)))+1,99)),0)))</f>
        <v/>
      </c>
      <c r="X177" s="39" t="str">
        <f t="shared" si="21"/>
        <v/>
      </c>
      <c r="Y177" s="64"/>
      <c r="Z177" s="67"/>
      <c r="AA177" s="65"/>
      <c r="AB177" s="14"/>
      <c r="AC177" s="66"/>
      <c r="AD177" s="65"/>
      <c r="AE177" s="44"/>
      <c r="AF177" s="45" t="str">
        <f t="shared" si="20"/>
        <v>#DIV/0!</v>
      </c>
    </row>
    <row r="178" ht="15.75" customHeight="1">
      <c r="A178" s="3"/>
      <c r="B178" s="3"/>
      <c r="C178" s="38"/>
      <c r="D178" s="38"/>
      <c r="E178" s="38"/>
      <c r="F178" s="14"/>
      <c r="G178" s="5" t="str">
        <f t="array" ref="G178">IF($A178="","",IFERROR($F178*(N($C178)*XLOOKUP($B178,Ceras!$A$2:$A$500,Ceras!$G$2:$G$500,0)+IF($D178="",0,N($E178)*XLOOKUP($D178,Ceras!$A$2:$A$500,Ceras!$G$2:$G$500,0))),"Revisar cera"))</f>
        <v/>
      </c>
      <c r="H178" s="5"/>
      <c r="I178" s="3"/>
      <c r="J178" s="14"/>
      <c r="K178" s="5" t="str">
        <f t="array" ref="K178">IF($A178="","",IFERROR($J178*XLOOKUP($I178,Pabilos!$A$2:$A$500,Pabilos!$H$2:$H$500,0),"Revisar pabilo"))</f>
        <v/>
      </c>
      <c r="L178" s="3"/>
      <c r="M178" s="14"/>
      <c r="N178" s="5" t="str">
        <f t="array" ref="N178">IF($A178="","",IFERROR($M178*XLOOKUP($L178,Esencias!$A$2:$A$501,Esencias!$G$2:$G$501,0),"Revisar esencia"))</f>
        <v/>
      </c>
      <c r="O178" s="3"/>
      <c r="P178" s="14"/>
      <c r="Q178" s="5" t="str">
        <f t="array" ref="Q178">IF($A178="","",IFERROR(IF($P178="",1,$P178)*XLOOKUP($O178,Colores!$A$2:$A$500,Colores!$H$2:$H$500,0),"Revisar color"))</f>
        <v/>
      </c>
      <c r="R178" s="3"/>
      <c r="S178" s="5" t="str">
        <f t="array" ref="S178">IF($A178="","",IF($R178="",0,IFERROR(VLOOKUP(LEFT(TRIM(MID(SUBSTITUTE($R178,";",REPT(" ",99)),1,99)),FIND(":",TRIM(MID(SUBSTITUTE($R178,";",REPT(" ",99)),1,99)))-1),Materiales!$A$2:$E$502,5,FALSE)*VALUE(MID(TRIM(MID(SUBSTITUTE($R178,";",REPT(" ",99)),1,99)),FIND(":",TRIM(MID(SUBSTITUTE($R178,";",REPT(" ",99)),1,99)))+1,99)),0) + IFERROR(VLOOKUP(LEFT(TRIM(MID(SUBSTITUTE($R178,";",REPT(" ",99)),100,99)),FIND(":",TRIM(MID(SUBSTITUTE($R178,";",REPT(" ",99)),100,99)))-1),Materiales!$A$2:$E$502,5,FALSE)*VALUE(MID(TRIM(MID(SUBSTITUTE($R178,";",REPT(" ",99)),100,99)),FIND(":",TRIM(MID(SUBSTITUTE($R178,";",REPT(" ",99)),100,99)))+1,99)),0) + IFERROR(VLOOKUP(LEFT(TRIM(MID(SUBSTITUTE($R178,";",REPT(" ",99)),199,99)),FIND(":",TRIM(MID(SUBSTITUTE($R178,";",REPT(" ",99)),199,99)))-1),Materiales!$A$2:$E$502,5,FALSE)*VALUE(MID(TRIM(MID(SUBSTITUTE($R178,";",REPT(" ",99)),199,99)),FIND(":",TRIM(MID(SUBSTITUTE($R178,";",REPT(" ",99)),199,99)))+1,99)),0) + IFERROR(VLOOKUP(LEFT(TRIM(MID(SUBSTITUTE($R178,";",REPT(" ",99)),298,99)),FIND(":",TRIM(MID(SUBSTITUTE($R178,";",REPT(" ",99)),298,99)))-1),Materiales!$A$2:$E$502,5,FALSE)*VALUE(MID(TRIM(MID(SUBSTITUTE($R178,";",REPT(" ",99)),298,99)),FIND(":",TRIM(MID(SUBSTITUTE($R178,";",REPT(" ",99)),298,99)))+1,99)),0) + IFERROR(VLOOKUP(LEFT(TRIM(MID(SUBSTITUTE($R178,";",REPT(" ",99)),397,99)),FIND(":",TRIM(MID(SUBSTITUTE($R178,";",REPT(" ",99)),397,99)))-1),Materiales!$A$2:$E$502,5,FALSE)*VALUE(MID(TRIM(MID(SUBSTITUTE($R178,";",REPT(" ",99)),397,99)),FIND(":",TRIM(MID(SUBSTITUTE($R178,";",REPT(" ",99)),397,99)))+1,99)),0) + IFERROR(VLOOKUP(LEFT(TRIM(MID(SUBSTITUTE($R178,";",REPT(" ",99)),496,99)),FIND(":",TRIM(MID(SUBSTITUTE($R178,";",REPT(" ",99)),496,99)))-1),Materiales!$A$2:$E$502,5,FALSE)*VALUE(MID(TRIM(MID(SUBSTITUTE($R178,";",REPT(" ",99)),496,99)),FIND(":",TRIM(MID(SUBSTITUTE($R178,";",REPT(" ",99)),496,99)))+1,99)),0) + IFERROR(VLOOKUP(LEFT(TRIM(MID(SUBSTITUTE($R178,";",REPT(" ",99)),595,99)),FIND(":",TRIM(MID(SUBSTITUTE($R178,";",REPT(" ",99)),595,99)))-1),Materiales!$A$2:$E$502,5,FALSE)*VALUE(MID(TRIM(MID(SUBSTITUTE($R178,";",REPT(" ",99)),595,99)),FIND(":",TRIM(MID(SUBSTITUTE($R178,";",REPT(" ",99)),595,99)))+1,99)),0) + IFERROR(VLOOKUP(LEFT(TRIM(MID(SUBSTITUTE($R178,";",REPT(" ",99)),694,99)),FIND(":",TRIM(MID(SUBSTITUTE($R178,";",REPT(" ",99)),694,99)))-1),Materiales!$A$2:$E$502,5,FALSE)*VALUE(MID(TRIM(MID(SUBSTITUTE($R178,";",REPT(" ",99)),694,99)),FIND(":",TRIM(MID(SUBSTITUTE($R178,";",REPT(" ",99)),694,99)))+1,99)),0) + IFERROR(VLOOKUP(LEFT(TRIM(MID(SUBSTITUTE($R178,";",REPT(" ",99)),793,99)),FIND(":",TRIM(MID(SUBSTITUTE($R178,";",REPT(" ",99)),793,99)))-1),Materiales!$A$2:$E$502,5,FALSE)*VALUE(MID(TRIM(MID(SUBSTITUTE($R178,";",REPT(" ",99)),793,99)),FIND(":",TRIM(MID(SUBSTITUTE($R178,";",REPT(" ",99)),793,99)))+1,99)),0) + IFERROR(VLOOKUP(LEFT(TRIM(MID(SUBSTITUTE($R178,";",REPT(" ",99)),892,99)),FIND(":",TRIM(MID(SUBSTITUTE($R178,";",REPT(" ",99)),892,99)))-1),Materiales!$A$2:$E$502,5,FALSE)*VALUE(MID(TRIM(MID(SUBSTITUTE($R178,";",REPT(" ",99)),892,99)),FIND(":",TRIM(MID(SUBSTITUTE($R178,";",REPT(" ",99)),892,99)))+1,99)),0)))</f>
        <v/>
      </c>
      <c r="T178" s="3"/>
      <c r="U178" s="5" t="str">
        <f t="array" ref="U178">IF($A178="","",IF($T178="",0,IFERROR(VLOOKUP(LEFT(TRIM(MID(SUBSTITUTE($T178,";",REPT(" ",99)),1,99)),FIND(":",TRIM(MID(SUBSTITUTE($T178,";",REPT(" ",99)),1,99)))-1),Materiales!$A$2:$E$502,5,FALSE)*VALUE(MID(TRIM(MID(SUBSTITUTE($T178,";",REPT(" ",99)),1,99)),FIND(":",TRIM(MID(SUBSTITUTE($T178,";",REPT(" ",99)),1,99)))+1,99)),0) + IFERROR(VLOOKUP(LEFT(TRIM(MID(SUBSTITUTE($T178,";",REPT(" ",99)),100,99)),FIND(":",TRIM(MID(SUBSTITUTE($T178,";",REPT(" ",99)),100,99)))-1),Materiales!$A$2:$E$502,5,FALSE)*VALUE(MID(TRIM(MID(SUBSTITUTE($T178,";",REPT(" ",99)),100,99)),FIND(":",TRIM(MID(SUBSTITUTE($T178,";",REPT(" ",99)),100,99)))+1,99)),0) + IFERROR(VLOOKUP(LEFT(TRIM(MID(SUBSTITUTE($T178,";",REPT(" ",99)),199,99)),FIND(":",TRIM(MID(SUBSTITUTE($T178,";",REPT(" ",99)),199,99)))-1),Materiales!$A$2:$E$502,5,FALSE)*VALUE(MID(TRIM(MID(SUBSTITUTE($T178,";",REPT(" ",99)),199,99)),FIND(":",TRIM(MID(SUBSTITUTE($T178,";",REPT(" ",99)),199,99)))+1,99)),0) + IFERROR(VLOOKUP(LEFT(TRIM(MID(SUBSTITUTE($T178,";",REPT(" ",99)),298,99)),FIND(":",TRIM(MID(SUBSTITUTE($T178,";",REPT(" ",99)),298,99)))-1),Materiales!$A$2:$E$502,5,FALSE)*VALUE(MID(TRIM(MID(SUBSTITUTE($T178,";",REPT(" ",99)),298,99)),FIND(":",TRIM(MID(SUBSTITUTE($T178,";",REPT(" ",99)),298,99)))+1,99)),0) + IFERROR(VLOOKUP(LEFT(TRIM(MID(SUBSTITUTE($T178,";",REPT(" ",99)),397,99)),FIND(":",TRIM(MID(SUBSTITUTE($T178,";",REPT(" ",99)),397,99)))-1),Materiales!$A$2:$E$502,5,FALSE)*VALUE(MID(TRIM(MID(SUBSTITUTE($T178,";",REPT(" ",99)),397,99)),FIND(":",TRIM(MID(SUBSTITUTE($T178,";",REPT(" ",99)),397,99)))+1,99)),0) + IFERROR(VLOOKUP(LEFT(TRIM(MID(SUBSTITUTE($T178,";",REPT(" ",99)),496,99)),FIND(":",TRIM(MID(SUBSTITUTE($T178,";",REPT(" ",99)),496,99)))-1),Materiales!$A$2:$E$502,5,FALSE)*VALUE(MID(TRIM(MID(SUBSTITUTE($T178,";",REPT(" ",99)),496,99)),FIND(":",TRIM(MID(SUBSTITUTE($T178,";",REPT(" ",99)),496,99)))+1,99)),0) + IFERROR(VLOOKUP(LEFT(TRIM(MID(SUBSTITUTE($T178,";",REPT(" ",99)),595,99)),FIND(":",TRIM(MID(SUBSTITUTE($T178,";",REPT(" ",99)),595,99)))-1),Materiales!$A$2:$E$502,5,FALSE)*VALUE(MID(TRIM(MID(SUBSTITUTE($T178,";",REPT(" ",99)),595,99)),FIND(":",TRIM(MID(SUBSTITUTE($T178,";",REPT(" ",99)),595,99)))+1,99)),0) + IFERROR(VLOOKUP(LEFT(TRIM(MID(SUBSTITUTE($T178,";",REPT(" ",99)),694,99)),FIND(":",TRIM(MID(SUBSTITUTE($T178,";",REPT(" ",99)),694,99)))-1),Materiales!$A$2:$E$502,5,FALSE)*VALUE(MID(TRIM(MID(SUBSTITUTE($T178,";",REPT(" ",99)),694,99)),FIND(":",TRIM(MID(SUBSTITUTE($T178,";",REPT(" ",99)),694,99)))+1,99)),0) + IFERROR(VLOOKUP(LEFT(TRIM(MID(SUBSTITUTE($T178,";",REPT(" ",99)),793,99)),FIND(":",TRIM(MID(SUBSTITUTE($T178,";",REPT(" ",99)),793,99)))-1),Materiales!$A$2:$E$502,5,FALSE)*VALUE(MID(TRIM(MID(SUBSTITUTE($T178,";",REPT(" ",99)),793,99)),FIND(":",TRIM(MID(SUBSTITUTE($T178,";",REPT(" ",99)),793,99)))+1,99)),0) + IFERROR(VLOOKUP(LEFT(TRIM(MID(SUBSTITUTE($T178,";",REPT(" ",99)),892,99)),FIND(":",TRIM(MID(SUBSTITUTE($T178,";",REPT(" ",99)),892,99)))-1),Materiales!$A$2:$E$502,5,FALSE)*VALUE(MID(TRIM(MID(SUBSTITUTE($T178,";",REPT(" ",99)),892,99)),FIND(":",TRIM(MID(SUBSTITUTE($T178,";",REPT(" ",99)),892,99)))+1,99)),0)))</f>
        <v/>
      </c>
      <c r="V178" s="3"/>
      <c r="W178" s="5" t="str">
        <f t="array" ref="W178">IF($A178="","",IF($V178="",0,IFERROR(VLOOKUP(LEFT(TRIM(MID(SUBSTITUTE($V178,";",REPT(" ",99)),1,99)),FIND(":",TRIM(MID(SUBSTITUTE($V178,";",REPT(" ",99)),1,99)))-1),Materiales!$A$2:$E$502,5,FALSE)*VALUE(MID(TRIM(MID(SUBSTITUTE($V178,";",REPT(" ",99)),1,99)),FIND(":",TRIM(MID(SUBSTITUTE($V178,";",REPT(" ",99)),1,99)))+1,99)),0) + IFERROR(VLOOKUP(LEFT(TRIM(MID(SUBSTITUTE($V178,";",REPT(" ",99)),100,99)),FIND(":",TRIM(MID(SUBSTITUTE($V178,";",REPT(" ",99)),100,99)))-1),Materiales!$A$2:$E$502,5,FALSE)*VALUE(MID(TRIM(MID(SUBSTITUTE($V178,";",REPT(" ",99)),100,99)),FIND(":",TRIM(MID(SUBSTITUTE($V178,";",REPT(" ",99)),100,99)))+1,99)),0) + IFERROR(VLOOKUP(LEFT(TRIM(MID(SUBSTITUTE($V178,";",REPT(" ",99)),199,99)),FIND(":",TRIM(MID(SUBSTITUTE($V178,";",REPT(" ",99)),199,99)))-1),Materiales!$A$2:$E$502,5,FALSE)*VALUE(MID(TRIM(MID(SUBSTITUTE($V178,";",REPT(" ",99)),199,99)),FIND(":",TRIM(MID(SUBSTITUTE($V178,";",REPT(" ",99)),199,99)))+1,99)),0) + IFERROR(VLOOKUP(LEFT(TRIM(MID(SUBSTITUTE($V178,";",REPT(" ",99)),298,99)),FIND(":",TRIM(MID(SUBSTITUTE($V178,";",REPT(" ",99)),298,99)))-1),Materiales!$A$2:$E$502,5,FALSE)*VALUE(MID(TRIM(MID(SUBSTITUTE($V178,";",REPT(" ",99)),298,99)),FIND(":",TRIM(MID(SUBSTITUTE($V178,";",REPT(" ",99)),298,99)))+1,99)),0) + IFERROR(VLOOKUP(LEFT(TRIM(MID(SUBSTITUTE($V178,";",REPT(" ",99)),397,99)),FIND(":",TRIM(MID(SUBSTITUTE($V178,";",REPT(" ",99)),397,99)))-1),Materiales!$A$2:$E$502,5,FALSE)*VALUE(MID(TRIM(MID(SUBSTITUTE($V178,";",REPT(" ",99)),397,99)),FIND(":",TRIM(MID(SUBSTITUTE($V178,";",REPT(" ",99)),397,99)))+1,99)),0) + IFERROR(VLOOKUP(LEFT(TRIM(MID(SUBSTITUTE($V178,";",REPT(" ",99)),496,99)),FIND(":",TRIM(MID(SUBSTITUTE($V178,";",REPT(" ",99)),496,99)))-1),Materiales!$A$2:$E$502,5,FALSE)*VALUE(MID(TRIM(MID(SUBSTITUTE($V178,";",REPT(" ",99)),496,99)),FIND(":",TRIM(MID(SUBSTITUTE($V178,";",REPT(" ",99)),496,99)))+1,99)),0) + IFERROR(VLOOKUP(LEFT(TRIM(MID(SUBSTITUTE($V178,";",REPT(" ",99)),595,99)),FIND(":",TRIM(MID(SUBSTITUTE($V178,";",REPT(" ",99)),595,99)))-1),Materiales!$A$2:$E$502,5,FALSE)*VALUE(MID(TRIM(MID(SUBSTITUTE($V178,";",REPT(" ",99)),595,99)),FIND(":",TRIM(MID(SUBSTITUTE($V178,";",REPT(" ",99)),595,99)))+1,99)),0) + IFERROR(VLOOKUP(LEFT(TRIM(MID(SUBSTITUTE($V178,";",REPT(" ",99)),694,99)),FIND(":",TRIM(MID(SUBSTITUTE($V178,";",REPT(" ",99)),694,99)))-1),Materiales!$A$2:$E$502,5,FALSE)*VALUE(MID(TRIM(MID(SUBSTITUTE($V178,";",REPT(" ",99)),694,99)),FIND(":",TRIM(MID(SUBSTITUTE($V178,";",REPT(" ",99)),694,99)))+1,99)),0) + IFERROR(VLOOKUP(LEFT(TRIM(MID(SUBSTITUTE($V178,";",REPT(" ",99)),793,99)),FIND(":",TRIM(MID(SUBSTITUTE($V178,";",REPT(" ",99)),793,99)))-1),Materiales!$A$2:$E$502,5,FALSE)*VALUE(MID(TRIM(MID(SUBSTITUTE($V178,";",REPT(" ",99)),793,99)),FIND(":",TRIM(MID(SUBSTITUTE($V178,";",REPT(" ",99)),793,99)))+1,99)),0) + IFERROR(VLOOKUP(LEFT(TRIM(MID(SUBSTITUTE($V178,";",REPT(" ",99)),892,99)),FIND(":",TRIM(MID(SUBSTITUTE($V178,";",REPT(" ",99)),892,99)))-1),Materiales!$A$2:$E$502,5,FALSE)*VALUE(MID(TRIM(MID(SUBSTITUTE($V178,";",REPT(" ",99)),892,99)),FIND(":",TRIM(MID(SUBSTITUTE($V178,";",REPT(" ",99)),892,99)))+1,99)),0)))</f>
        <v/>
      </c>
      <c r="X178" s="39" t="str">
        <f t="shared" si="21"/>
        <v/>
      </c>
      <c r="Y178" s="64"/>
      <c r="Z178" s="67"/>
      <c r="AA178" s="65"/>
      <c r="AB178" s="14"/>
      <c r="AC178" s="66"/>
      <c r="AD178" s="65"/>
      <c r="AE178" s="44"/>
      <c r="AF178" s="45" t="str">
        <f t="shared" si="20"/>
        <v>#DIV/0!</v>
      </c>
    </row>
    <row r="179" ht="15.75" customHeight="1">
      <c r="A179" s="3"/>
      <c r="B179" s="3"/>
      <c r="C179" s="38"/>
      <c r="D179" s="38"/>
      <c r="E179" s="38"/>
      <c r="F179" s="14"/>
      <c r="G179" s="5" t="str">
        <f t="array" ref="G179">IF($A179="","",IFERROR($F179*(N($C179)*XLOOKUP($B179,Ceras!$A$2:$A$500,Ceras!$G$2:$G$500,0)+IF($D179="",0,N($E179)*XLOOKUP($D179,Ceras!$A$2:$A$500,Ceras!$G$2:$G$500,0))),"Revisar cera"))</f>
        <v/>
      </c>
      <c r="H179" s="5"/>
      <c r="I179" s="3"/>
      <c r="J179" s="14"/>
      <c r="K179" s="5" t="str">
        <f t="array" ref="K179">IF($A179="","",IFERROR($J179*XLOOKUP($I179,Pabilos!$A$2:$A$500,Pabilos!$H$2:$H$500,0),"Revisar pabilo"))</f>
        <v/>
      </c>
      <c r="L179" s="3"/>
      <c r="M179" s="14"/>
      <c r="N179" s="5" t="str">
        <f t="array" ref="N179">IF($A179="","",IFERROR($M179*XLOOKUP($L179,Esencias!$A$2:$A$501,Esencias!$G$2:$G$501,0),"Revisar esencia"))</f>
        <v/>
      </c>
      <c r="O179" s="3"/>
      <c r="P179" s="14"/>
      <c r="Q179" s="5" t="str">
        <f t="array" ref="Q179">IF($A179="","",IFERROR(IF($P179="",1,$P179)*XLOOKUP($O179,Colores!$A$2:$A$500,Colores!$H$2:$H$500,0),"Revisar color"))</f>
        <v/>
      </c>
      <c r="R179" s="3"/>
      <c r="S179" s="5" t="str">
        <f t="array" ref="S179">IF($A179="","",IF($R179="",0,IFERROR(VLOOKUP(LEFT(TRIM(MID(SUBSTITUTE($R179,";",REPT(" ",99)),1,99)),FIND(":",TRIM(MID(SUBSTITUTE($R179,";",REPT(" ",99)),1,99)))-1),Materiales!$A$2:$E$502,5,FALSE)*VALUE(MID(TRIM(MID(SUBSTITUTE($R179,";",REPT(" ",99)),1,99)),FIND(":",TRIM(MID(SUBSTITUTE($R179,";",REPT(" ",99)),1,99)))+1,99)),0) + IFERROR(VLOOKUP(LEFT(TRIM(MID(SUBSTITUTE($R179,";",REPT(" ",99)),100,99)),FIND(":",TRIM(MID(SUBSTITUTE($R179,";",REPT(" ",99)),100,99)))-1),Materiales!$A$2:$E$502,5,FALSE)*VALUE(MID(TRIM(MID(SUBSTITUTE($R179,";",REPT(" ",99)),100,99)),FIND(":",TRIM(MID(SUBSTITUTE($R179,";",REPT(" ",99)),100,99)))+1,99)),0) + IFERROR(VLOOKUP(LEFT(TRIM(MID(SUBSTITUTE($R179,";",REPT(" ",99)),199,99)),FIND(":",TRIM(MID(SUBSTITUTE($R179,";",REPT(" ",99)),199,99)))-1),Materiales!$A$2:$E$502,5,FALSE)*VALUE(MID(TRIM(MID(SUBSTITUTE($R179,";",REPT(" ",99)),199,99)),FIND(":",TRIM(MID(SUBSTITUTE($R179,";",REPT(" ",99)),199,99)))+1,99)),0) + IFERROR(VLOOKUP(LEFT(TRIM(MID(SUBSTITUTE($R179,";",REPT(" ",99)),298,99)),FIND(":",TRIM(MID(SUBSTITUTE($R179,";",REPT(" ",99)),298,99)))-1),Materiales!$A$2:$E$502,5,FALSE)*VALUE(MID(TRIM(MID(SUBSTITUTE($R179,";",REPT(" ",99)),298,99)),FIND(":",TRIM(MID(SUBSTITUTE($R179,";",REPT(" ",99)),298,99)))+1,99)),0) + IFERROR(VLOOKUP(LEFT(TRIM(MID(SUBSTITUTE($R179,";",REPT(" ",99)),397,99)),FIND(":",TRIM(MID(SUBSTITUTE($R179,";",REPT(" ",99)),397,99)))-1),Materiales!$A$2:$E$502,5,FALSE)*VALUE(MID(TRIM(MID(SUBSTITUTE($R179,";",REPT(" ",99)),397,99)),FIND(":",TRIM(MID(SUBSTITUTE($R179,";",REPT(" ",99)),397,99)))+1,99)),0) + IFERROR(VLOOKUP(LEFT(TRIM(MID(SUBSTITUTE($R179,";",REPT(" ",99)),496,99)),FIND(":",TRIM(MID(SUBSTITUTE($R179,";",REPT(" ",99)),496,99)))-1),Materiales!$A$2:$E$502,5,FALSE)*VALUE(MID(TRIM(MID(SUBSTITUTE($R179,";",REPT(" ",99)),496,99)),FIND(":",TRIM(MID(SUBSTITUTE($R179,";",REPT(" ",99)),496,99)))+1,99)),0) + IFERROR(VLOOKUP(LEFT(TRIM(MID(SUBSTITUTE($R179,";",REPT(" ",99)),595,99)),FIND(":",TRIM(MID(SUBSTITUTE($R179,";",REPT(" ",99)),595,99)))-1),Materiales!$A$2:$E$502,5,FALSE)*VALUE(MID(TRIM(MID(SUBSTITUTE($R179,";",REPT(" ",99)),595,99)),FIND(":",TRIM(MID(SUBSTITUTE($R179,";",REPT(" ",99)),595,99)))+1,99)),0) + IFERROR(VLOOKUP(LEFT(TRIM(MID(SUBSTITUTE($R179,";",REPT(" ",99)),694,99)),FIND(":",TRIM(MID(SUBSTITUTE($R179,";",REPT(" ",99)),694,99)))-1),Materiales!$A$2:$E$502,5,FALSE)*VALUE(MID(TRIM(MID(SUBSTITUTE($R179,";",REPT(" ",99)),694,99)),FIND(":",TRIM(MID(SUBSTITUTE($R179,";",REPT(" ",99)),694,99)))+1,99)),0) + IFERROR(VLOOKUP(LEFT(TRIM(MID(SUBSTITUTE($R179,";",REPT(" ",99)),793,99)),FIND(":",TRIM(MID(SUBSTITUTE($R179,";",REPT(" ",99)),793,99)))-1),Materiales!$A$2:$E$502,5,FALSE)*VALUE(MID(TRIM(MID(SUBSTITUTE($R179,";",REPT(" ",99)),793,99)),FIND(":",TRIM(MID(SUBSTITUTE($R179,";",REPT(" ",99)),793,99)))+1,99)),0) + IFERROR(VLOOKUP(LEFT(TRIM(MID(SUBSTITUTE($R179,";",REPT(" ",99)),892,99)),FIND(":",TRIM(MID(SUBSTITUTE($R179,";",REPT(" ",99)),892,99)))-1),Materiales!$A$2:$E$502,5,FALSE)*VALUE(MID(TRIM(MID(SUBSTITUTE($R179,";",REPT(" ",99)),892,99)),FIND(":",TRIM(MID(SUBSTITUTE($R179,";",REPT(" ",99)),892,99)))+1,99)),0)))</f>
        <v/>
      </c>
      <c r="T179" s="3"/>
      <c r="U179" s="5" t="str">
        <f t="array" ref="U179">IF($A179="","",IF($T179="",0,IFERROR(VLOOKUP(LEFT(TRIM(MID(SUBSTITUTE($T179,";",REPT(" ",99)),1,99)),FIND(":",TRIM(MID(SUBSTITUTE($T179,";",REPT(" ",99)),1,99)))-1),Materiales!$A$2:$E$502,5,FALSE)*VALUE(MID(TRIM(MID(SUBSTITUTE($T179,";",REPT(" ",99)),1,99)),FIND(":",TRIM(MID(SUBSTITUTE($T179,";",REPT(" ",99)),1,99)))+1,99)),0) + IFERROR(VLOOKUP(LEFT(TRIM(MID(SUBSTITUTE($T179,";",REPT(" ",99)),100,99)),FIND(":",TRIM(MID(SUBSTITUTE($T179,";",REPT(" ",99)),100,99)))-1),Materiales!$A$2:$E$502,5,FALSE)*VALUE(MID(TRIM(MID(SUBSTITUTE($T179,";",REPT(" ",99)),100,99)),FIND(":",TRIM(MID(SUBSTITUTE($T179,";",REPT(" ",99)),100,99)))+1,99)),0) + IFERROR(VLOOKUP(LEFT(TRIM(MID(SUBSTITUTE($T179,";",REPT(" ",99)),199,99)),FIND(":",TRIM(MID(SUBSTITUTE($T179,";",REPT(" ",99)),199,99)))-1),Materiales!$A$2:$E$502,5,FALSE)*VALUE(MID(TRIM(MID(SUBSTITUTE($T179,";",REPT(" ",99)),199,99)),FIND(":",TRIM(MID(SUBSTITUTE($T179,";",REPT(" ",99)),199,99)))+1,99)),0) + IFERROR(VLOOKUP(LEFT(TRIM(MID(SUBSTITUTE($T179,";",REPT(" ",99)),298,99)),FIND(":",TRIM(MID(SUBSTITUTE($T179,";",REPT(" ",99)),298,99)))-1),Materiales!$A$2:$E$502,5,FALSE)*VALUE(MID(TRIM(MID(SUBSTITUTE($T179,";",REPT(" ",99)),298,99)),FIND(":",TRIM(MID(SUBSTITUTE($T179,";",REPT(" ",99)),298,99)))+1,99)),0) + IFERROR(VLOOKUP(LEFT(TRIM(MID(SUBSTITUTE($T179,";",REPT(" ",99)),397,99)),FIND(":",TRIM(MID(SUBSTITUTE($T179,";",REPT(" ",99)),397,99)))-1),Materiales!$A$2:$E$502,5,FALSE)*VALUE(MID(TRIM(MID(SUBSTITUTE($T179,";",REPT(" ",99)),397,99)),FIND(":",TRIM(MID(SUBSTITUTE($T179,";",REPT(" ",99)),397,99)))+1,99)),0) + IFERROR(VLOOKUP(LEFT(TRIM(MID(SUBSTITUTE($T179,";",REPT(" ",99)),496,99)),FIND(":",TRIM(MID(SUBSTITUTE($T179,";",REPT(" ",99)),496,99)))-1),Materiales!$A$2:$E$502,5,FALSE)*VALUE(MID(TRIM(MID(SUBSTITUTE($T179,";",REPT(" ",99)),496,99)),FIND(":",TRIM(MID(SUBSTITUTE($T179,";",REPT(" ",99)),496,99)))+1,99)),0) + IFERROR(VLOOKUP(LEFT(TRIM(MID(SUBSTITUTE($T179,";",REPT(" ",99)),595,99)),FIND(":",TRIM(MID(SUBSTITUTE($T179,";",REPT(" ",99)),595,99)))-1),Materiales!$A$2:$E$502,5,FALSE)*VALUE(MID(TRIM(MID(SUBSTITUTE($T179,";",REPT(" ",99)),595,99)),FIND(":",TRIM(MID(SUBSTITUTE($T179,";",REPT(" ",99)),595,99)))+1,99)),0) + IFERROR(VLOOKUP(LEFT(TRIM(MID(SUBSTITUTE($T179,";",REPT(" ",99)),694,99)),FIND(":",TRIM(MID(SUBSTITUTE($T179,";",REPT(" ",99)),694,99)))-1),Materiales!$A$2:$E$502,5,FALSE)*VALUE(MID(TRIM(MID(SUBSTITUTE($T179,";",REPT(" ",99)),694,99)),FIND(":",TRIM(MID(SUBSTITUTE($T179,";",REPT(" ",99)),694,99)))+1,99)),0) + IFERROR(VLOOKUP(LEFT(TRIM(MID(SUBSTITUTE($T179,";",REPT(" ",99)),793,99)),FIND(":",TRIM(MID(SUBSTITUTE($T179,";",REPT(" ",99)),793,99)))-1),Materiales!$A$2:$E$502,5,FALSE)*VALUE(MID(TRIM(MID(SUBSTITUTE($T179,";",REPT(" ",99)),793,99)),FIND(":",TRIM(MID(SUBSTITUTE($T179,";",REPT(" ",99)),793,99)))+1,99)),0) + IFERROR(VLOOKUP(LEFT(TRIM(MID(SUBSTITUTE($T179,";",REPT(" ",99)),892,99)),FIND(":",TRIM(MID(SUBSTITUTE($T179,";",REPT(" ",99)),892,99)))-1),Materiales!$A$2:$E$502,5,FALSE)*VALUE(MID(TRIM(MID(SUBSTITUTE($T179,";",REPT(" ",99)),892,99)),FIND(":",TRIM(MID(SUBSTITUTE($T179,";",REPT(" ",99)),892,99)))+1,99)),0)))</f>
        <v/>
      </c>
      <c r="V179" s="3"/>
      <c r="W179" s="5" t="str">
        <f t="array" ref="W179">IF($A179="","",IF($V179="",0,IFERROR(VLOOKUP(LEFT(TRIM(MID(SUBSTITUTE($V179,";",REPT(" ",99)),1,99)),FIND(":",TRIM(MID(SUBSTITUTE($V179,";",REPT(" ",99)),1,99)))-1),Materiales!$A$2:$E$502,5,FALSE)*VALUE(MID(TRIM(MID(SUBSTITUTE($V179,";",REPT(" ",99)),1,99)),FIND(":",TRIM(MID(SUBSTITUTE($V179,";",REPT(" ",99)),1,99)))+1,99)),0) + IFERROR(VLOOKUP(LEFT(TRIM(MID(SUBSTITUTE($V179,";",REPT(" ",99)),100,99)),FIND(":",TRIM(MID(SUBSTITUTE($V179,";",REPT(" ",99)),100,99)))-1),Materiales!$A$2:$E$502,5,FALSE)*VALUE(MID(TRIM(MID(SUBSTITUTE($V179,";",REPT(" ",99)),100,99)),FIND(":",TRIM(MID(SUBSTITUTE($V179,";",REPT(" ",99)),100,99)))+1,99)),0) + IFERROR(VLOOKUP(LEFT(TRIM(MID(SUBSTITUTE($V179,";",REPT(" ",99)),199,99)),FIND(":",TRIM(MID(SUBSTITUTE($V179,";",REPT(" ",99)),199,99)))-1),Materiales!$A$2:$E$502,5,FALSE)*VALUE(MID(TRIM(MID(SUBSTITUTE($V179,";",REPT(" ",99)),199,99)),FIND(":",TRIM(MID(SUBSTITUTE($V179,";",REPT(" ",99)),199,99)))+1,99)),0) + IFERROR(VLOOKUP(LEFT(TRIM(MID(SUBSTITUTE($V179,";",REPT(" ",99)),298,99)),FIND(":",TRIM(MID(SUBSTITUTE($V179,";",REPT(" ",99)),298,99)))-1),Materiales!$A$2:$E$502,5,FALSE)*VALUE(MID(TRIM(MID(SUBSTITUTE($V179,";",REPT(" ",99)),298,99)),FIND(":",TRIM(MID(SUBSTITUTE($V179,";",REPT(" ",99)),298,99)))+1,99)),0) + IFERROR(VLOOKUP(LEFT(TRIM(MID(SUBSTITUTE($V179,";",REPT(" ",99)),397,99)),FIND(":",TRIM(MID(SUBSTITUTE($V179,";",REPT(" ",99)),397,99)))-1),Materiales!$A$2:$E$502,5,FALSE)*VALUE(MID(TRIM(MID(SUBSTITUTE($V179,";",REPT(" ",99)),397,99)),FIND(":",TRIM(MID(SUBSTITUTE($V179,";",REPT(" ",99)),397,99)))+1,99)),0) + IFERROR(VLOOKUP(LEFT(TRIM(MID(SUBSTITUTE($V179,";",REPT(" ",99)),496,99)),FIND(":",TRIM(MID(SUBSTITUTE($V179,";",REPT(" ",99)),496,99)))-1),Materiales!$A$2:$E$502,5,FALSE)*VALUE(MID(TRIM(MID(SUBSTITUTE($V179,";",REPT(" ",99)),496,99)),FIND(":",TRIM(MID(SUBSTITUTE($V179,";",REPT(" ",99)),496,99)))+1,99)),0) + IFERROR(VLOOKUP(LEFT(TRIM(MID(SUBSTITUTE($V179,";",REPT(" ",99)),595,99)),FIND(":",TRIM(MID(SUBSTITUTE($V179,";",REPT(" ",99)),595,99)))-1),Materiales!$A$2:$E$502,5,FALSE)*VALUE(MID(TRIM(MID(SUBSTITUTE($V179,";",REPT(" ",99)),595,99)),FIND(":",TRIM(MID(SUBSTITUTE($V179,";",REPT(" ",99)),595,99)))+1,99)),0) + IFERROR(VLOOKUP(LEFT(TRIM(MID(SUBSTITUTE($V179,";",REPT(" ",99)),694,99)),FIND(":",TRIM(MID(SUBSTITUTE($V179,";",REPT(" ",99)),694,99)))-1),Materiales!$A$2:$E$502,5,FALSE)*VALUE(MID(TRIM(MID(SUBSTITUTE($V179,";",REPT(" ",99)),694,99)),FIND(":",TRIM(MID(SUBSTITUTE($V179,";",REPT(" ",99)),694,99)))+1,99)),0) + IFERROR(VLOOKUP(LEFT(TRIM(MID(SUBSTITUTE($V179,";",REPT(" ",99)),793,99)),FIND(":",TRIM(MID(SUBSTITUTE($V179,";",REPT(" ",99)),793,99)))-1),Materiales!$A$2:$E$502,5,FALSE)*VALUE(MID(TRIM(MID(SUBSTITUTE($V179,";",REPT(" ",99)),793,99)),FIND(":",TRIM(MID(SUBSTITUTE($V179,";",REPT(" ",99)),793,99)))+1,99)),0) + IFERROR(VLOOKUP(LEFT(TRIM(MID(SUBSTITUTE($V179,";",REPT(" ",99)),892,99)),FIND(":",TRIM(MID(SUBSTITUTE($V179,";",REPT(" ",99)),892,99)))-1),Materiales!$A$2:$E$502,5,FALSE)*VALUE(MID(TRIM(MID(SUBSTITUTE($V179,";",REPT(" ",99)),892,99)),FIND(":",TRIM(MID(SUBSTITUTE($V179,";",REPT(" ",99)),892,99)))+1,99)),0)))</f>
        <v/>
      </c>
      <c r="X179" s="39" t="str">
        <f t="shared" si="21"/>
        <v/>
      </c>
      <c r="Y179" s="64"/>
      <c r="Z179" s="67"/>
      <c r="AA179" s="65"/>
      <c r="AB179" s="14"/>
      <c r="AC179" s="66"/>
      <c r="AD179" s="65"/>
      <c r="AE179" s="44"/>
      <c r="AF179" s="45" t="str">
        <f t="shared" si="20"/>
        <v>#DIV/0!</v>
      </c>
    </row>
    <row r="180" ht="15.75" customHeight="1">
      <c r="A180" s="3"/>
      <c r="B180" s="3"/>
      <c r="C180" s="38"/>
      <c r="D180" s="38"/>
      <c r="E180" s="38"/>
      <c r="F180" s="14"/>
      <c r="G180" s="5" t="str">
        <f t="array" ref="G180">IF($A180="","",IFERROR($F180*(N($C180)*XLOOKUP($B180,Ceras!$A$2:$A$500,Ceras!$G$2:$G$500,0)+IF($D180="",0,N($E180)*XLOOKUP($D180,Ceras!$A$2:$A$500,Ceras!$G$2:$G$500,0))),"Revisar cera"))</f>
        <v/>
      </c>
      <c r="H180" s="5"/>
      <c r="I180" s="3"/>
      <c r="J180" s="14"/>
      <c r="K180" s="5" t="str">
        <f t="array" ref="K180">IF($A180="","",IFERROR($J180*XLOOKUP($I180,Pabilos!$A$2:$A$500,Pabilos!$H$2:$H$500,0),"Revisar pabilo"))</f>
        <v/>
      </c>
      <c r="L180" s="3"/>
      <c r="M180" s="14"/>
      <c r="N180" s="5" t="str">
        <f t="array" ref="N180">IF($A180="","",IFERROR($M180*XLOOKUP($L180,Esencias!$A$2:$A$501,Esencias!$G$2:$G$501,0),"Revisar esencia"))</f>
        <v/>
      </c>
      <c r="O180" s="3"/>
      <c r="P180" s="14"/>
      <c r="Q180" s="5" t="str">
        <f t="array" ref="Q180">IF($A180="","",IFERROR(IF($P180="",1,$P180)*XLOOKUP($O180,Colores!$A$2:$A$500,Colores!$H$2:$H$500,0),"Revisar color"))</f>
        <v/>
      </c>
      <c r="R180" s="3"/>
      <c r="S180" s="5" t="str">
        <f t="array" ref="S180">IF($A180="","",IF($R180="",0,IFERROR(VLOOKUP(LEFT(TRIM(MID(SUBSTITUTE($R180,";",REPT(" ",99)),1,99)),FIND(":",TRIM(MID(SUBSTITUTE($R180,";",REPT(" ",99)),1,99)))-1),Materiales!$A$2:$E$502,5,FALSE)*VALUE(MID(TRIM(MID(SUBSTITUTE($R180,";",REPT(" ",99)),1,99)),FIND(":",TRIM(MID(SUBSTITUTE($R180,";",REPT(" ",99)),1,99)))+1,99)),0) + IFERROR(VLOOKUP(LEFT(TRIM(MID(SUBSTITUTE($R180,";",REPT(" ",99)),100,99)),FIND(":",TRIM(MID(SUBSTITUTE($R180,";",REPT(" ",99)),100,99)))-1),Materiales!$A$2:$E$502,5,FALSE)*VALUE(MID(TRIM(MID(SUBSTITUTE($R180,";",REPT(" ",99)),100,99)),FIND(":",TRIM(MID(SUBSTITUTE($R180,";",REPT(" ",99)),100,99)))+1,99)),0) + IFERROR(VLOOKUP(LEFT(TRIM(MID(SUBSTITUTE($R180,";",REPT(" ",99)),199,99)),FIND(":",TRIM(MID(SUBSTITUTE($R180,";",REPT(" ",99)),199,99)))-1),Materiales!$A$2:$E$502,5,FALSE)*VALUE(MID(TRIM(MID(SUBSTITUTE($R180,";",REPT(" ",99)),199,99)),FIND(":",TRIM(MID(SUBSTITUTE($R180,";",REPT(" ",99)),199,99)))+1,99)),0) + IFERROR(VLOOKUP(LEFT(TRIM(MID(SUBSTITUTE($R180,";",REPT(" ",99)),298,99)),FIND(":",TRIM(MID(SUBSTITUTE($R180,";",REPT(" ",99)),298,99)))-1),Materiales!$A$2:$E$502,5,FALSE)*VALUE(MID(TRIM(MID(SUBSTITUTE($R180,";",REPT(" ",99)),298,99)),FIND(":",TRIM(MID(SUBSTITUTE($R180,";",REPT(" ",99)),298,99)))+1,99)),0) + IFERROR(VLOOKUP(LEFT(TRIM(MID(SUBSTITUTE($R180,";",REPT(" ",99)),397,99)),FIND(":",TRIM(MID(SUBSTITUTE($R180,";",REPT(" ",99)),397,99)))-1),Materiales!$A$2:$E$502,5,FALSE)*VALUE(MID(TRIM(MID(SUBSTITUTE($R180,";",REPT(" ",99)),397,99)),FIND(":",TRIM(MID(SUBSTITUTE($R180,";",REPT(" ",99)),397,99)))+1,99)),0) + IFERROR(VLOOKUP(LEFT(TRIM(MID(SUBSTITUTE($R180,";",REPT(" ",99)),496,99)),FIND(":",TRIM(MID(SUBSTITUTE($R180,";",REPT(" ",99)),496,99)))-1),Materiales!$A$2:$E$502,5,FALSE)*VALUE(MID(TRIM(MID(SUBSTITUTE($R180,";",REPT(" ",99)),496,99)),FIND(":",TRIM(MID(SUBSTITUTE($R180,";",REPT(" ",99)),496,99)))+1,99)),0) + IFERROR(VLOOKUP(LEFT(TRIM(MID(SUBSTITUTE($R180,";",REPT(" ",99)),595,99)),FIND(":",TRIM(MID(SUBSTITUTE($R180,";",REPT(" ",99)),595,99)))-1),Materiales!$A$2:$E$502,5,FALSE)*VALUE(MID(TRIM(MID(SUBSTITUTE($R180,";",REPT(" ",99)),595,99)),FIND(":",TRIM(MID(SUBSTITUTE($R180,";",REPT(" ",99)),595,99)))+1,99)),0) + IFERROR(VLOOKUP(LEFT(TRIM(MID(SUBSTITUTE($R180,";",REPT(" ",99)),694,99)),FIND(":",TRIM(MID(SUBSTITUTE($R180,";",REPT(" ",99)),694,99)))-1),Materiales!$A$2:$E$502,5,FALSE)*VALUE(MID(TRIM(MID(SUBSTITUTE($R180,";",REPT(" ",99)),694,99)),FIND(":",TRIM(MID(SUBSTITUTE($R180,";",REPT(" ",99)),694,99)))+1,99)),0) + IFERROR(VLOOKUP(LEFT(TRIM(MID(SUBSTITUTE($R180,";",REPT(" ",99)),793,99)),FIND(":",TRIM(MID(SUBSTITUTE($R180,";",REPT(" ",99)),793,99)))-1),Materiales!$A$2:$E$502,5,FALSE)*VALUE(MID(TRIM(MID(SUBSTITUTE($R180,";",REPT(" ",99)),793,99)),FIND(":",TRIM(MID(SUBSTITUTE($R180,";",REPT(" ",99)),793,99)))+1,99)),0) + IFERROR(VLOOKUP(LEFT(TRIM(MID(SUBSTITUTE($R180,";",REPT(" ",99)),892,99)),FIND(":",TRIM(MID(SUBSTITUTE($R180,";",REPT(" ",99)),892,99)))-1),Materiales!$A$2:$E$502,5,FALSE)*VALUE(MID(TRIM(MID(SUBSTITUTE($R180,";",REPT(" ",99)),892,99)),FIND(":",TRIM(MID(SUBSTITUTE($R180,";",REPT(" ",99)),892,99)))+1,99)),0)))</f>
        <v/>
      </c>
      <c r="T180" s="3"/>
      <c r="U180" s="5" t="str">
        <f t="array" ref="U180">IF($A180="","",IF($T180="",0,IFERROR(VLOOKUP(LEFT(TRIM(MID(SUBSTITUTE($T180,";",REPT(" ",99)),1,99)),FIND(":",TRIM(MID(SUBSTITUTE($T180,";",REPT(" ",99)),1,99)))-1),Materiales!$A$2:$E$502,5,FALSE)*VALUE(MID(TRIM(MID(SUBSTITUTE($T180,";",REPT(" ",99)),1,99)),FIND(":",TRIM(MID(SUBSTITUTE($T180,";",REPT(" ",99)),1,99)))+1,99)),0) + IFERROR(VLOOKUP(LEFT(TRIM(MID(SUBSTITUTE($T180,";",REPT(" ",99)),100,99)),FIND(":",TRIM(MID(SUBSTITUTE($T180,";",REPT(" ",99)),100,99)))-1),Materiales!$A$2:$E$502,5,FALSE)*VALUE(MID(TRIM(MID(SUBSTITUTE($T180,";",REPT(" ",99)),100,99)),FIND(":",TRIM(MID(SUBSTITUTE($T180,";",REPT(" ",99)),100,99)))+1,99)),0) + IFERROR(VLOOKUP(LEFT(TRIM(MID(SUBSTITUTE($T180,";",REPT(" ",99)),199,99)),FIND(":",TRIM(MID(SUBSTITUTE($T180,";",REPT(" ",99)),199,99)))-1),Materiales!$A$2:$E$502,5,FALSE)*VALUE(MID(TRIM(MID(SUBSTITUTE($T180,";",REPT(" ",99)),199,99)),FIND(":",TRIM(MID(SUBSTITUTE($T180,";",REPT(" ",99)),199,99)))+1,99)),0) + IFERROR(VLOOKUP(LEFT(TRIM(MID(SUBSTITUTE($T180,";",REPT(" ",99)),298,99)),FIND(":",TRIM(MID(SUBSTITUTE($T180,";",REPT(" ",99)),298,99)))-1),Materiales!$A$2:$E$502,5,FALSE)*VALUE(MID(TRIM(MID(SUBSTITUTE($T180,";",REPT(" ",99)),298,99)),FIND(":",TRIM(MID(SUBSTITUTE($T180,";",REPT(" ",99)),298,99)))+1,99)),0) + IFERROR(VLOOKUP(LEFT(TRIM(MID(SUBSTITUTE($T180,";",REPT(" ",99)),397,99)),FIND(":",TRIM(MID(SUBSTITUTE($T180,";",REPT(" ",99)),397,99)))-1),Materiales!$A$2:$E$502,5,FALSE)*VALUE(MID(TRIM(MID(SUBSTITUTE($T180,";",REPT(" ",99)),397,99)),FIND(":",TRIM(MID(SUBSTITUTE($T180,";",REPT(" ",99)),397,99)))+1,99)),0) + IFERROR(VLOOKUP(LEFT(TRIM(MID(SUBSTITUTE($T180,";",REPT(" ",99)),496,99)),FIND(":",TRIM(MID(SUBSTITUTE($T180,";",REPT(" ",99)),496,99)))-1),Materiales!$A$2:$E$502,5,FALSE)*VALUE(MID(TRIM(MID(SUBSTITUTE($T180,";",REPT(" ",99)),496,99)),FIND(":",TRIM(MID(SUBSTITUTE($T180,";",REPT(" ",99)),496,99)))+1,99)),0) + IFERROR(VLOOKUP(LEFT(TRIM(MID(SUBSTITUTE($T180,";",REPT(" ",99)),595,99)),FIND(":",TRIM(MID(SUBSTITUTE($T180,";",REPT(" ",99)),595,99)))-1),Materiales!$A$2:$E$502,5,FALSE)*VALUE(MID(TRIM(MID(SUBSTITUTE($T180,";",REPT(" ",99)),595,99)),FIND(":",TRIM(MID(SUBSTITUTE($T180,";",REPT(" ",99)),595,99)))+1,99)),0) + IFERROR(VLOOKUP(LEFT(TRIM(MID(SUBSTITUTE($T180,";",REPT(" ",99)),694,99)),FIND(":",TRIM(MID(SUBSTITUTE($T180,";",REPT(" ",99)),694,99)))-1),Materiales!$A$2:$E$502,5,FALSE)*VALUE(MID(TRIM(MID(SUBSTITUTE($T180,";",REPT(" ",99)),694,99)),FIND(":",TRIM(MID(SUBSTITUTE($T180,";",REPT(" ",99)),694,99)))+1,99)),0) + IFERROR(VLOOKUP(LEFT(TRIM(MID(SUBSTITUTE($T180,";",REPT(" ",99)),793,99)),FIND(":",TRIM(MID(SUBSTITUTE($T180,";",REPT(" ",99)),793,99)))-1),Materiales!$A$2:$E$502,5,FALSE)*VALUE(MID(TRIM(MID(SUBSTITUTE($T180,";",REPT(" ",99)),793,99)),FIND(":",TRIM(MID(SUBSTITUTE($T180,";",REPT(" ",99)),793,99)))+1,99)),0) + IFERROR(VLOOKUP(LEFT(TRIM(MID(SUBSTITUTE($T180,";",REPT(" ",99)),892,99)),FIND(":",TRIM(MID(SUBSTITUTE($T180,";",REPT(" ",99)),892,99)))-1),Materiales!$A$2:$E$502,5,FALSE)*VALUE(MID(TRIM(MID(SUBSTITUTE($T180,";",REPT(" ",99)),892,99)),FIND(":",TRIM(MID(SUBSTITUTE($T180,";",REPT(" ",99)),892,99)))+1,99)),0)))</f>
        <v/>
      </c>
      <c r="V180" s="3"/>
      <c r="W180" s="5" t="str">
        <f t="array" ref="W180">IF($A180="","",IF($V180="",0,IFERROR(VLOOKUP(LEFT(TRIM(MID(SUBSTITUTE($V180,";",REPT(" ",99)),1,99)),FIND(":",TRIM(MID(SUBSTITUTE($V180,";",REPT(" ",99)),1,99)))-1),Materiales!$A$2:$E$502,5,FALSE)*VALUE(MID(TRIM(MID(SUBSTITUTE($V180,";",REPT(" ",99)),1,99)),FIND(":",TRIM(MID(SUBSTITUTE($V180,";",REPT(" ",99)),1,99)))+1,99)),0) + IFERROR(VLOOKUP(LEFT(TRIM(MID(SUBSTITUTE($V180,";",REPT(" ",99)),100,99)),FIND(":",TRIM(MID(SUBSTITUTE($V180,";",REPT(" ",99)),100,99)))-1),Materiales!$A$2:$E$502,5,FALSE)*VALUE(MID(TRIM(MID(SUBSTITUTE($V180,";",REPT(" ",99)),100,99)),FIND(":",TRIM(MID(SUBSTITUTE($V180,";",REPT(" ",99)),100,99)))+1,99)),0) + IFERROR(VLOOKUP(LEFT(TRIM(MID(SUBSTITUTE($V180,";",REPT(" ",99)),199,99)),FIND(":",TRIM(MID(SUBSTITUTE($V180,";",REPT(" ",99)),199,99)))-1),Materiales!$A$2:$E$502,5,FALSE)*VALUE(MID(TRIM(MID(SUBSTITUTE($V180,";",REPT(" ",99)),199,99)),FIND(":",TRIM(MID(SUBSTITUTE($V180,";",REPT(" ",99)),199,99)))+1,99)),0) + IFERROR(VLOOKUP(LEFT(TRIM(MID(SUBSTITUTE($V180,";",REPT(" ",99)),298,99)),FIND(":",TRIM(MID(SUBSTITUTE($V180,";",REPT(" ",99)),298,99)))-1),Materiales!$A$2:$E$502,5,FALSE)*VALUE(MID(TRIM(MID(SUBSTITUTE($V180,";",REPT(" ",99)),298,99)),FIND(":",TRIM(MID(SUBSTITUTE($V180,";",REPT(" ",99)),298,99)))+1,99)),0) + IFERROR(VLOOKUP(LEFT(TRIM(MID(SUBSTITUTE($V180,";",REPT(" ",99)),397,99)),FIND(":",TRIM(MID(SUBSTITUTE($V180,";",REPT(" ",99)),397,99)))-1),Materiales!$A$2:$E$502,5,FALSE)*VALUE(MID(TRIM(MID(SUBSTITUTE($V180,";",REPT(" ",99)),397,99)),FIND(":",TRIM(MID(SUBSTITUTE($V180,";",REPT(" ",99)),397,99)))+1,99)),0) + IFERROR(VLOOKUP(LEFT(TRIM(MID(SUBSTITUTE($V180,";",REPT(" ",99)),496,99)),FIND(":",TRIM(MID(SUBSTITUTE($V180,";",REPT(" ",99)),496,99)))-1),Materiales!$A$2:$E$502,5,FALSE)*VALUE(MID(TRIM(MID(SUBSTITUTE($V180,";",REPT(" ",99)),496,99)),FIND(":",TRIM(MID(SUBSTITUTE($V180,";",REPT(" ",99)),496,99)))+1,99)),0) + IFERROR(VLOOKUP(LEFT(TRIM(MID(SUBSTITUTE($V180,";",REPT(" ",99)),595,99)),FIND(":",TRIM(MID(SUBSTITUTE($V180,";",REPT(" ",99)),595,99)))-1),Materiales!$A$2:$E$502,5,FALSE)*VALUE(MID(TRIM(MID(SUBSTITUTE($V180,";",REPT(" ",99)),595,99)),FIND(":",TRIM(MID(SUBSTITUTE($V180,";",REPT(" ",99)),595,99)))+1,99)),0) + IFERROR(VLOOKUP(LEFT(TRIM(MID(SUBSTITUTE($V180,";",REPT(" ",99)),694,99)),FIND(":",TRIM(MID(SUBSTITUTE($V180,";",REPT(" ",99)),694,99)))-1),Materiales!$A$2:$E$502,5,FALSE)*VALUE(MID(TRIM(MID(SUBSTITUTE($V180,";",REPT(" ",99)),694,99)),FIND(":",TRIM(MID(SUBSTITUTE($V180,";",REPT(" ",99)),694,99)))+1,99)),0) + IFERROR(VLOOKUP(LEFT(TRIM(MID(SUBSTITUTE($V180,";",REPT(" ",99)),793,99)),FIND(":",TRIM(MID(SUBSTITUTE($V180,";",REPT(" ",99)),793,99)))-1),Materiales!$A$2:$E$502,5,FALSE)*VALUE(MID(TRIM(MID(SUBSTITUTE($V180,";",REPT(" ",99)),793,99)),FIND(":",TRIM(MID(SUBSTITUTE($V180,";",REPT(" ",99)),793,99)))+1,99)),0) + IFERROR(VLOOKUP(LEFT(TRIM(MID(SUBSTITUTE($V180,";",REPT(" ",99)),892,99)),FIND(":",TRIM(MID(SUBSTITUTE($V180,";",REPT(" ",99)),892,99)))-1),Materiales!$A$2:$E$502,5,FALSE)*VALUE(MID(TRIM(MID(SUBSTITUTE($V180,";",REPT(" ",99)),892,99)),FIND(":",TRIM(MID(SUBSTITUTE($V180,";",REPT(" ",99)),892,99)))+1,99)),0)))</f>
        <v/>
      </c>
      <c r="X180" s="39" t="str">
        <f t="shared" si="21"/>
        <v/>
      </c>
      <c r="Y180" s="64"/>
      <c r="Z180" s="67"/>
      <c r="AA180" s="65"/>
      <c r="AB180" s="14"/>
      <c r="AC180" s="66"/>
      <c r="AD180" s="65"/>
      <c r="AE180" s="44"/>
      <c r="AF180" s="45" t="str">
        <f t="shared" si="20"/>
        <v>#DIV/0!</v>
      </c>
    </row>
    <row r="181" ht="15.75" customHeight="1">
      <c r="A181" s="3"/>
      <c r="B181" s="3"/>
      <c r="C181" s="38"/>
      <c r="D181" s="38"/>
      <c r="E181" s="38"/>
      <c r="F181" s="14"/>
      <c r="G181" s="5" t="str">
        <f t="array" ref="G181">IF($A181="","",IFERROR($F181*(N($C181)*XLOOKUP($B181,Ceras!$A$2:$A$500,Ceras!$G$2:$G$500,0)+IF($D181="",0,N($E181)*XLOOKUP($D181,Ceras!$A$2:$A$500,Ceras!$G$2:$G$500,0))),"Revisar cera"))</f>
        <v/>
      </c>
      <c r="H181" s="5"/>
      <c r="I181" s="3"/>
      <c r="J181" s="14"/>
      <c r="K181" s="5" t="str">
        <f t="array" ref="K181">IF($A181="","",IFERROR($J181*XLOOKUP($I181,Pabilos!$A$2:$A$500,Pabilos!$H$2:$H$500,0),"Revisar pabilo"))</f>
        <v/>
      </c>
      <c r="L181" s="3"/>
      <c r="M181" s="14"/>
      <c r="N181" s="5" t="str">
        <f t="array" ref="N181">IF($A181="","",IFERROR($M181*XLOOKUP($L181,Esencias!$A$2:$A$501,Esencias!$G$2:$G$501,0),"Revisar esencia"))</f>
        <v/>
      </c>
      <c r="O181" s="3"/>
      <c r="P181" s="14"/>
      <c r="Q181" s="5" t="str">
        <f t="array" ref="Q181">IF($A181="","",IFERROR(IF($P181="",1,$P181)*XLOOKUP($O181,Colores!$A$2:$A$500,Colores!$H$2:$H$500,0),"Revisar color"))</f>
        <v/>
      </c>
      <c r="R181" s="3"/>
      <c r="S181" s="5" t="str">
        <f t="array" ref="S181">IF($A181="","",IF($R181="",0,IFERROR(VLOOKUP(LEFT(TRIM(MID(SUBSTITUTE($R181,";",REPT(" ",99)),1,99)),FIND(":",TRIM(MID(SUBSTITUTE($R181,";",REPT(" ",99)),1,99)))-1),Materiales!$A$2:$E$502,5,FALSE)*VALUE(MID(TRIM(MID(SUBSTITUTE($R181,";",REPT(" ",99)),1,99)),FIND(":",TRIM(MID(SUBSTITUTE($R181,";",REPT(" ",99)),1,99)))+1,99)),0) + IFERROR(VLOOKUP(LEFT(TRIM(MID(SUBSTITUTE($R181,";",REPT(" ",99)),100,99)),FIND(":",TRIM(MID(SUBSTITUTE($R181,";",REPT(" ",99)),100,99)))-1),Materiales!$A$2:$E$502,5,FALSE)*VALUE(MID(TRIM(MID(SUBSTITUTE($R181,";",REPT(" ",99)),100,99)),FIND(":",TRIM(MID(SUBSTITUTE($R181,";",REPT(" ",99)),100,99)))+1,99)),0) + IFERROR(VLOOKUP(LEFT(TRIM(MID(SUBSTITUTE($R181,";",REPT(" ",99)),199,99)),FIND(":",TRIM(MID(SUBSTITUTE($R181,";",REPT(" ",99)),199,99)))-1),Materiales!$A$2:$E$502,5,FALSE)*VALUE(MID(TRIM(MID(SUBSTITUTE($R181,";",REPT(" ",99)),199,99)),FIND(":",TRIM(MID(SUBSTITUTE($R181,";",REPT(" ",99)),199,99)))+1,99)),0) + IFERROR(VLOOKUP(LEFT(TRIM(MID(SUBSTITUTE($R181,";",REPT(" ",99)),298,99)),FIND(":",TRIM(MID(SUBSTITUTE($R181,";",REPT(" ",99)),298,99)))-1),Materiales!$A$2:$E$502,5,FALSE)*VALUE(MID(TRIM(MID(SUBSTITUTE($R181,";",REPT(" ",99)),298,99)),FIND(":",TRIM(MID(SUBSTITUTE($R181,";",REPT(" ",99)),298,99)))+1,99)),0) + IFERROR(VLOOKUP(LEFT(TRIM(MID(SUBSTITUTE($R181,";",REPT(" ",99)),397,99)),FIND(":",TRIM(MID(SUBSTITUTE($R181,";",REPT(" ",99)),397,99)))-1),Materiales!$A$2:$E$502,5,FALSE)*VALUE(MID(TRIM(MID(SUBSTITUTE($R181,";",REPT(" ",99)),397,99)),FIND(":",TRIM(MID(SUBSTITUTE($R181,";",REPT(" ",99)),397,99)))+1,99)),0) + IFERROR(VLOOKUP(LEFT(TRIM(MID(SUBSTITUTE($R181,";",REPT(" ",99)),496,99)),FIND(":",TRIM(MID(SUBSTITUTE($R181,";",REPT(" ",99)),496,99)))-1),Materiales!$A$2:$E$502,5,FALSE)*VALUE(MID(TRIM(MID(SUBSTITUTE($R181,";",REPT(" ",99)),496,99)),FIND(":",TRIM(MID(SUBSTITUTE($R181,";",REPT(" ",99)),496,99)))+1,99)),0) + IFERROR(VLOOKUP(LEFT(TRIM(MID(SUBSTITUTE($R181,";",REPT(" ",99)),595,99)),FIND(":",TRIM(MID(SUBSTITUTE($R181,";",REPT(" ",99)),595,99)))-1),Materiales!$A$2:$E$502,5,FALSE)*VALUE(MID(TRIM(MID(SUBSTITUTE($R181,";",REPT(" ",99)),595,99)),FIND(":",TRIM(MID(SUBSTITUTE($R181,";",REPT(" ",99)),595,99)))+1,99)),0) + IFERROR(VLOOKUP(LEFT(TRIM(MID(SUBSTITUTE($R181,";",REPT(" ",99)),694,99)),FIND(":",TRIM(MID(SUBSTITUTE($R181,";",REPT(" ",99)),694,99)))-1),Materiales!$A$2:$E$502,5,FALSE)*VALUE(MID(TRIM(MID(SUBSTITUTE($R181,";",REPT(" ",99)),694,99)),FIND(":",TRIM(MID(SUBSTITUTE($R181,";",REPT(" ",99)),694,99)))+1,99)),0) + IFERROR(VLOOKUP(LEFT(TRIM(MID(SUBSTITUTE($R181,";",REPT(" ",99)),793,99)),FIND(":",TRIM(MID(SUBSTITUTE($R181,";",REPT(" ",99)),793,99)))-1),Materiales!$A$2:$E$502,5,FALSE)*VALUE(MID(TRIM(MID(SUBSTITUTE($R181,";",REPT(" ",99)),793,99)),FIND(":",TRIM(MID(SUBSTITUTE($R181,";",REPT(" ",99)),793,99)))+1,99)),0) + IFERROR(VLOOKUP(LEFT(TRIM(MID(SUBSTITUTE($R181,";",REPT(" ",99)),892,99)),FIND(":",TRIM(MID(SUBSTITUTE($R181,";",REPT(" ",99)),892,99)))-1),Materiales!$A$2:$E$502,5,FALSE)*VALUE(MID(TRIM(MID(SUBSTITUTE($R181,";",REPT(" ",99)),892,99)),FIND(":",TRIM(MID(SUBSTITUTE($R181,";",REPT(" ",99)),892,99)))+1,99)),0)))</f>
        <v/>
      </c>
      <c r="T181" s="3"/>
      <c r="U181" s="5" t="str">
        <f t="array" ref="U181">IF($A181="","",IF($T181="",0,IFERROR(VLOOKUP(LEFT(TRIM(MID(SUBSTITUTE($T181,";",REPT(" ",99)),1,99)),FIND(":",TRIM(MID(SUBSTITUTE($T181,";",REPT(" ",99)),1,99)))-1),Materiales!$A$2:$E$502,5,FALSE)*VALUE(MID(TRIM(MID(SUBSTITUTE($T181,";",REPT(" ",99)),1,99)),FIND(":",TRIM(MID(SUBSTITUTE($T181,";",REPT(" ",99)),1,99)))+1,99)),0) + IFERROR(VLOOKUP(LEFT(TRIM(MID(SUBSTITUTE($T181,";",REPT(" ",99)),100,99)),FIND(":",TRIM(MID(SUBSTITUTE($T181,";",REPT(" ",99)),100,99)))-1),Materiales!$A$2:$E$502,5,FALSE)*VALUE(MID(TRIM(MID(SUBSTITUTE($T181,";",REPT(" ",99)),100,99)),FIND(":",TRIM(MID(SUBSTITUTE($T181,";",REPT(" ",99)),100,99)))+1,99)),0) + IFERROR(VLOOKUP(LEFT(TRIM(MID(SUBSTITUTE($T181,";",REPT(" ",99)),199,99)),FIND(":",TRIM(MID(SUBSTITUTE($T181,";",REPT(" ",99)),199,99)))-1),Materiales!$A$2:$E$502,5,FALSE)*VALUE(MID(TRIM(MID(SUBSTITUTE($T181,";",REPT(" ",99)),199,99)),FIND(":",TRIM(MID(SUBSTITUTE($T181,";",REPT(" ",99)),199,99)))+1,99)),0) + IFERROR(VLOOKUP(LEFT(TRIM(MID(SUBSTITUTE($T181,";",REPT(" ",99)),298,99)),FIND(":",TRIM(MID(SUBSTITUTE($T181,";",REPT(" ",99)),298,99)))-1),Materiales!$A$2:$E$502,5,FALSE)*VALUE(MID(TRIM(MID(SUBSTITUTE($T181,";",REPT(" ",99)),298,99)),FIND(":",TRIM(MID(SUBSTITUTE($T181,";",REPT(" ",99)),298,99)))+1,99)),0) + IFERROR(VLOOKUP(LEFT(TRIM(MID(SUBSTITUTE($T181,";",REPT(" ",99)),397,99)),FIND(":",TRIM(MID(SUBSTITUTE($T181,";",REPT(" ",99)),397,99)))-1),Materiales!$A$2:$E$502,5,FALSE)*VALUE(MID(TRIM(MID(SUBSTITUTE($T181,";",REPT(" ",99)),397,99)),FIND(":",TRIM(MID(SUBSTITUTE($T181,";",REPT(" ",99)),397,99)))+1,99)),0) + IFERROR(VLOOKUP(LEFT(TRIM(MID(SUBSTITUTE($T181,";",REPT(" ",99)),496,99)),FIND(":",TRIM(MID(SUBSTITUTE($T181,";",REPT(" ",99)),496,99)))-1),Materiales!$A$2:$E$502,5,FALSE)*VALUE(MID(TRIM(MID(SUBSTITUTE($T181,";",REPT(" ",99)),496,99)),FIND(":",TRIM(MID(SUBSTITUTE($T181,";",REPT(" ",99)),496,99)))+1,99)),0) + IFERROR(VLOOKUP(LEFT(TRIM(MID(SUBSTITUTE($T181,";",REPT(" ",99)),595,99)),FIND(":",TRIM(MID(SUBSTITUTE($T181,";",REPT(" ",99)),595,99)))-1),Materiales!$A$2:$E$502,5,FALSE)*VALUE(MID(TRIM(MID(SUBSTITUTE($T181,";",REPT(" ",99)),595,99)),FIND(":",TRIM(MID(SUBSTITUTE($T181,";",REPT(" ",99)),595,99)))+1,99)),0) + IFERROR(VLOOKUP(LEFT(TRIM(MID(SUBSTITUTE($T181,";",REPT(" ",99)),694,99)),FIND(":",TRIM(MID(SUBSTITUTE($T181,";",REPT(" ",99)),694,99)))-1),Materiales!$A$2:$E$502,5,FALSE)*VALUE(MID(TRIM(MID(SUBSTITUTE($T181,";",REPT(" ",99)),694,99)),FIND(":",TRIM(MID(SUBSTITUTE($T181,";",REPT(" ",99)),694,99)))+1,99)),0) + IFERROR(VLOOKUP(LEFT(TRIM(MID(SUBSTITUTE($T181,";",REPT(" ",99)),793,99)),FIND(":",TRIM(MID(SUBSTITUTE($T181,";",REPT(" ",99)),793,99)))-1),Materiales!$A$2:$E$502,5,FALSE)*VALUE(MID(TRIM(MID(SUBSTITUTE($T181,";",REPT(" ",99)),793,99)),FIND(":",TRIM(MID(SUBSTITUTE($T181,";",REPT(" ",99)),793,99)))+1,99)),0) + IFERROR(VLOOKUP(LEFT(TRIM(MID(SUBSTITUTE($T181,";",REPT(" ",99)),892,99)),FIND(":",TRIM(MID(SUBSTITUTE($T181,";",REPT(" ",99)),892,99)))-1),Materiales!$A$2:$E$502,5,FALSE)*VALUE(MID(TRIM(MID(SUBSTITUTE($T181,";",REPT(" ",99)),892,99)),FIND(":",TRIM(MID(SUBSTITUTE($T181,";",REPT(" ",99)),892,99)))+1,99)),0)))</f>
        <v/>
      </c>
      <c r="V181" s="3"/>
      <c r="W181" s="5" t="str">
        <f t="array" ref="W181">IF($A181="","",IF($V181="",0,IFERROR(VLOOKUP(LEFT(TRIM(MID(SUBSTITUTE($V181,";",REPT(" ",99)),1,99)),FIND(":",TRIM(MID(SUBSTITUTE($V181,";",REPT(" ",99)),1,99)))-1),Materiales!$A$2:$E$502,5,FALSE)*VALUE(MID(TRIM(MID(SUBSTITUTE($V181,";",REPT(" ",99)),1,99)),FIND(":",TRIM(MID(SUBSTITUTE($V181,";",REPT(" ",99)),1,99)))+1,99)),0) + IFERROR(VLOOKUP(LEFT(TRIM(MID(SUBSTITUTE($V181,";",REPT(" ",99)),100,99)),FIND(":",TRIM(MID(SUBSTITUTE($V181,";",REPT(" ",99)),100,99)))-1),Materiales!$A$2:$E$502,5,FALSE)*VALUE(MID(TRIM(MID(SUBSTITUTE($V181,";",REPT(" ",99)),100,99)),FIND(":",TRIM(MID(SUBSTITUTE($V181,";",REPT(" ",99)),100,99)))+1,99)),0) + IFERROR(VLOOKUP(LEFT(TRIM(MID(SUBSTITUTE($V181,";",REPT(" ",99)),199,99)),FIND(":",TRIM(MID(SUBSTITUTE($V181,";",REPT(" ",99)),199,99)))-1),Materiales!$A$2:$E$502,5,FALSE)*VALUE(MID(TRIM(MID(SUBSTITUTE($V181,";",REPT(" ",99)),199,99)),FIND(":",TRIM(MID(SUBSTITUTE($V181,";",REPT(" ",99)),199,99)))+1,99)),0) + IFERROR(VLOOKUP(LEFT(TRIM(MID(SUBSTITUTE($V181,";",REPT(" ",99)),298,99)),FIND(":",TRIM(MID(SUBSTITUTE($V181,";",REPT(" ",99)),298,99)))-1),Materiales!$A$2:$E$502,5,FALSE)*VALUE(MID(TRIM(MID(SUBSTITUTE($V181,";",REPT(" ",99)),298,99)),FIND(":",TRIM(MID(SUBSTITUTE($V181,";",REPT(" ",99)),298,99)))+1,99)),0) + IFERROR(VLOOKUP(LEFT(TRIM(MID(SUBSTITUTE($V181,";",REPT(" ",99)),397,99)),FIND(":",TRIM(MID(SUBSTITUTE($V181,";",REPT(" ",99)),397,99)))-1),Materiales!$A$2:$E$502,5,FALSE)*VALUE(MID(TRIM(MID(SUBSTITUTE($V181,";",REPT(" ",99)),397,99)),FIND(":",TRIM(MID(SUBSTITUTE($V181,";",REPT(" ",99)),397,99)))+1,99)),0) + IFERROR(VLOOKUP(LEFT(TRIM(MID(SUBSTITUTE($V181,";",REPT(" ",99)),496,99)),FIND(":",TRIM(MID(SUBSTITUTE($V181,";",REPT(" ",99)),496,99)))-1),Materiales!$A$2:$E$502,5,FALSE)*VALUE(MID(TRIM(MID(SUBSTITUTE($V181,";",REPT(" ",99)),496,99)),FIND(":",TRIM(MID(SUBSTITUTE($V181,";",REPT(" ",99)),496,99)))+1,99)),0) + IFERROR(VLOOKUP(LEFT(TRIM(MID(SUBSTITUTE($V181,";",REPT(" ",99)),595,99)),FIND(":",TRIM(MID(SUBSTITUTE($V181,";",REPT(" ",99)),595,99)))-1),Materiales!$A$2:$E$502,5,FALSE)*VALUE(MID(TRIM(MID(SUBSTITUTE($V181,";",REPT(" ",99)),595,99)),FIND(":",TRIM(MID(SUBSTITUTE($V181,";",REPT(" ",99)),595,99)))+1,99)),0) + IFERROR(VLOOKUP(LEFT(TRIM(MID(SUBSTITUTE($V181,";",REPT(" ",99)),694,99)),FIND(":",TRIM(MID(SUBSTITUTE($V181,";",REPT(" ",99)),694,99)))-1),Materiales!$A$2:$E$502,5,FALSE)*VALUE(MID(TRIM(MID(SUBSTITUTE($V181,";",REPT(" ",99)),694,99)),FIND(":",TRIM(MID(SUBSTITUTE($V181,";",REPT(" ",99)),694,99)))+1,99)),0) + IFERROR(VLOOKUP(LEFT(TRIM(MID(SUBSTITUTE($V181,";",REPT(" ",99)),793,99)),FIND(":",TRIM(MID(SUBSTITUTE($V181,";",REPT(" ",99)),793,99)))-1),Materiales!$A$2:$E$502,5,FALSE)*VALUE(MID(TRIM(MID(SUBSTITUTE($V181,";",REPT(" ",99)),793,99)),FIND(":",TRIM(MID(SUBSTITUTE($V181,";",REPT(" ",99)),793,99)))+1,99)),0) + IFERROR(VLOOKUP(LEFT(TRIM(MID(SUBSTITUTE($V181,";",REPT(" ",99)),892,99)),FIND(":",TRIM(MID(SUBSTITUTE($V181,";",REPT(" ",99)),892,99)))-1),Materiales!$A$2:$E$502,5,FALSE)*VALUE(MID(TRIM(MID(SUBSTITUTE($V181,";",REPT(" ",99)),892,99)),FIND(":",TRIM(MID(SUBSTITUTE($V181,";",REPT(" ",99)),892,99)))+1,99)),0)))</f>
        <v/>
      </c>
      <c r="X181" s="39" t="str">
        <f t="shared" si="21"/>
        <v/>
      </c>
      <c r="Y181" s="64"/>
      <c r="Z181" s="67"/>
      <c r="AA181" s="65"/>
      <c r="AB181" s="14"/>
      <c r="AC181" s="66"/>
      <c r="AD181" s="65"/>
      <c r="AE181" s="44"/>
      <c r="AF181" s="45" t="str">
        <f t="shared" si="20"/>
        <v>#DIV/0!</v>
      </c>
    </row>
    <row r="182" ht="15.75" customHeight="1">
      <c r="A182" s="3"/>
      <c r="B182" s="3"/>
      <c r="C182" s="38"/>
      <c r="D182" s="38"/>
      <c r="E182" s="38"/>
      <c r="F182" s="14"/>
      <c r="G182" s="5" t="str">
        <f t="array" ref="G182">IF($A182="","",IFERROR($F182*(N($C182)*XLOOKUP($B182,Ceras!$A$2:$A$500,Ceras!$G$2:$G$500,0)+IF($D182="",0,N($E182)*XLOOKUP($D182,Ceras!$A$2:$A$500,Ceras!$G$2:$G$500,0))),"Revisar cera"))</f>
        <v/>
      </c>
      <c r="H182" s="5"/>
      <c r="I182" s="3"/>
      <c r="J182" s="14"/>
      <c r="K182" s="5" t="str">
        <f t="array" ref="K182">IF($A182="","",IFERROR($J182*XLOOKUP($I182,Pabilos!$A$2:$A$500,Pabilos!$H$2:$H$500,0),"Revisar pabilo"))</f>
        <v/>
      </c>
      <c r="L182" s="3"/>
      <c r="M182" s="14"/>
      <c r="N182" s="5" t="str">
        <f t="array" ref="N182">IF($A182="","",IFERROR($M182*XLOOKUP($L182,Esencias!$A$2:$A$501,Esencias!$G$2:$G$501,0),"Revisar esencia"))</f>
        <v/>
      </c>
      <c r="O182" s="3"/>
      <c r="P182" s="14"/>
      <c r="Q182" s="5" t="str">
        <f t="array" ref="Q182">IF($A182="","",IFERROR(IF($P182="",1,$P182)*XLOOKUP($O182,Colores!$A$2:$A$500,Colores!$H$2:$H$500,0),"Revisar color"))</f>
        <v/>
      </c>
      <c r="R182" s="3"/>
      <c r="S182" s="5" t="str">
        <f t="array" ref="S182">IF($A182="","",IF($R182="",0,IFERROR(VLOOKUP(LEFT(TRIM(MID(SUBSTITUTE($R182,";",REPT(" ",99)),1,99)),FIND(":",TRIM(MID(SUBSTITUTE($R182,";",REPT(" ",99)),1,99)))-1),Materiales!$A$2:$E$502,5,FALSE)*VALUE(MID(TRIM(MID(SUBSTITUTE($R182,";",REPT(" ",99)),1,99)),FIND(":",TRIM(MID(SUBSTITUTE($R182,";",REPT(" ",99)),1,99)))+1,99)),0) + IFERROR(VLOOKUP(LEFT(TRIM(MID(SUBSTITUTE($R182,";",REPT(" ",99)),100,99)),FIND(":",TRIM(MID(SUBSTITUTE($R182,";",REPT(" ",99)),100,99)))-1),Materiales!$A$2:$E$502,5,FALSE)*VALUE(MID(TRIM(MID(SUBSTITUTE($R182,";",REPT(" ",99)),100,99)),FIND(":",TRIM(MID(SUBSTITUTE($R182,";",REPT(" ",99)),100,99)))+1,99)),0) + IFERROR(VLOOKUP(LEFT(TRIM(MID(SUBSTITUTE($R182,";",REPT(" ",99)),199,99)),FIND(":",TRIM(MID(SUBSTITUTE($R182,";",REPT(" ",99)),199,99)))-1),Materiales!$A$2:$E$502,5,FALSE)*VALUE(MID(TRIM(MID(SUBSTITUTE($R182,";",REPT(" ",99)),199,99)),FIND(":",TRIM(MID(SUBSTITUTE($R182,";",REPT(" ",99)),199,99)))+1,99)),0) + IFERROR(VLOOKUP(LEFT(TRIM(MID(SUBSTITUTE($R182,";",REPT(" ",99)),298,99)),FIND(":",TRIM(MID(SUBSTITUTE($R182,";",REPT(" ",99)),298,99)))-1),Materiales!$A$2:$E$502,5,FALSE)*VALUE(MID(TRIM(MID(SUBSTITUTE($R182,";",REPT(" ",99)),298,99)),FIND(":",TRIM(MID(SUBSTITUTE($R182,";",REPT(" ",99)),298,99)))+1,99)),0) + IFERROR(VLOOKUP(LEFT(TRIM(MID(SUBSTITUTE($R182,";",REPT(" ",99)),397,99)),FIND(":",TRIM(MID(SUBSTITUTE($R182,";",REPT(" ",99)),397,99)))-1),Materiales!$A$2:$E$502,5,FALSE)*VALUE(MID(TRIM(MID(SUBSTITUTE($R182,";",REPT(" ",99)),397,99)),FIND(":",TRIM(MID(SUBSTITUTE($R182,";",REPT(" ",99)),397,99)))+1,99)),0) + IFERROR(VLOOKUP(LEFT(TRIM(MID(SUBSTITUTE($R182,";",REPT(" ",99)),496,99)),FIND(":",TRIM(MID(SUBSTITUTE($R182,";",REPT(" ",99)),496,99)))-1),Materiales!$A$2:$E$502,5,FALSE)*VALUE(MID(TRIM(MID(SUBSTITUTE($R182,";",REPT(" ",99)),496,99)),FIND(":",TRIM(MID(SUBSTITUTE($R182,";",REPT(" ",99)),496,99)))+1,99)),0) + IFERROR(VLOOKUP(LEFT(TRIM(MID(SUBSTITUTE($R182,";",REPT(" ",99)),595,99)),FIND(":",TRIM(MID(SUBSTITUTE($R182,";",REPT(" ",99)),595,99)))-1),Materiales!$A$2:$E$502,5,FALSE)*VALUE(MID(TRIM(MID(SUBSTITUTE($R182,";",REPT(" ",99)),595,99)),FIND(":",TRIM(MID(SUBSTITUTE($R182,";",REPT(" ",99)),595,99)))+1,99)),0) + IFERROR(VLOOKUP(LEFT(TRIM(MID(SUBSTITUTE($R182,";",REPT(" ",99)),694,99)),FIND(":",TRIM(MID(SUBSTITUTE($R182,";",REPT(" ",99)),694,99)))-1),Materiales!$A$2:$E$502,5,FALSE)*VALUE(MID(TRIM(MID(SUBSTITUTE($R182,";",REPT(" ",99)),694,99)),FIND(":",TRIM(MID(SUBSTITUTE($R182,";",REPT(" ",99)),694,99)))+1,99)),0) + IFERROR(VLOOKUP(LEFT(TRIM(MID(SUBSTITUTE($R182,";",REPT(" ",99)),793,99)),FIND(":",TRIM(MID(SUBSTITUTE($R182,";",REPT(" ",99)),793,99)))-1),Materiales!$A$2:$E$502,5,FALSE)*VALUE(MID(TRIM(MID(SUBSTITUTE($R182,";",REPT(" ",99)),793,99)),FIND(":",TRIM(MID(SUBSTITUTE($R182,";",REPT(" ",99)),793,99)))+1,99)),0) + IFERROR(VLOOKUP(LEFT(TRIM(MID(SUBSTITUTE($R182,";",REPT(" ",99)),892,99)),FIND(":",TRIM(MID(SUBSTITUTE($R182,";",REPT(" ",99)),892,99)))-1),Materiales!$A$2:$E$502,5,FALSE)*VALUE(MID(TRIM(MID(SUBSTITUTE($R182,";",REPT(" ",99)),892,99)),FIND(":",TRIM(MID(SUBSTITUTE($R182,";",REPT(" ",99)),892,99)))+1,99)),0)))</f>
        <v/>
      </c>
      <c r="T182" s="3"/>
      <c r="U182" s="5" t="str">
        <f t="array" ref="U182">IF($A182="","",IF($T182="",0,IFERROR(VLOOKUP(LEFT(TRIM(MID(SUBSTITUTE($T182,";",REPT(" ",99)),1,99)),FIND(":",TRIM(MID(SUBSTITUTE($T182,";",REPT(" ",99)),1,99)))-1),Materiales!$A$2:$E$502,5,FALSE)*VALUE(MID(TRIM(MID(SUBSTITUTE($T182,";",REPT(" ",99)),1,99)),FIND(":",TRIM(MID(SUBSTITUTE($T182,";",REPT(" ",99)),1,99)))+1,99)),0) + IFERROR(VLOOKUP(LEFT(TRIM(MID(SUBSTITUTE($T182,";",REPT(" ",99)),100,99)),FIND(":",TRIM(MID(SUBSTITUTE($T182,";",REPT(" ",99)),100,99)))-1),Materiales!$A$2:$E$502,5,FALSE)*VALUE(MID(TRIM(MID(SUBSTITUTE($T182,";",REPT(" ",99)),100,99)),FIND(":",TRIM(MID(SUBSTITUTE($T182,";",REPT(" ",99)),100,99)))+1,99)),0) + IFERROR(VLOOKUP(LEFT(TRIM(MID(SUBSTITUTE($T182,";",REPT(" ",99)),199,99)),FIND(":",TRIM(MID(SUBSTITUTE($T182,";",REPT(" ",99)),199,99)))-1),Materiales!$A$2:$E$502,5,FALSE)*VALUE(MID(TRIM(MID(SUBSTITUTE($T182,";",REPT(" ",99)),199,99)),FIND(":",TRIM(MID(SUBSTITUTE($T182,";",REPT(" ",99)),199,99)))+1,99)),0) + IFERROR(VLOOKUP(LEFT(TRIM(MID(SUBSTITUTE($T182,";",REPT(" ",99)),298,99)),FIND(":",TRIM(MID(SUBSTITUTE($T182,";",REPT(" ",99)),298,99)))-1),Materiales!$A$2:$E$502,5,FALSE)*VALUE(MID(TRIM(MID(SUBSTITUTE($T182,";",REPT(" ",99)),298,99)),FIND(":",TRIM(MID(SUBSTITUTE($T182,";",REPT(" ",99)),298,99)))+1,99)),0) + IFERROR(VLOOKUP(LEFT(TRIM(MID(SUBSTITUTE($T182,";",REPT(" ",99)),397,99)),FIND(":",TRIM(MID(SUBSTITUTE($T182,";",REPT(" ",99)),397,99)))-1),Materiales!$A$2:$E$502,5,FALSE)*VALUE(MID(TRIM(MID(SUBSTITUTE($T182,";",REPT(" ",99)),397,99)),FIND(":",TRIM(MID(SUBSTITUTE($T182,";",REPT(" ",99)),397,99)))+1,99)),0) + IFERROR(VLOOKUP(LEFT(TRIM(MID(SUBSTITUTE($T182,";",REPT(" ",99)),496,99)),FIND(":",TRIM(MID(SUBSTITUTE($T182,";",REPT(" ",99)),496,99)))-1),Materiales!$A$2:$E$502,5,FALSE)*VALUE(MID(TRIM(MID(SUBSTITUTE($T182,";",REPT(" ",99)),496,99)),FIND(":",TRIM(MID(SUBSTITUTE($T182,";",REPT(" ",99)),496,99)))+1,99)),0) + IFERROR(VLOOKUP(LEFT(TRIM(MID(SUBSTITUTE($T182,";",REPT(" ",99)),595,99)),FIND(":",TRIM(MID(SUBSTITUTE($T182,";",REPT(" ",99)),595,99)))-1),Materiales!$A$2:$E$502,5,FALSE)*VALUE(MID(TRIM(MID(SUBSTITUTE($T182,";",REPT(" ",99)),595,99)),FIND(":",TRIM(MID(SUBSTITUTE($T182,";",REPT(" ",99)),595,99)))+1,99)),0) + IFERROR(VLOOKUP(LEFT(TRIM(MID(SUBSTITUTE($T182,";",REPT(" ",99)),694,99)),FIND(":",TRIM(MID(SUBSTITUTE($T182,";",REPT(" ",99)),694,99)))-1),Materiales!$A$2:$E$502,5,FALSE)*VALUE(MID(TRIM(MID(SUBSTITUTE($T182,";",REPT(" ",99)),694,99)),FIND(":",TRIM(MID(SUBSTITUTE($T182,";",REPT(" ",99)),694,99)))+1,99)),0) + IFERROR(VLOOKUP(LEFT(TRIM(MID(SUBSTITUTE($T182,";",REPT(" ",99)),793,99)),FIND(":",TRIM(MID(SUBSTITUTE($T182,";",REPT(" ",99)),793,99)))-1),Materiales!$A$2:$E$502,5,FALSE)*VALUE(MID(TRIM(MID(SUBSTITUTE($T182,";",REPT(" ",99)),793,99)),FIND(":",TRIM(MID(SUBSTITUTE($T182,";",REPT(" ",99)),793,99)))+1,99)),0) + IFERROR(VLOOKUP(LEFT(TRIM(MID(SUBSTITUTE($T182,";",REPT(" ",99)),892,99)),FIND(":",TRIM(MID(SUBSTITUTE($T182,";",REPT(" ",99)),892,99)))-1),Materiales!$A$2:$E$502,5,FALSE)*VALUE(MID(TRIM(MID(SUBSTITUTE($T182,";",REPT(" ",99)),892,99)),FIND(":",TRIM(MID(SUBSTITUTE($T182,";",REPT(" ",99)),892,99)))+1,99)),0)))</f>
        <v/>
      </c>
      <c r="V182" s="3"/>
      <c r="W182" s="5" t="str">
        <f t="array" ref="W182">IF($A182="","",IF($V182="",0,IFERROR(VLOOKUP(LEFT(TRIM(MID(SUBSTITUTE($V182,";",REPT(" ",99)),1,99)),FIND(":",TRIM(MID(SUBSTITUTE($V182,";",REPT(" ",99)),1,99)))-1),Materiales!$A$2:$E$502,5,FALSE)*VALUE(MID(TRIM(MID(SUBSTITUTE($V182,";",REPT(" ",99)),1,99)),FIND(":",TRIM(MID(SUBSTITUTE($V182,";",REPT(" ",99)),1,99)))+1,99)),0) + IFERROR(VLOOKUP(LEFT(TRIM(MID(SUBSTITUTE($V182,";",REPT(" ",99)),100,99)),FIND(":",TRIM(MID(SUBSTITUTE($V182,";",REPT(" ",99)),100,99)))-1),Materiales!$A$2:$E$502,5,FALSE)*VALUE(MID(TRIM(MID(SUBSTITUTE($V182,";",REPT(" ",99)),100,99)),FIND(":",TRIM(MID(SUBSTITUTE($V182,";",REPT(" ",99)),100,99)))+1,99)),0) + IFERROR(VLOOKUP(LEFT(TRIM(MID(SUBSTITUTE($V182,";",REPT(" ",99)),199,99)),FIND(":",TRIM(MID(SUBSTITUTE($V182,";",REPT(" ",99)),199,99)))-1),Materiales!$A$2:$E$502,5,FALSE)*VALUE(MID(TRIM(MID(SUBSTITUTE($V182,";",REPT(" ",99)),199,99)),FIND(":",TRIM(MID(SUBSTITUTE($V182,";",REPT(" ",99)),199,99)))+1,99)),0) + IFERROR(VLOOKUP(LEFT(TRIM(MID(SUBSTITUTE($V182,";",REPT(" ",99)),298,99)),FIND(":",TRIM(MID(SUBSTITUTE($V182,";",REPT(" ",99)),298,99)))-1),Materiales!$A$2:$E$502,5,FALSE)*VALUE(MID(TRIM(MID(SUBSTITUTE($V182,";",REPT(" ",99)),298,99)),FIND(":",TRIM(MID(SUBSTITUTE($V182,";",REPT(" ",99)),298,99)))+1,99)),0) + IFERROR(VLOOKUP(LEFT(TRIM(MID(SUBSTITUTE($V182,";",REPT(" ",99)),397,99)),FIND(":",TRIM(MID(SUBSTITUTE($V182,";",REPT(" ",99)),397,99)))-1),Materiales!$A$2:$E$502,5,FALSE)*VALUE(MID(TRIM(MID(SUBSTITUTE($V182,";",REPT(" ",99)),397,99)),FIND(":",TRIM(MID(SUBSTITUTE($V182,";",REPT(" ",99)),397,99)))+1,99)),0) + IFERROR(VLOOKUP(LEFT(TRIM(MID(SUBSTITUTE($V182,";",REPT(" ",99)),496,99)),FIND(":",TRIM(MID(SUBSTITUTE($V182,";",REPT(" ",99)),496,99)))-1),Materiales!$A$2:$E$502,5,FALSE)*VALUE(MID(TRIM(MID(SUBSTITUTE($V182,";",REPT(" ",99)),496,99)),FIND(":",TRIM(MID(SUBSTITUTE($V182,";",REPT(" ",99)),496,99)))+1,99)),0) + IFERROR(VLOOKUP(LEFT(TRIM(MID(SUBSTITUTE($V182,";",REPT(" ",99)),595,99)),FIND(":",TRIM(MID(SUBSTITUTE($V182,";",REPT(" ",99)),595,99)))-1),Materiales!$A$2:$E$502,5,FALSE)*VALUE(MID(TRIM(MID(SUBSTITUTE($V182,";",REPT(" ",99)),595,99)),FIND(":",TRIM(MID(SUBSTITUTE($V182,";",REPT(" ",99)),595,99)))+1,99)),0) + IFERROR(VLOOKUP(LEFT(TRIM(MID(SUBSTITUTE($V182,";",REPT(" ",99)),694,99)),FIND(":",TRIM(MID(SUBSTITUTE($V182,";",REPT(" ",99)),694,99)))-1),Materiales!$A$2:$E$502,5,FALSE)*VALUE(MID(TRIM(MID(SUBSTITUTE($V182,";",REPT(" ",99)),694,99)),FIND(":",TRIM(MID(SUBSTITUTE($V182,";",REPT(" ",99)),694,99)))+1,99)),0) + IFERROR(VLOOKUP(LEFT(TRIM(MID(SUBSTITUTE($V182,";",REPT(" ",99)),793,99)),FIND(":",TRIM(MID(SUBSTITUTE($V182,";",REPT(" ",99)),793,99)))-1),Materiales!$A$2:$E$502,5,FALSE)*VALUE(MID(TRIM(MID(SUBSTITUTE($V182,";",REPT(" ",99)),793,99)),FIND(":",TRIM(MID(SUBSTITUTE($V182,";",REPT(" ",99)),793,99)))+1,99)),0) + IFERROR(VLOOKUP(LEFT(TRIM(MID(SUBSTITUTE($V182,";",REPT(" ",99)),892,99)),FIND(":",TRIM(MID(SUBSTITUTE($V182,";",REPT(" ",99)),892,99)))-1),Materiales!$A$2:$E$502,5,FALSE)*VALUE(MID(TRIM(MID(SUBSTITUTE($V182,";",REPT(" ",99)),892,99)),FIND(":",TRIM(MID(SUBSTITUTE($V182,";",REPT(" ",99)),892,99)))+1,99)),0)))</f>
        <v/>
      </c>
      <c r="X182" s="39" t="str">
        <f t="shared" si="21"/>
        <v/>
      </c>
      <c r="Y182" s="64"/>
      <c r="Z182" s="67"/>
      <c r="AA182" s="65"/>
      <c r="AB182" s="14"/>
      <c r="AC182" s="66"/>
      <c r="AD182" s="65"/>
      <c r="AE182" s="44"/>
      <c r="AF182" s="45" t="str">
        <f t="shared" si="20"/>
        <v>#DIV/0!</v>
      </c>
    </row>
    <row r="183" ht="15.75" customHeight="1">
      <c r="A183" s="3"/>
      <c r="B183" s="3"/>
      <c r="C183" s="38"/>
      <c r="D183" s="38"/>
      <c r="E183" s="38"/>
      <c r="F183" s="14"/>
      <c r="G183" s="5" t="str">
        <f t="array" ref="G183">IF($A183="","",IFERROR($F183*(N($C183)*XLOOKUP($B183,Ceras!$A$2:$A$500,Ceras!$G$2:$G$500,0)+IF($D183="",0,N($E183)*XLOOKUP($D183,Ceras!$A$2:$A$500,Ceras!$G$2:$G$500,0))),"Revisar cera"))</f>
        <v/>
      </c>
      <c r="H183" s="5"/>
      <c r="I183" s="3"/>
      <c r="J183" s="14"/>
      <c r="K183" s="5" t="str">
        <f t="array" ref="K183">IF($A183="","",IFERROR($J183*XLOOKUP($I183,Pabilos!$A$2:$A$500,Pabilos!$H$2:$H$500,0),"Revisar pabilo"))</f>
        <v/>
      </c>
      <c r="L183" s="3"/>
      <c r="M183" s="14"/>
      <c r="N183" s="5" t="str">
        <f t="array" ref="N183">IF($A183="","",IFERROR($M183*XLOOKUP($L183,Esencias!$A$2:$A$501,Esencias!$G$2:$G$501,0),"Revisar esencia"))</f>
        <v/>
      </c>
      <c r="O183" s="3"/>
      <c r="P183" s="14"/>
      <c r="Q183" s="5" t="str">
        <f t="array" ref="Q183">IF($A183="","",IFERROR(IF($P183="",1,$P183)*XLOOKUP($O183,Colores!$A$2:$A$500,Colores!$H$2:$H$500,0),"Revisar color"))</f>
        <v/>
      </c>
      <c r="R183" s="3"/>
      <c r="S183" s="5" t="str">
        <f t="array" ref="S183">IF($A183="","",IF($R183="",0,IFERROR(VLOOKUP(LEFT(TRIM(MID(SUBSTITUTE($R183,";",REPT(" ",99)),1,99)),FIND(":",TRIM(MID(SUBSTITUTE($R183,";",REPT(" ",99)),1,99)))-1),Materiales!$A$2:$E$502,5,FALSE)*VALUE(MID(TRIM(MID(SUBSTITUTE($R183,";",REPT(" ",99)),1,99)),FIND(":",TRIM(MID(SUBSTITUTE($R183,";",REPT(" ",99)),1,99)))+1,99)),0) + IFERROR(VLOOKUP(LEFT(TRIM(MID(SUBSTITUTE($R183,";",REPT(" ",99)),100,99)),FIND(":",TRIM(MID(SUBSTITUTE($R183,";",REPT(" ",99)),100,99)))-1),Materiales!$A$2:$E$502,5,FALSE)*VALUE(MID(TRIM(MID(SUBSTITUTE($R183,";",REPT(" ",99)),100,99)),FIND(":",TRIM(MID(SUBSTITUTE($R183,";",REPT(" ",99)),100,99)))+1,99)),0) + IFERROR(VLOOKUP(LEFT(TRIM(MID(SUBSTITUTE($R183,";",REPT(" ",99)),199,99)),FIND(":",TRIM(MID(SUBSTITUTE($R183,";",REPT(" ",99)),199,99)))-1),Materiales!$A$2:$E$502,5,FALSE)*VALUE(MID(TRIM(MID(SUBSTITUTE($R183,";",REPT(" ",99)),199,99)),FIND(":",TRIM(MID(SUBSTITUTE($R183,";",REPT(" ",99)),199,99)))+1,99)),0) + IFERROR(VLOOKUP(LEFT(TRIM(MID(SUBSTITUTE($R183,";",REPT(" ",99)),298,99)),FIND(":",TRIM(MID(SUBSTITUTE($R183,";",REPT(" ",99)),298,99)))-1),Materiales!$A$2:$E$502,5,FALSE)*VALUE(MID(TRIM(MID(SUBSTITUTE($R183,";",REPT(" ",99)),298,99)),FIND(":",TRIM(MID(SUBSTITUTE($R183,";",REPT(" ",99)),298,99)))+1,99)),0) + IFERROR(VLOOKUP(LEFT(TRIM(MID(SUBSTITUTE($R183,";",REPT(" ",99)),397,99)),FIND(":",TRIM(MID(SUBSTITUTE($R183,";",REPT(" ",99)),397,99)))-1),Materiales!$A$2:$E$502,5,FALSE)*VALUE(MID(TRIM(MID(SUBSTITUTE($R183,";",REPT(" ",99)),397,99)),FIND(":",TRIM(MID(SUBSTITUTE($R183,";",REPT(" ",99)),397,99)))+1,99)),0) + IFERROR(VLOOKUP(LEFT(TRIM(MID(SUBSTITUTE($R183,";",REPT(" ",99)),496,99)),FIND(":",TRIM(MID(SUBSTITUTE($R183,";",REPT(" ",99)),496,99)))-1),Materiales!$A$2:$E$502,5,FALSE)*VALUE(MID(TRIM(MID(SUBSTITUTE($R183,";",REPT(" ",99)),496,99)),FIND(":",TRIM(MID(SUBSTITUTE($R183,";",REPT(" ",99)),496,99)))+1,99)),0) + IFERROR(VLOOKUP(LEFT(TRIM(MID(SUBSTITUTE($R183,";",REPT(" ",99)),595,99)),FIND(":",TRIM(MID(SUBSTITUTE($R183,";",REPT(" ",99)),595,99)))-1),Materiales!$A$2:$E$502,5,FALSE)*VALUE(MID(TRIM(MID(SUBSTITUTE($R183,";",REPT(" ",99)),595,99)),FIND(":",TRIM(MID(SUBSTITUTE($R183,";",REPT(" ",99)),595,99)))+1,99)),0) + IFERROR(VLOOKUP(LEFT(TRIM(MID(SUBSTITUTE($R183,";",REPT(" ",99)),694,99)),FIND(":",TRIM(MID(SUBSTITUTE($R183,";",REPT(" ",99)),694,99)))-1),Materiales!$A$2:$E$502,5,FALSE)*VALUE(MID(TRIM(MID(SUBSTITUTE($R183,";",REPT(" ",99)),694,99)),FIND(":",TRIM(MID(SUBSTITUTE($R183,";",REPT(" ",99)),694,99)))+1,99)),0) + IFERROR(VLOOKUP(LEFT(TRIM(MID(SUBSTITUTE($R183,";",REPT(" ",99)),793,99)),FIND(":",TRIM(MID(SUBSTITUTE($R183,";",REPT(" ",99)),793,99)))-1),Materiales!$A$2:$E$502,5,FALSE)*VALUE(MID(TRIM(MID(SUBSTITUTE($R183,";",REPT(" ",99)),793,99)),FIND(":",TRIM(MID(SUBSTITUTE($R183,";",REPT(" ",99)),793,99)))+1,99)),0) + IFERROR(VLOOKUP(LEFT(TRIM(MID(SUBSTITUTE($R183,";",REPT(" ",99)),892,99)),FIND(":",TRIM(MID(SUBSTITUTE($R183,";",REPT(" ",99)),892,99)))-1),Materiales!$A$2:$E$502,5,FALSE)*VALUE(MID(TRIM(MID(SUBSTITUTE($R183,";",REPT(" ",99)),892,99)),FIND(":",TRIM(MID(SUBSTITUTE($R183,";",REPT(" ",99)),892,99)))+1,99)),0)))</f>
        <v/>
      </c>
      <c r="T183" s="3"/>
      <c r="U183" s="5" t="str">
        <f t="array" ref="U183">IF($A183="","",IF($T183="",0,IFERROR(VLOOKUP(LEFT(TRIM(MID(SUBSTITUTE($T183,";",REPT(" ",99)),1,99)),FIND(":",TRIM(MID(SUBSTITUTE($T183,";",REPT(" ",99)),1,99)))-1),Materiales!$A$2:$E$502,5,FALSE)*VALUE(MID(TRIM(MID(SUBSTITUTE($T183,";",REPT(" ",99)),1,99)),FIND(":",TRIM(MID(SUBSTITUTE($T183,";",REPT(" ",99)),1,99)))+1,99)),0) + IFERROR(VLOOKUP(LEFT(TRIM(MID(SUBSTITUTE($T183,";",REPT(" ",99)),100,99)),FIND(":",TRIM(MID(SUBSTITUTE($T183,";",REPT(" ",99)),100,99)))-1),Materiales!$A$2:$E$502,5,FALSE)*VALUE(MID(TRIM(MID(SUBSTITUTE($T183,";",REPT(" ",99)),100,99)),FIND(":",TRIM(MID(SUBSTITUTE($T183,";",REPT(" ",99)),100,99)))+1,99)),0) + IFERROR(VLOOKUP(LEFT(TRIM(MID(SUBSTITUTE($T183,";",REPT(" ",99)),199,99)),FIND(":",TRIM(MID(SUBSTITUTE($T183,";",REPT(" ",99)),199,99)))-1),Materiales!$A$2:$E$502,5,FALSE)*VALUE(MID(TRIM(MID(SUBSTITUTE($T183,";",REPT(" ",99)),199,99)),FIND(":",TRIM(MID(SUBSTITUTE($T183,";",REPT(" ",99)),199,99)))+1,99)),0) + IFERROR(VLOOKUP(LEFT(TRIM(MID(SUBSTITUTE($T183,";",REPT(" ",99)),298,99)),FIND(":",TRIM(MID(SUBSTITUTE($T183,";",REPT(" ",99)),298,99)))-1),Materiales!$A$2:$E$502,5,FALSE)*VALUE(MID(TRIM(MID(SUBSTITUTE($T183,";",REPT(" ",99)),298,99)),FIND(":",TRIM(MID(SUBSTITUTE($T183,";",REPT(" ",99)),298,99)))+1,99)),0) + IFERROR(VLOOKUP(LEFT(TRIM(MID(SUBSTITUTE($T183,";",REPT(" ",99)),397,99)),FIND(":",TRIM(MID(SUBSTITUTE($T183,";",REPT(" ",99)),397,99)))-1),Materiales!$A$2:$E$502,5,FALSE)*VALUE(MID(TRIM(MID(SUBSTITUTE($T183,";",REPT(" ",99)),397,99)),FIND(":",TRIM(MID(SUBSTITUTE($T183,";",REPT(" ",99)),397,99)))+1,99)),0) + IFERROR(VLOOKUP(LEFT(TRIM(MID(SUBSTITUTE($T183,";",REPT(" ",99)),496,99)),FIND(":",TRIM(MID(SUBSTITUTE($T183,";",REPT(" ",99)),496,99)))-1),Materiales!$A$2:$E$502,5,FALSE)*VALUE(MID(TRIM(MID(SUBSTITUTE($T183,";",REPT(" ",99)),496,99)),FIND(":",TRIM(MID(SUBSTITUTE($T183,";",REPT(" ",99)),496,99)))+1,99)),0) + IFERROR(VLOOKUP(LEFT(TRIM(MID(SUBSTITUTE($T183,";",REPT(" ",99)),595,99)),FIND(":",TRIM(MID(SUBSTITUTE($T183,";",REPT(" ",99)),595,99)))-1),Materiales!$A$2:$E$502,5,FALSE)*VALUE(MID(TRIM(MID(SUBSTITUTE($T183,";",REPT(" ",99)),595,99)),FIND(":",TRIM(MID(SUBSTITUTE($T183,";",REPT(" ",99)),595,99)))+1,99)),0) + IFERROR(VLOOKUP(LEFT(TRIM(MID(SUBSTITUTE($T183,";",REPT(" ",99)),694,99)),FIND(":",TRIM(MID(SUBSTITUTE($T183,";",REPT(" ",99)),694,99)))-1),Materiales!$A$2:$E$502,5,FALSE)*VALUE(MID(TRIM(MID(SUBSTITUTE($T183,";",REPT(" ",99)),694,99)),FIND(":",TRIM(MID(SUBSTITUTE($T183,";",REPT(" ",99)),694,99)))+1,99)),0) + IFERROR(VLOOKUP(LEFT(TRIM(MID(SUBSTITUTE($T183,";",REPT(" ",99)),793,99)),FIND(":",TRIM(MID(SUBSTITUTE($T183,";",REPT(" ",99)),793,99)))-1),Materiales!$A$2:$E$502,5,FALSE)*VALUE(MID(TRIM(MID(SUBSTITUTE($T183,";",REPT(" ",99)),793,99)),FIND(":",TRIM(MID(SUBSTITUTE($T183,";",REPT(" ",99)),793,99)))+1,99)),0) + IFERROR(VLOOKUP(LEFT(TRIM(MID(SUBSTITUTE($T183,";",REPT(" ",99)),892,99)),FIND(":",TRIM(MID(SUBSTITUTE($T183,";",REPT(" ",99)),892,99)))-1),Materiales!$A$2:$E$502,5,FALSE)*VALUE(MID(TRIM(MID(SUBSTITUTE($T183,";",REPT(" ",99)),892,99)),FIND(":",TRIM(MID(SUBSTITUTE($T183,";",REPT(" ",99)),892,99)))+1,99)),0)))</f>
        <v/>
      </c>
      <c r="V183" s="3"/>
      <c r="W183" s="5" t="str">
        <f t="array" ref="W183">IF($A183="","",IF($V183="",0,IFERROR(VLOOKUP(LEFT(TRIM(MID(SUBSTITUTE($V183,";",REPT(" ",99)),1,99)),FIND(":",TRIM(MID(SUBSTITUTE($V183,";",REPT(" ",99)),1,99)))-1),Materiales!$A$2:$E$502,5,FALSE)*VALUE(MID(TRIM(MID(SUBSTITUTE($V183,";",REPT(" ",99)),1,99)),FIND(":",TRIM(MID(SUBSTITUTE($V183,";",REPT(" ",99)),1,99)))+1,99)),0) + IFERROR(VLOOKUP(LEFT(TRIM(MID(SUBSTITUTE($V183,";",REPT(" ",99)),100,99)),FIND(":",TRIM(MID(SUBSTITUTE($V183,";",REPT(" ",99)),100,99)))-1),Materiales!$A$2:$E$502,5,FALSE)*VALUE(MID(TRIM(MID(SUBSTITUTE($V183,";",REPT(" ",99)),100,99)),FIND(":",TRIM(MID(SUBSTITUTE($V183,";",REPT(" ",99)),100,99)))+1,99)),0) + IFERROR(VLOOKUP(LEFT(TRIM(MID(SUBSTITUTE($V183,";",REPT(" ",99)),199,99)),FIND(":",TRIM(MID(SUBSTITUTE($V183,";",REPT(" ",99)),199,99)))-1),Materiales!$A$2:$E$502,5,FALSE)*VALUE(MID(TRIM(MID(SUBSTITUTE($V183,";",REPT(" ",99)),199,99)),FIND(":",TRIM(MID(SUBSTITUTE($V183,";",REPT(" ",99)),199,99)))+1,99)),0) + IFERROR(VLOOKUP(LEFT(TRIM(MID(SUBSTITUTE($V183,";",REPT(" ",99)),298,99)),FIND(":",TRIM(MID(SUBSTITUTE($V183,";",REPT(" ",99)),298,99)))-1),Materiales!$A$2:$E$502,5,FALSE)*VALUE(MID(TRIM(MID(SUBSTITUTE($V183,";",REPT(" ",99)),298,99)),FIND(":",TRIM(MID(SUBSTITUTE($V183,";",REPT(" ",99)),298,99)))+1,99)),0) + IFERROR(VLOOKUP(LEFT(TRIM(MID(SUBSTITUTE($V183,";",REPT(" ",99)),397,99)),FIND(":",TRIM(MID(SUBSTITUTE($V183,";",REPT(" ",99)),397,99)))-1),Materiales!$A$2:$E$502,5,FALSE)*VALUE(MID(TRIM(MID(SUBSTITUTE($V183,";",REPT(" ",99)),397,99)),FIND(":",TRIM(MID(SUBSTITUTE($V183,";",REPT(" ",99)),397,99)))+1,99)),0) + IFERROR(VLOOKUP(LEFT(TRIM(MID(SUBSTITUTE($V183,";",REPT(" ",99)),496,99)),FIND(":",TRIM(MID(SUBSTITUTE($V183,";",REPT(" ",99)),496,99)))-1),Materiales!$A$2:$E$502,5,FALSE)*VALUE(MID(TRIM(MID(SUBSTITUTE($V183,";",REPT(" ",99)),496,99)),FIND(":",TRIM(MID(SUBSTITUTE($V183,";",REPT(" ",99)),496,99)))+1,99)),0) + IFERROR(VLOOKUP(LEFT(TRIM(MID(SUBSTITUTE($V183,";",REPT(" ",99)),595,99)),FIND(":",TRIM(MID(SUBSTITUTE($V183,";",REPT(" ",99)),595,99)))-1),Materiales!$A$2:$E$502,5,FALSE)*VALUE(MID(TRIM(MID(SUBSTITUTE($V183,";",REPT(" ",99)),595,99)),FIND(":",TRIM(MID(SUBSTITUTE($V183,";",REPT(" ",99)),595,99)))+1,99)),0) + IFERROR(VLOOKUP(LEFT(TRIM(MID(SUBSTITUTE($V183,";",REPT(" ",99)),694,99)),FIND(":",TRIM(MID(SUBSTITUTE($V183,";",REPT(" ",99)),694,99)))-1),Materiales!$A$2:$E$502,5,FALSE)*VALUE(MID(TRIM(MID(SUBSTITUTE($V183,";",REPT(" ",99)),694,99)),FIND(":",TRIM(MID(SUBSTITUTE($V183,";",REPT(" ",99)),694,99)))+1,99)),0) + IFERROR(VLOOKUP(LEFT(TRIM(MID(SUBSTITUTE($V183,";",REPT(" ",99)),793,99)),FIND(":",TRIM(MID(SUBSTITUTE($V183,";",REPT(" ",99)),793,99)))-1),Materiales!$A$2:$E$502,5,FALSE)*VALUE(MID(TRIM(MID(SUBSTITUTE($V183,";",REPT(" ",99)),793,99)),FIND(":",TRIM(MID(SUBSTITUTE($V183,";",REPT(" ",99)),793,99)))+1,99)),0) + IFERROR(VLOOKUP(LEFT(TRIM(MID(SUBSTITUTE($V183,";",REPT(" ",99)),892,99)),FIND(":",TRIM(MID(SUBSTITUTE($V183,";",REPT(" ",99)),892,99)))-1),Materiales!$A$2:$E$502,5,FALSE)*VALUE(MID(TRIM(MID(SUBSTITUTE($V183,";",REPT(" ",99)),892,99)),FIND(":",TRIM(MID(SUBSTITUTE($V183,";",REPT(" ",99)),892,99)))+1,99)),0)))</f>
        <v/>
      </c>
      <c r="X183" s="39" t="str">
        <f t="shared" si="21"/>
        <v/>
      </c>
      <c r="Y183" s="64"/>
      <c r="Z183" s="67"/>
      <c r="AA183" s="65"/>
      <c r="AB183" s="14"/>
      <c r="AC183" s="66"/>
      <c r="AD183" s="65"/>
      <c r="AE183" s="44"/>
      <c r="AF183" s="45" t="str">
        <f t="shared" si="20"/>
        <v>#DIV/0!</v>
      </c>
    </row>
    <row r="184" ht="15.75" customHeight="1">
      <c r="A184" s="3"/>
      <c r="B184" s="3"/>
      <c r="C184" s="38"/>
      <c r="D184" s="38"/>
      <c r="E184" s="38"/>
      <c r="F184" s="14"/>
      <c r="G184" s="5" t="str">
        <f t="array" ref="G184">IF($A184="","",IFERROR($F184*(N($C184)*XLOOKUP($B184,Ceras!$A$2:$A$500,Ceras!$G$2:$G$500,0)+IF($D184="",0,N($E184)*XLOOKUP($D184,Ceras!$A$2:$A$500,Ceras!$G$2:$G$500,0))),"Revisar cera"))</f>
        <v/>
      </c>
      <c r="H184" s="5"/>
      <c r="I184" s="3"/>
      <c r="J184" s="14"/>
      <c r="K184" s="5" t="str">
        <f t="array" ref="K184">IF($A184="","",IFERROR($J184*XLOOKUP($I184,Pabilos!$A$2:$A$500,Pabilos!$H$2:$H$500,0),"Revisar pabilo"))</f>
        <v/>
      </c>
      <c r="L184" s="3"/>
      <c r="M184" s="14"/>
      <c r="N184" s="5" t="str">
        <f t="array" ref="N184">IF($A184="","",IFERROR($M184*XLOOKUP($L184,Esencias!$A$2:$A$501,Esencias!$G$2:$G$501,0),"Revisar esencia"))</f>
        <v/>
      </c>
      <c r="O184" s="3"/>
      <c r="P184" s="14"/>
      <c r="Q184" s="5" t="str">
        <f t="array" ref="Q184">IF($A184="","",IFERROR(IF($P184="",1,$P184)*XLOOKUP($O184,Colores!$A$2:$A$500,Colores!$H$2:$H$500,0),"Revisar color"))</f>
        <v/>
      </c>
      <c r="R184" s="3"/>
      <c r="S184" s="5" t="str">
        <f t="array" ref="S184">IF($A184="","",IF($R184="",0,IFERROR(VLOOKUP(LEFT(TRIM(MID(SUBSTITUTE($R184,";",REPT(" ",99)),1,99)),FIND(":",TRIM(MID(SUBSTITUTE($R184,";",REPT(" ",99)),1,99)))-1),Materiales!$A$2:$E$502,5,FALSE)*VALUE(MID(TRIM(MID(SUBSTITUTE($R184,";",REPT(" ",99)),1,99)),FIND(":",TRIM(MID(SUBSTITUTE($R184,";",REPT(" ",99)),1,99)))+1,99)),0) + IFERROR(VLOOKUP(LEFT(TRIM(MID(SUBSTITUTE($R184,";",REPT(" ",99)),100,99)),FIND(":",TRIM(MID(SUBSTITUTE($R184,";",REPT(" ",99)),100,99)))-1),Materiales!$A$2:$E$502,5,FALSE)*VALUE(MID(TRIM(MID(SUBSTITUTE($R184,";",REPT(" ",99)),100,99)),FIND(":",TRIM(MID(SUBSTITUTE($R184,";",REPT(" ",99)),100,99)))+1,99)),0) + IFERROR(VLOOKUP(LEFT(TRIM(MID(SUBSTITUTE($R184,";",REPT(" ",99)),199,99)),FIND(":",TRIM(MID(SUBSTITUTE($R184,";",REPT(" ",99)),199,99)))-1),Materiales!$A$2:$E$502,5,FALSE)*VALUE(MID(TRIM(MID(SUBSTITUTE($R184,";",REPT(" ",99)),199,99)),FIND(":",TRIM(MID(SUBSTITUTE($R184,";",REPT(" ",99)),199,99)))+1,99)),0) + IFERROR(VLOOKUP(LEFT(TRIM(MID(SUBSTITUTE($R184,";",REPT(" ",99)),298,99)),FIND(":",TRIM(MID(SUBSTITUTE($R184,";",REPT(" ",99)),298,99)))-1),Materiales!$A$2:$E$502,5,FALSE)*VALUE(MID(TRIM(MID(SUBSTITUTE($R184,";",REPT(" ",99)),298,99)),FIND(":",TRIM(MID(SUBSTITUTE($R184,";",REPT(" ",99)),298,99)))+1,99)),0) + IFERROR(VLOOKUP(LEFT(TRIM(MID(SUBSTITUTE($R184,";",REPT(" ",99)),397,99)),FIND(":",TRIM(MID(SUBSTITUTE($R184,";",REPT(" ",99)),397,99)))-1),Materiales!$A$2:$E$502,5,FALSE)*VALUE(MID(TRIM(MID(SUBSTITUTE($R184,";",REPT(" ",99)),397,99)),FIND(":",TRIM(MID(SUBSTITUTE($R184,";",REPT(" ",99)),397,99)))+1,99)),0) + IFERROR(VLOOKUP(LEFT(TRIM(MID(SUBSTITUTE($R184,";",REPT(" ",99)),496,99)),FIND(":",TRIM(MID(SUBSTITUTE($R184,";",REPT(" ",99)),496,99)))-1),Materiales!$A$2:$E$502,5,FALSE)*VALUE(MID(TRIM(MID(SUBSTITUTE($R184,";",REPT(" ",99)),496,99)),FIND(":",TRIM(MID(SUBSTITUTE($R184,";",REPT(" ",99)),496,99)))+1,99)),0) + IFERROR(VLOOKUP(LEFT(TRIM(MID(SUBSTITUTE($R184,";",REPT(" ",99)),595,99)),FIND(":",TRIM(MID(SUBSTITUTE($R184,";",REPT(" ",99)),595,99)))-1),Materiales!$A$2:$E$502,5,FALSE)*VALUE(MID(TRIM(MID(SUBSTITUTE($R184,";",REPT(" ",99)),595,99)),FIND(":",TRIM(MID(SUBSTITUTE($R184,";",REPT(" ",99)),595,99)))+1,99)),0) + IFERROR(VLOOKUP(LEFT(TRIM(MID(SUBSTITUTE($R184,";",REPT(" ",99)),694,99)),FIND(":",TRIM(MID(SUBSTITUTE($R184,";",REPT(" ",99)),694,99)))-1),Materiales!$A$2:$E$502,5,FALSE)*VALUE(MID(TRIM(MID(SUBSTITUTE($R184,";",REPT(" ",99)),694,99)),FIND(":",TRIM(MID(SUBSTITUTE($R184,";",REPT(" ",99)),694,99)))+1,99)),0) + IFERROR(VLOOKUP(LEFT(TRIM(MID(SUBSTITUTE($R184,";",REPT(" ",99)),793,99)),FIND(":",TRIM(MID(SUBSTITUTE($R184,";",REPT(" ",99)),793,99)))-1),Materiales!$A$2:$E$502,5,FALSE)*VALUE(MID(TRIM(MID(SUBSTITUTE($R184,";",REPT(" ",99)),793,99)),FIND(":",TRIM(MID(SUBSTITUTE($R184,";",REPT(" ",99)),793,99)))+1,99)),0) + IFERROR(VLOOKUP(LEFT(TRIM(MID(SUBSTITUTE($R184,";",REPT(" ",99)),892,99)),FIND(":",TRIM(MID(SUBSTITUTE($R184,";",REPT(" ",99)),892,99)))-1),Materiales!$A$2:$E$502,5,FALSE)*VALUE(MID(TRIM(MID(SUBSTITUTE($R184,";",REPT(" ",99)),892,99)),FIND(":",TRIM(MID(SUBSTITUTE($R184,";",REPT(" ",99)),892,99)))+1,99)),0)))</f>
        <v/>
      </c>
      <c r="T184" s="3"/>
      <c r="U184" s="5" t="str">
        <f t="array" ref="U184">IF($A184="","",IF($T184="",0,IFERROR(VLOOKUP(LEFT(TRIM(MID(SUBSTITUTE($T184,";",REPT(" ",99)),1,99)),FIND(":",TRIM(MID(SUBSTITUTE($T184,";",REPT(" ",99)),1,99)))-1),Materiales!$A$2:$E$502,5,FALSE)*VALUE(MID(TRIM(MID(SUBSTITUTE($T184,";",REPT(" ",99)),1,99)),FIND(":",TRIM(MID(SUBSTITUTE($T184,";",REPT(" ",99)),1,99)))+1,99)),0) + IFERROR(VLOOKUP(LEFT(TRIM(MID(SUBSTITUTE($T184,";",REPT(" ",99)),100,99)),FIND(":",TRIM(MID(SUBSTITUTE($T184,";",REPT(" ",99)),100,99)))-1),Materiales!$A$2:$E$502,5,FALSE)*VALUE(MID(TRIM(MID(SUBSTITUTE($T184,";",REPT(" ",99)),100,99)),FIND(":",TRIM(MID(SUBSTITUTE($T184,";",REPT(" ",99)),100,99)))+1,99)),0) + IFERROR(VLOOKUP(LEFT(TRIM(MID(SUBSTITUTE($T184,";",REPT(" ",99)),199,99)),FIND(":",TRIM(MID(SUBSTITUTE($T184,";",REPT(" ",99)),199,99)))-1),Materiales!$A$2:$E$502,5,FALSE)*VALUE(MID(TRIM(MID(SUBSTITUTE($T184,";",REPT(" ",99)),199,99)),FIND(":",TRIM(MID(SUBSTITUTE($T184,";",REPT(" ",99)),199,99)))+1,99)),0) + IFERROR(VLOOKUP(LEFT(TRIM(MID(SUBSTITUTE($T184,";",REPT(" ",99)),298,99)),FIND(":",TRIM(MID(SUBSTITUTE($T184,";",REPT(" ",99)),298,99)))-1),Materiales!$A$2:$E$502,5,FALSE)*VALUE(MID(TRIM(MID(SUBSTITUTE($T184,";",REPT(" ",99)),298,99)),FIND(":",TRIM(MID(SUBSTITUTE($T184,";",REPT(" ",99)),298,99)))+1,99)),0) + IFERROR(VLOOKUP(LEFT(TRIM(MID(SUBSTITUTE($T184,";",REPT(" ",99)),397,99)),FIND(":",TRIM(MID(SUBSTITUTE($T184,";",REPT(" ",99)),397,99)))-1),Materiales!$A$2:$E$502,5,FALSE)*VALUE(MID(TRIM(MID(SUBSTITUTE($T184,";",REPT(" ",99)),397,99)),FIND(":",TRIM(MID(SUBSTITUTE($T184,";",REPT(" ",99)),397,99)))+1,99)),0) + IFERROR(VLOOKUP(LEFT(TRIM(MID(SUBSTITUTE($T184,";",REPT(" ",99)),496,99)),FIND(":",TRIM(MID(SUBSTITUTE($T184,";",REPT(" ",99)),496,99)))-1),Materiales!$A$2:$E$502,5,FALSE)*VALUE(MID(TRIM(MID(SUBSTITUTE($T184,";",REPT(" ",99)),496,99)),FIND(":",TRIM(MID(SUBSTITUTE($T184,";",REPT(" ",99)),496,99)))+1,99)),0) + IFERROR(VLOOKUP(LEFT(TRIM(MID(SUBSTITUTE($T184,";",REPT(" ",99)),595,99)),FIND(":",TRIM(MID(SUBSTITUTE($T184,";",REPT(" ",99)),595,99)))-1),Materiales!$A$2:$E$502,5,FALSE)*VALUE(MID(TRIM(MID(SUBSTITUTE($T184,";",REPT(" ",99)),595,99)),FIND(":",TRIM(MID(SUBSTITUTE($T184,";",REPT(" ",99)),595,99)))+1,99)),0) + IFERROR(VLOOKUP(LEFT(TRIM(MID(SUBSTITUTE($T184,";",REPT(" ",99)),694,99)),FIND(":",TRIM(MID(SUBSTITUTE($T184,";",REPT(" ",99)),694,99)))-1),Materiales!$A$2:$E$502,5,FALSE)*VALUE(MID(TRIM(MID(SUBSTITUTE($T184,";",REPT(" ",99)),694,99)),FIND(":",TRIM(MID(SUBSTITUTE($T184,";",REPT(" ",99)),694,99)))+1,99)),0) + IFERROR(VLOOKUP(LEFT(TRIM(MID(SUBSTITUTE($T184,";",REPT(" ",99)),793,99)),FIND(":",TRIM(MID(SUBSTITUTE($T184,";",REPT(" ",99)),793,99)))-1),Materiales!$A$2:$E$502,5,FALSE)*VALUE(MID(TRIM(MID(SUBSTITUTE($T184,";",REPT(" ",99)),793,99)),FIND(":",TRIM(MID(SUBSTITUTE($T184,";",REPT(" ",99)),793,99)))+1,99)),0) + IFERROR(VLOOKUP(LEFT(TRIM(MID(SUBSTITUTE($T184,";",REPT(" ",99)),892,99)),FIND(":",TRIM(MID(SUBSTITUTE($T184,";",REPT(" ",99)),892,99)))-1),Materiales!$A$2:$E$502,5,FALSE)*VALUE(MID(TRIM(MID(SUBSTITUTE($T184,";",REPT(" ",99)),892,99)),FIND(":",TRIM(MID(SUBSTITUTE($T184,";",REPT(" ",99)),892,99)))+1,99)),0)))</f>
        <v/>
      </c>
      <c r="V184" s="3"/>
      <c r="W184" s="5" t="str">
        <f t="array" ref="W184">IF($A184="","",IF($V184="",0,IFERROR(VLOOKUP(LEFT(TRIM(MID(SUBSTITUTE($V184,";",REPT(" ",99)),1,99)),FIND(":",TRIM(MID(SUBSTITUTE($V184,";",REPT(" ",99)),1,99)))-1),Materiales!$A$2:$E$502,5,FALSE)*VALUE(MID(TRIM(MID(SUBSTITUTE($V184,";",REPT(" ",99)),1,99)),FIND(":",TRIM(MID(SUBSTITUTE($V184,";",REPT(" ",99)),1,99)))+1,99)),0) + IFERROR(VLOOKUP(LEFT(TRIM(MID(SUBSTITUTE($V184,";",REPT(" ",99)),100,99)),FIND(":",TRIM(MID(SUBSTITUTE($V184,";",REPT(" ",99)),100,99)))-1),Materiales!$A$2:$E$502,5,FALSE)*VALUE(MID(TRIM(MID(SUBSTITUTE($V184,";",REPT(" ",99)),100,99)),FIND(":",TRIM(MID(SUBSTITUTE($V184,";",REPT(" ",99)),100,99)))+1,99)),0) + IFERROR(VLOOKUP(LEFT(TRIM(MID(SUBSTITUTE($V184,";",REPT(" ",99)),199,99)),FIND(":",TRIM(MID(SUBSTITUTE($V184,";",REPT(" ",99)),199,99)))-1),Materiales!$A$2:$E$502,5,FALSE)*VALUE(MID(TRIM(MID(SUBSTITUTE($V184,";",REPT(" ",99)),199,99)),FIND(":",TRIM(MID(SUBSTITUTE($V184,";",REPT(" ",99)),199,99)))+1,99)),0) + IFERROR(VLOOKUP(LEFT(TRIM(MID(SUBSTITUTE($V184,";",REPT(" ",99)),298,99)),FIND(":",TRIM(MID(SUBSTITUTE($V184,";",REPT(" ",99)),298,99)))-1),Materiales!$A$2:$E$502,5,FALSE)*VALUE(MID(TRIM(MID(SUBSTITUTE($V184,";",REPT(" ",99)),298,99)),FIND(":",TRIM(MID(SUBSTITUTE($V184,";",REPT(" ",99)),298,99)))+1,99)),0) + IFERROR(VLOOKUP(LEFT(TRIM(MID(SUBSTITUTE($V184,";",REPT(" ",99)),397,99)),FIND(":",TRIM(MID(SUBSTITUTE($V184,";",REPT(" ",99)),397,99)))-1),Materiales!$A$2:$E$502,5,FALSE)*VALUE(MID(TRIM(MID(SUBSTITUTE($V184,";",REPT(" ",99)),397,99)),FIND(":",TRIM(MID(SUBSTITUTE($V184,";",REPT(" ",99)),397,99)))+1,99)),0) + IFERROR(VLOOKUP(LEFT(TRIM(MID(SUBSTITUTE($V184,";",REPT(" ",99)),496,99)),FIND(":",TRIM(MID(SUBSTITUTE($V184,";",REPT(" ",99)),496,99)))-1),Materiales!$A$2:$E$502,5,FALSE)*VALUE(MID(TRIM(MID(SUBSTITUTE($V184,";",REPT(" ",99)),496,99)),FIND(":",TRIM(MID(SUBSTITUTE($V184,";",REPT(" ",99)),496,99)))+1,99)),0) + IFERROR(VLOOKUP(LEFT(TRIM(MID(SUBSTITUTE($V184,";",REPT(" ",99)),595,99)),FIND(":",TRIM(MID(SUBSTITUTE($V184,";",REPT(" ",99)),595,99)))-1),Materiales!$A$2:$E$502,5,FALSE)*VALUE(MID(TRIM(MID(SUBSTITUTE($V184,";",REPT(" ",99)),595,99)),FIND(":",TRIM(MID(SUBSTITUTE($V184,";",REPT(" ",99)),595,99)))+1,99)),0) + IFERROR(VLOOKUP(LEFT(TRIM(MID(SUBSTITUTE($V184,";",REPT(" ",99)),694,99)),FIND(":",TRIM(MID(SUBSTITUTE($V184,";",REPT(" ",99)),694,99)))-1),Materiales!$A$2:$E$502,5,FALSE)*VALUE(MID(TRIM(MID(SUBSTITUTE($V184,";",REPT(" ",99)),694,99)),FIND(":",TRIM(MID(SUBSTITUTE($V184,";",REPT(" ",99)),694,99)))+1,99)),0) + IFERROR(VLOOKUP(LEFT(TRIM(MID(SUBSTITUTE($V184,";",REPT(" ",99)),793,99)),FIND(":",TRIM(MID(SUBSTITUTE($V184,";",REPT(" ",99)),793,99)))-1),Materiales!$A$2:$E$502,5,FALSE)*VALUE(MID(TRIM(MID(SUBSTITUTE($V184,";",REPT(" ",99)),793,99)),FIND(":",TRIM(MID(SUBSTITUTE($V184,";",REPT(" ",99)),793,99)))+1,99)),0) + IFERROR(VLOOKUP(LEFT(TRIM(MID(SUBSTITUTE($V184,";",REPT(" ",99)),892,99)),FIND(":",TRIM(MID(SUBSTITUTE($V184,";",REPT(" ",99)),892,99)))-1),Materiales!$A$2:$E$502,5,FALSE)*VALUE(MID(TRIM(MID(SUBSTITUTE($V184,";",REPT(" ",99)),892,99)),FIND(":",TRIM(MID(SUBSTITUTE($V184,";",REPT(" ",99)),892,99)))+1,99)),0)))</f>
        <v/>
      </c>
      <c r="X184" s="39" t="str">
        <f t="shared" si="21"/>
        <v/>
      </c>
      <c r="Y184" s="64"/>
      <c r="Z184" s="67"/>
      <c r="AA184" s="65"/>
      <c r="AB184" s="14"/>
      <c r="AC184" s="66"/>
      <c r="AD184" s="65"/>
      <c r="AE184" s="44"/>
      <c r="AF184" s="45" t="str">
        <f t="shared" si="20"/>
        <v>#DIV/0!</v>
      </c>
    </row>
    <row r="185" ht="15.75" customHeight="1">
      <c r="A185" s="3"/>
      <c r="B185" s="3"/>
      <c r="C185" s="38"/>
      <c r="D185" s="38"/>
      <c r="E185" s="38"/>
      <c r="F185" s="14"/>
      <c r="G185" s="5" t="str">
        <f t="array" ref="G185">IF($A185="","",IFERROR($F185*(N($C185)*XLOOKUP($B185,Ceras!$A$2:$A$500,Ceras!$G$2:$G$500,0)+IF($D185="",0,N($E185)*XLOOKUP($D185,Ceras!$A$2:$A$500,Ceras!$G$2:$G$500,0))),"Revisar cera"))</f>
        <v/>
      </c>
      <c r="H185" s="5"/>
      <c r="I185" s="3"/>
      <c r="J185" s="14"/>
      <c r="K185" s="5" t="str">
        <f t="array" ref="K185">IF($A185="","",IFERROR($J185*XLOOKUP($I185,Pabilos!$A$2:$A$500,Pabilos!$H$2:$H$500,0),"Revisar pabilo"))</f>
        <v/>
      </c>
      <c r="L185" s="3"/>
      <c r="M185" s="14"/>
      <c r="N185" s="5" t="str">
        <f t="array" ref="N185">IF($A185="","",IFERROR($M185*XLOOKUP($L185,Esencias!$A$2:$A$501,Esencias!$G$2:$G$501,0),"Revisar esencia"))</f>
        <v/>
      </c>
      <c r="O185" s="3"/>
      <c r="P185" s="14"/>
      <c r="Q185" s="5" t="str">
        <f t="array" ref="Q185">IF($A185="","",IFERROR(IF($P185="",1,$P185)*XLOOKUP($O185,Colores!$A$2:$A$500,Colores!$H$2:$H$500,0),"Revisar color"))</f>
        <v/>
      </c>
      <c r="R185" s="3"/>
      <c r="S185" s="5" t="str">
        <f t="array" ref="S185">IF($A185="","",IF($R185="",0,IFERROR(VLOOKUP(LEFT(TRIM(MID(SUBSTITUTE($R185,";",REPT(" ",99)),1,99)),FIND(":",TRIM(MID(SUBSTITUTE($R185,";",REPT(" ",99)),1,99)))-1),Materiales!$A$2:$E$502,5,FALSE)*VALUE(MID(TRIM(MID(SUBSTITUTE($R185,";",REPT(" ",99)),1,99)),FIND(":",TRIM(MID(SUBSTITUTE($R185,";",REPT(" ",99)),1,99)))+1,99)),0) + IFERROR(VLOOKUP(LEFT(TRIM(MID(SUBSTITUTE($R185,";",REPT(" ",99)),100,99)),FIND(":",TRIM(MID(SUBSTITUTE($R185,";",REPT(" ",99)),100,99)))-1),Materiales!$A$2:$E$502,5,FALSE)*VALUE(MID(TRIM(MID(SUBSTITUTE($R185,";",REPT(" ",99)),100,99)),FIND(":",TRIM(MID(SUBSTITUTE($R185,";",REPT(" ",99)),100,99)))+1,99)),0) + IFERROR(VLOOKUP(LEFT(TRIM(MID(SUBSTITUTE($R185,";",REPT(" ",99)),199,99)),FIND(":",TRIM(MID(SUBSTITUTE($R185,";",REPT(" ",99)),199,99)))-1),Materiales!$A$2:$E$502,5,FALSE)*VALUE(MID(TRIM(MID(SUBSTITUTE($R185,";",REPT(" ",99)),199,99)),FIND(":",TRIM(MID(SUBSTITUTE($R185,";",REPT(" ",99)),199,99)))+1,99)),0) + IFERROR(VLOOKUP(LEFT(TRIM(MID(SUBSTITUTE($R185,";",REPT(" ",99)),298,99)),FIND(":",TRIM(MID(SUBSTITUTE($R185,";",REPT(" ",99)),298,99)))-1),Materiales!$A$2:$E$502,5,FALSE)*VALUE(MID(TRIM(MID(SUBSTITUTE($R185,";",REPT(" ",99)),298,99)),FIND(":",TRIM(MID(SUBSTITUTE($R185,";",REPT(" ",99)),298,99)))+1,99)),0) + IFERROR(VLOOKUP(LEFT(TRIM(MID(SUBSTITUTE($R185,";",REPT(" ",99)),397,99)),FIND(":",TRIM(MID(SUBSTITUTE($R185,";",REPT(" ",99)),397,99)))-1),Materiales!$A$2:$E$502,5,FALSE)*VALUE(MID(TRIM(MID(SUBSTITUTE($R185,";",REPT(" ",99)),397,99)),FIND(":",TRIM(MID(SUBSTITUTE($R185,";",REPT(" ",99)),397,99)))+1,99)),0) + IFERROR(VLOOKUP(LEFT(TRIM(MID(SUBSTITUTE($R185,";",REPT(" ",99)),496,99)),FIND(":",TRIM(MID(SUBSTITUTE($R185,";",REPT(" ",99)),496,99)))-1),Materiales!$A$2:$E$502,5,FALSE)*VALUE(MID(TRIM(MID(SUBSTITUTE($R185,";",REPT(" ",99)),496,99)),FIND(":",TRIM(MID(SUBSTITUTE($R185,";",REPT(" ",99)),496,99)))+1,99)),0) + IFERROR(VLOOKUP(LEFT(TRIM(MID(SUBSTITUTE($R185,";",REPT(" ",99)),595,99)),FIND(":",TRIM(MID(SUBSTITUTE($R185,";",REPT(" ",99)),595,99)))-1),Materiales!$A$2:$E$502,5,FALSE)*VALUE(MID(TRIM(MID(SUBSTITUTE($R185,";",REPT(" ",99)),595,99)),FIND(":",TRIM(MID(SUBSTITUTE($R185,";",REPT(" ",99)),595,99)))+1,99)),0) + IFERROR(VLOOKUP(LEFT(TRIM(MID(SUBSTITUTE($R185,";",REPT(" ",99)),694,99)),FIND(":",TRIM(MID(SUBSTITUTE($R185,";",REPT(" ",99)),694,99)))-1),Materiales!$A$2:$E$502,5,FALSE)*VALUE(MID(TRIM(MID(SUBSTITUTE($R185,";",REPT(" ",99)),694,99)),FIND(":",TRIM(MID(SUBSTITUTE($R185,";",REPT(" ",99)),694,99)))+1,99)),0) + IFERROR(VLOOKUP(LEFT(TRIM(MID(SUBSTITUTE($R185,";",REPT(" ",99)),793,99)),FIND(":",TRIM(MID(SUBSTITUTE($R185,";",REPT(" ",99)),793,99)))-1),Materiales!$A$2:$E$502,5,FALSE)*VALUE(MID(TRIM(MID(SUBSTITUTE($R185,";",REPT(" ",99)),793,99)),FIND(":",TRIM(MID(SUBSTITUTE($R185,";",REPT(" ",99)),793,99)))+1,99)),0) + IFERROR(VLOOKUP(LEFT(TRIM(MID(SUBSTITUTE($R185,";",REPT(" ",99)),892,99)),FIND(":",TRIM(MID(SUBSTITUTE($R185,";",REPT(" ",99)),892,99)))-1),Materiales!$A$2:$E$502,5,FALSE)*VALUE(MID(TRIM(MID(SUBSTITUTE($R185,";",REPT(" ",99)),892,99)),FIND(":",TRIM(MID(SUBSTITUTE($R185,";",REPT(" ",99)),892,99)))+1,99)),0)))</f>
        <v/>
      </c>
      <c r="T185" s="3"/>
      <c r="U185" s="5" t="str">
        <f t="array" ref="U185">IF($A185="","",IF($T185="",0,IFERROR(VLOOKUP(LEFT(TRIM(MID(SUBSTITUTE($T185,";",REPT(" ",99)),1,99)),FIND(":",TRIM(MID(SUBSTITUTE($T185,";",REPT(" ",99)),1,99)))-1),Materiales!$A$2:$E$502,5,FALSE)*VALUE(MID(TRIM(MID(SUBSTITUTE($T185,";",REPT(" ",99)),1,99)),FIND(":",TRIM(MID(SUBSTITUTE($T185,";",REPT(" ",99)),1,99)))+1,99)),0) + IFERROR(VLOOKUP(LEFT(TRIM(MID(SUBSTITUTE($T185,";",REPT(" ",99)),100,99)),FIND(":",TRIM(MID(SUBSTITUTE($T185,";",REPT(" ",99)),100,99)))-1),Materiales!$A$2:$E$502,5,FALSE)*VALUE(MID(TRIM(MID(SUBSTITUTE($T185,";",REPT(" ",99)),100,99)),FIND(":",TRIM(MID(SUBSTITUTE($T185,";",REPT(" ",99)),100,99)))+1,99)),0) + IFERROR(VLOOKUP(LEFT(TRIM(MID(SUBSTITUTE($T185,";",REPT(" ",99)),199,99)),FIND(":",TRIM(MID(SUBSTITUTE($T185,";",REPT(" ",99)),199,99)))-1),Materiales!$A$2:$E$502,5,FALSE)*VALUE(MID(TRIM(MID(SUBSTITUTE($T185,";",REPT(" ",99)),199,99)),FIND(":",TRIM(MID(SUBSTITUTE($T185,";",REPT(" ",99)),199,99)))+1,99)),0) + IFERROR(VLOOKUP(LEFT(TRIM(MID(SUBSTITUTE($T185,";",REPT(" ",99)),298,99)),FIND(":",TRIM(MID(SUBSTITUTE($T185,";",REPT(" ",99)),298,99)))-1),Materiales!$A$2:$E$502,5,FALSE)*VALUE(MID(TRIM(MID(SUBSTITUTE($T185,";",REPT(" ",99)),298,99)),FIND(":",TRIM(MID(SUBSTITUTE($T185,";",REPT(" ",99)),298,99)))+1,99)),0) + IFERROR(VLOOKUP(LEFT(TRIM(MID(SUBSTITUTE($T185,";",REPT(" ",99)),397,99)),FIND(":",TRIM(MID(SUBSTITUTE($T185,";",REPT(" ",99)),397,99)))-1),Materiales!$A$2:$E$502,5,FALSE)*VALUE(MID(TRIM(MID(SUBSTITUTE($T185,";",REPT(" ",99)),397,99)),FIND(":",TRIM(MID(SUBSTITUTE($T185,";",REPT(" ",99)),397,99)))+1,99)),0) + IFERROR(VLOOKUP(LEFT(TRIM(MID(SUBSTITUTE($T185,";",REPT(" ",99)),496,99)),FIND(":",TRIM(MID(SUBSTITUTE($T185,";",REPT(" ",99)),496,99)))-1),Materiales!$A$2:$E$502,5,FALSE)*VALUE(MID(TRIM(MID(SUBSTITUTE($T185,";",REPT(" ",99)),496,99)),FIND(":",TRIM(MID(SUBSTITUTE($T185,";",REPT(" ",99)),496,99)))+1,99)),0) + IFERROR(VLOOKUP(LEFT(TRIM(MID(SUBSTITUTE($T185,";",REPT(" ",99)),595,99)),FIND(":",TRIM(MID(SUBSTITUTE($T185,";",REPT(" ",99)),595,99)))-1),Materiales!$A$2:$E$502,5,FALSE)*VALUE(MID(TRIM(MID(SUBSTITUTE($T185,";",REPT(" ",99)),595,99)),FIND(":",TRIM(MID(SUBSTITUTE($T185,";",REPT(" ",99)),595,99)))+1,99)),0) + IFERROR(VLOOKUP(LEFT(TRIM(MID(SUBSTITUTE($T185,";",REPT(" ",99)),694,99)),FIND(":",TRIM(MID(SUBSTITUTE($T185,";",REPT(" ",99)),694,99)))-1),Materiales!$A$2:$E$502,5,FALSE)*VALUE(MID(TRIM(MID(SUBSTITUTE($T185,";",REPT(" ",99)),694,99)),FIND(":",TRIM(MID(SUBSTITUTE($T185,";",REPT(" ",99)),694,99)))+1,99)),0) + IFERROR(VLOOKUP(LEFT(TRIM(MID(SUBSTITUTE($T185,";",REPT(" ",99)),793,99)),FIND(":",TRIM(MID(SUBSTITUTE($T185,";",REPT(" ",99)),793,99)))-1),Materiales!$A$2:$E$502,5,FALSE)*VALUE(MID(TRIM(MID(SUBSTITUTE($T185,";",REPT(" ",99)),793,99)),FIND(":",TRIM(MID(SUBSTITUTE($T185,";",REPT(" ",99)),793,99)))+1,99)),0) + IFERROR(VLOOKUP(LEFT(TRIM(MID(SUBSTITUTE($T185,";",REPT(" ",99)),892,99)),FIND(":",TRIM(MID(SUBSTITUTE($T185,";",REPT(" ",99)),892,99)))-1),Materiales!$A$2:$E$502,5,FALSE)*VALUE(MID(TRIM(MID(SUBSTITUTE($T185,";",REPT(" ",99)),892,99)),FIND(":",TRIM(MID(SUBSTITUTE($T185,";",REPT(" ",99)),892,99)))+1,99)),0)))</f>
        <v/>
      </c>
      <c r="V185" s="3"/>
      <c r="W185" s="5" t="str">
        <f t="array" ref="W185">IF($A185="","",IF($V185="",0,IFERROR(VLOOKUP(LEFT(TRIM(MID(SUBSTITUTE($V185,";",REPT(" ",99)),1,99)),FIND(":",TRIM(MID(SUBSTITUTE($V185,";",REPT(" ",99)),1,99)))-1),Materiales!$A$2:$E$502,5,FALSE)*VALUE(MID(TRIM(MID(SUBSTITUTE($V185,";",REPT(" ",99)),1,99)),FIND(":",TRIM(MID(SUBSTITUTE($V185,";",REPT(" ",99)),1,99)))+1,99)),0) + IFERROR(VLOOKUP(LEFT(TRIM(MID(SUBSTITUTE($V185,";",REPT(" ",99)),100,99)),FIND(":",TRIM(MID(SUBSTITUTE($V185,";",REPT(" ",99)),100,99)))-1),Materiales!$A$2:$E$502,5,FALSE)*VALUE(MID(TRIM(MID(SUBSTITUTE($V185,";",REPT(" ",99)),100,99)),FIND(":",TRIM(MID(SUBSTITUTE($V185,";",REPT(" ",99)),100,99)))+1,99)),0) + IFERROR(VLOOKUP(LEFT(TRIM(MID(SUBSTITUTE($V185,";",REPT(" ",99)),199,99)),FIND(":",TRIM(MID(SUBSTITUTE($V185,";",REPT(" ",99)),199,99)))-1),Materiales!$A$2:$E$502,5,FALSE)*VALUE(MID(TRIM(MID(SUBSTITUTE($V185,";",REPT(" ",99)),199,99)),FIND(":",TRIM(MID(SUBSTITUTE($V185,";",REPT(" ",99)),199,99)))+1,99)),0) + IFERROR(VLOOKUP(LEFT(TRIM(MID(SUBSTITUTE($V185,";",REPT(" ",99)),298,99)),FIND(":",TRIM(MID(SUBSTITUTE($V185,";",REPT(" ",99)),298,99)))-1),Materiales!$A$2:$E$502,5,FALSE)*VALUE(MID(TRIM(MID(SUBSTITUTE($V185,";",REPT(" ",99)),298,99)),FIND(":",TRIM(MID(SUBSTITUTE($V185,";",REPT(" ",99)),298,99)))+1,99)),0) + IFERROR(VLOOKUP(LEFT(TRIM(MID(SUBSTITUTE($V185,";",REPT(" ",99)),397,99)),FIND(":",TRIM(MID(SUBSTITUTE($V185,";",REPT(" ",99)),397,99)))-1),Materiales!$A$2:$E$502,5,FALSE)*VALUE(MID(TRIM(MID(SUBSTITUTE($V185,";",REPT(" ",99)),397,99)),FIND(":",TRIM(MID(SUBSTITUTE($V185,";",REPT(" ",99)),397,99)))+1,99)),0) + IFERROR(VLOOKUP(LEFT(TRIM(MID(SUBSTITUTE($V185,";",REPT(" ",99)),496,99)),FIND(":",TRIM(MID(SUBSTITUTE($V185,";",REPT(" ",99)),496,99)))-1),Materiales!$A$2:$E$502,5,FALSE)*VALUE(MID(TRIM(MID(SUBSTITUTE($V185,";",REPT(" ",99)),496,99)),FIND(":",TRIM(MID(SUBSTITUTE($V185,";",REPT(" ",99)),496,99)))+1,99)),0) + IFERROR(VLOOKUP(LEFT(TRIM(MID(SUBSTITUTE($V185,";",REPT(" ",99)),595,99)),FIND(":",TRIM(MID(SUBSTITUTE($V185,";",REPT(" ",99)),595,99)))-1),Materiales!$A$2:$E$502,5,FALSE)*VALUE(MID(TRIM(MID(SUBSTITUTE($V185,";",REPT(" ",99)),595,99)),FIND(":",TRIM(MID(SUBSTITUTE($V185,";",REPT(" ",99)),595,99)))+1,99)),0) + IFERROR(VLOOKUP(LEFT(TRIM(MID(SUBSTITUTE($V185,";",REPT(" ",99)),694,99)),FIND(":",TRIM(MID(SUBSTITUTE($V185,";",REPT(" ",99)),694,99)))-1),Materiales!$A$2:$E$502,5,FALSE)*VALUE(MID(TRIM(MID(SUBSTITUTE($V185,";",REPT(" ",99)),694,99)),FIND(":",TRIM(MID(SUBSTITUTE($V185,";",REPT(" ",99)),694,99)))+1,99)),0) + IFERROR(VLOOKUP(LEFT(TRIM(MID(SUBSTITUTE($V185,";",REPT(" ",99)),793,99)),FIND(":",TRIM(MID(SUBSTITUTE($V185,";",REPT(" ",99)),793,99)))-1),Materiales!$A$2:$E$502,5,FALSE)*VALUE(MID(TRIM(MID(SUBSTITUTE($V185,";",REPT(" ",99)),793,99)),FIND(":",TRIM(MID(SUBSTITUTE($V185,";",REPT(" ",99)),793,99)))+1,99)),0) + IFERROR(VLOOKUP(LEFT(TRIM(MID(SUBSTITUTE($V185,";",REPT(" ",99)),892,99)),FIND(":",TRIM(MID(SUBSTITUTE($V185,";",REPT(" ",99)),892,99)))-1),Materiales!$A$2:$E$502,5,FALSE)*VALUE(MID(TRIM(MID(SUBSTITUTE($V185,";",REPT(" ",99)),892,99)),FIND(":",TRIM(MID(SUBSTITUTE($V185,";",REPT(" ",99)),892,99)))+1,99)),0)))</f>
        <v/>
      </c>
      <c r="X185" s="39" t="str">
        <f t="shared" si="21"/>
        <v/>
      </c>
      <c r="Y185" s="64"/>
      <c r="Z185" s="67"/>
      <c r="AA185" s="65"/>
      <c r="AB185" s="14"/>
      <c r="AC185" s="66"/>
      <c r="AD185" s="65"/>
      <c r="AE185" s="44"/>
      <c r="AF185" s="45" t="str">
        <f t="shared" si="20"/>
        <v>#DIV/0!</v>
      </c>
    </row>
    <row r="186" ht="15.75" customHeight="1">
      <c r="A186" s="3"/>
      <c r="B186" s="3"/>
      <c r="C186" s="38"/>
      <c r="D186" s="38"/>
      <c r="E186" s="38"/>
      <c r="F186" s="14"/>
      <c r="G186" s="5" t="str">
        <f t="array" ref="G186">IF($A186="","",IFERROR($F186*(N($C186)*XLOOKUP($B186,Ceras!$A$2:$A$500,Ceras!$G$2:$G$500,0)+IF($D186="",0,N($E186)*XLOOKUP($D186,Ceras!$A$2:$A$500,Ceras!$G$2:$G$500,0))),"Revisar cera"))</f>
        <v/>
      </c>
      <c r="H186" s="5"/>
      <c r="I186" s="3"/>
      <c r="J186" s="14"/>
      <c r="K186" s="5" t="str">
        <f t="array" ref="K186">IF($A186="","",IFERROR($J186*XLOOKUP($I186,Pabilos!$A$2:$A$500,Pabilos!$H$2:$H$500,0),"Revisar pabilo"))</f>
        <v/>
      </c>
      <c r="L186" s="3"/>
      <c r="M186" s="14"/>
      <c r="N186" s="5" t="str">
        <f t="array" ref="N186">IF($A186="","",IFERROR($M186*XLOOKUP($L186,Esencias!$A$2:$A$501,Esencias!$G$2:$G$501,0),"Revisar esencia"))</f>
        <v/>
      </c>
      <c r="O186" s="3"/>
      <c r="P186" s="14"/>
      <c r="Q186" s="5" t="str">
        <f t="array" ref="Q186">IF($A186="","",IFERROR(IF($P186="",1,$P186)*XLOOKUP($O186,Colores!$A$2:$A$500,Colores!$H$2:$H$500,0),"Revisar color"))</f>
        <v/>
      </c>
      <c r="R186" s="3"/>
      <c r="S186" s="5" t="str">
        <f t="array" ref="S186">IF($A186="","",IF($R186="",0,IFERROR(VLOOKUP(LEFT(TRIM(MID(SUBSTITUTE($R186,";",REPT(" ",99)),1,99)),FIND(":",TRIM(MID(SUBSTITUTE($R186,";",REPT(" ",99)),1,99)))-1),Materiales!$A$2:$E$502,5,FALSE)*VALUE(MID(TRIM(MID(SUBSTITUTE($R186,";",REPT(" ",99)),1,99)),FIND(":",TRIM(MID(SUBSTITUTE($R186,";",REPT(" ",99)),1,99)))+1,99)),0) + IFERROR(VLOOKUP(LEFT(TRIM(MID(SUBSTITUTE($R186,";",REPT(" ",99)),100,99)),FIND(":",TRIM(MID(SUBSTITUTE($R186,";",REPT(" ",99)),100,99)))-1),Materiales!$A$2:$E$502,5,FALSE)*VALUE(MID(TRIM(MID(SUBSTITUTE($R186,";",REPT(" ",99)),100,99)),FIND(":",TRIM(MID(SUBSTITUTE($R186,";",REPT(" ",99)),100,99)))+1,99)),0) + IFERROR(VLOOKUP(LEFT(TRIM(MID(SUBSTITUTE($R186,";",REPT(" ",99)),199,99)),FIND(":",TRIM(MID(SUBSTITUTE($R186,";",REPT(" ",99)),199,99)))-1),Materiales!$A$2:$E$502,5,FALSE)*VALUE(MID(TRIM(MID(SUBSTITUTE($R186,";",REPT(" ",99)),199,99)),FIND(":",TRIM(MID(SUBSTITUTE($R186,";",REPT(" ",99)),199,99)))+1,99)),0) + IFERROR(VLOOKUP(LEFT(TRIM(MID(SUBSTITUTE($R186,";",REPT(" ",99)),298,99)),FIND(":",TRIM(MID(SUBSTITUTE($R186,";",REPT(" ",99)),298,99)))-1),Materiales!$A$2:$E$502,5,FALSE)*VALUE(MID(TRIM(MID(SUBSTITUTE($R186,";",REPT(" ",99)),298,99)),FIND(":",TRIM(MID(SUBSTITUTE($R186,";",REPT(" ",99)),298,99)))+1,99)),0) + IFERROR(VLOOKUP(LEFT(TRIM(MID(SUBSTITUTE($R186,";",REPT(" ",99)),397,99)),FIND(":",TRIM(MID(SUBSTITUTE($R186,";",REPT(" ",99)),397,99)))-1),Materiales!$A$2:$E$502,5,FALSE)*VALUE(MID(TRIM(MID(SUBSTITUTE($R186,";",REPT(" ",99)),397,99)),FIND(":",TRIM(MID(SUBSTITUTE($R186,";",REPT(" ",99)),397,99)))+1,99)),0) + IFERROR(VLOOKUP(LEFT(TRIM(MID(SUBSTITUTE($R186,";",REPT(" ",99)),496,99)),FIND(":",TRIM(MID(SUBSTITUTE($R186,";",REPT(" ",99)),496,99)))-1),Materiales!$A$2:$E$502,5,FALSE)*VALUE(MID(TRIM(MID(SUBSTITUTE($R186,";",REPT(" ",99)),496,99)),FIND(":",TRIM(MID(SUBSTITUTE($R186,";",REPT(" ",99)),496,99)))+1,99)),0) + IFERROR(VLOOKUP(LEFT(TRIM(MID(SUBSTITUTE($R186,";",REPT(" ",99)),595,99)),FIND(":",TRIM(MID(SUBSTITUTE($R186,";",REPT(" ",99)),595,99)))-1),Materiales!$A$2:$E$502,5,FALSE)*VALUE(MID(TRIM(MID(SUBSTITUTE($R186,";",REPT(" ",99)),595,99)),FIND(":",TRIM(MID(SUBSTITUTE($R186,";",REPT(" ",99)),595,99)))+1,99)),0) + IFERROR(VLOOKUP(LEFT(TRIM(MID(SUBSTITUTE($R186,";",REPT(" ",99)),694,99)),FIND(":",TRIM(MID(SUBSTITUTE($R186,";",REPT(" ",99)),694,99)))-1),Materiales!$A$2:$E$502,5,FALSE)*VALUE(MID(TRIM(MID(SUBSTITUTE($R186,";",REPT(" ",99)),694,99)),FIND(":",TRIM(MID(SUBSTITUTE($R186,";",REPT(" ",99)),694,99)))+1,99)),0) + IFERROR(VLOOKUP(LEFT(TRIM(MID(SUBSTITUTE($R186,";",REPT(" ",99)),793,99)),FIND(":",TRIM(MID(SUBSTITUTE($R186,";",REPT(" ",99)),793,99)))-1),Materiales!$A$2:$E$502,5,FALSE)*VALUE(MID(TRIM(MID(SUBSTITUTE($R186,";",REPT(" ",99)),793,99)),FIND(":",TRIM(MID(SUBSTITUTE($R186,";",REPT(" ",99)),793,99)))+1,99)),0) + IFERROR(VLOOKUP(LEFT(TRIM(MID(SUBSTITUTE($R186,";",REPT(" ",99)),892,99)),FIND(":",TRIM(MID(SUBSTITUTE($R186,";",REPT(" ",99)),892,99)))-1),Materiales!$A$2:$E$502,5,FALSE)*VALUE(MID(TRIM(MID(SUBSTITUTE($R186,";",REPT(" ",99)),892,99)),FIND(":",TRIM(MID(SUBSTITUTE($R186,";",REPT(" ",99)),892,99)))+1,99)),0)))</f>
        <v/>
      </c>
      <c r="T186" s="3"/>
      <c r="U186" s="5" t="str">
        <f t="array" ref="U186">IF($A186="","",IF($T186="",0,IFERROR(VLOOKUP(LEFT(TRIM(MID(SUBSTITUTE($T186,";",REPT(" ",99)),1,99)),FIND(":",TRIM(MID(SUBSTITUTE($T186,";",REPT(" ",99)),1,99)))-1),Materiales!$A$2:$E$502,5,FALSE)*VALUE(MID(TRIM(MID(SUBSTITUTE($T186,";",REPT(" ",99)),1,99)),FIND(":",TRIM(MID(SUBSTITUTE($T186,";",REPT(" ",99)),1,99)))+1,99)),0) + IFERROR(VLOOKUP(LEFT(TRIM(MID(SUBSTITUTE($T186,";",REPT(" ",99)),100,99)),FIND(":",TRIM(MID(SUBSTITUTE($T186,";",REPT(" ",99)),100,99)))-1),Materiales!$A$2:$E$502,5,FALSE)*VALUE(MID(TRIM(MID(SUBSTITUTE($T186,";",REPT(" ",99)),100,99)),FIND(":",TRIM(MID(SUBSTITUTE($T186,";",REPT(" ",99)),100,99)))+1,99)),0) + IFERROR(VLOOKUP(LEFT(TRIM(MID(SUBSTITUTE($T186,";",REPT(" ",99)),199,99)),FIND(":",TRIM(MID(SUBSTITUTE($T186,";",REPT(" ",99)),199,99)))-1),Materiales!$A$2:$E$502,5,FALSE)*VALUE(MID(TRIM(MID(SUBSTITUTE($T186,";",REPT(" ",99)),199,99)),FIND(":",TRIM(MID(SUBSTITUTE($T186,";",REPT(" ",99)),199,99)))+1,99)),0) + IFERROR(VLOOKUP(LEFT(TRIM(MID(SUBSTITUTE($T186,";",REPT(" ",99)),298,99)),FIND(":",TRIM(MID(SUBSTITUTE($T186,";",REPT(" ",99)),298,99)))-1),Materiales!$A$2:$E$502,5,FALSE)*VALUE(MID(TRIM(MID(SUBSTITUTE($T186,";",REPT(" ",99)),298,99)),FIND(":",TRIM(MID(SUBSTITUTE($T186,";",REPT(" ",99)),298,99)))+1,99)),0) + IFERROR(VLOOKUP(LEFT(TRIM(MID(SUBSTITUTE($T186,";",REPT(" ",99)),397,99)),FIND(":",TRIM(MID(SUBSTITUTE($T186,";",REPT(" ",99)),397,99)))-1),Materiales!$A$2:$E$502,5,FALSE)*VALUE(MID(TRIM(MID(SUBSTITUTE($T186,";",REPT(" ",99)),397,99)),FIND(":",TRIM(MID(SUBSTITUTE($T186,";",REPT(" ",99)),397,99)))+1,99)),0) + IFERROR(VLOOKUP(LEFT(TRIM(MID(SUBSTITUTE($T186,";",REPT(" ",99)),496,99)),FIND(":",TRIM(MID(SUBSTITUTE($T186,";",REPT(" ",99)),496,99)))-1),Materiales!$A$2:$E$502,5,FALSE)*VALUE(MID(TRIM(MID(SUBSTITUTE($T186,";",REPT(" ",99)),496,99)),FIND(":",TRIM(MID(SUBSTITUTE($T186,";",REPT(" ",99)),496,99)))+1,99)),0) + IFERROR(VLOOKUP(LEFT(TRIM(MID(SUBSTITUTE($T186,";",REPT(" ",99)),595,99)),FIND(":",TRIM(MID(SUBSTITUTE($T186,";",REPT(" ",99)),595,99)))-1),Materiales!$A$2:$E$502,5,FALSE)*VALUE(MID(TRIM(MID(SUBSTITUTE($T186,";",REPT(" ",99)),595,99)),FIND(":",TRIM(MID(SUBSTITUTE($T186,";",REPT(" ",99)),595,99)))+1,99)),0) + IFERROR(VLOOKUP(LEFT(TRIM(MID(SUBSTITUTE($T186,";",REPT(" ",99)),694,99)),FIND(":",TRIM(MID(SUBSTITUTE($T186,";",REPT(" ",99)),694,99)))-1),Materiales!$A$2:$E$502,5,FALSE)*VALUE(MID(TRIM(MID(SUBSTITUTE($T186,";",REPT(" ",99)),694,99)),FIND(":",TRIM(MID(SUBSTITUTE($T186,";",REPT(" ",99)),694,99)))+1,99)),0) + IFERROR(VLOOKUP(LEFT(TRIM(MID(SUBSTITUTE($T186,";",REPT(" ",99)),793,99)),FIND(":",TRIM(MID(SUBSTITUTE($T186,";",REPT(" ",99)),793,99)))-1),Materiales!$A$2:$E$502,5,FALSE)*VALUE(MID(TRIM(MID(SUBSTITUTE($T186,";",REPT(" ",99)),793,99)),FIND(":",TRIM(MID(SUBSTITUTE($T186,";",REPT(" ",99)),793,99)))+1,99)),0) + IFERROR(VLOOKUP(LEFT(TRIM(MID(SUBSTITUTE($T186,";",REPT(" ",99)),892,99)),FIND(":",TRIM(MID(SUBSTITUTE($T186,";",REPT(" ",99)),892,99)))-1),Materiales!$A$2:$E$502,5,FALSE)*VALUE(MID(TRIM(MID(SUBSTITUTE($T186,";",REPT(" ",99)),892,99)),FIND(":",TRIM(MID(SUBSTITUTE($T186,";",REPT(" ",99)),892,99)))+1,99)),0)))</f>
        <v/>
      </c>
      <c r="V186" s="3"/>
      <c r="W186" s="5" t="str">
        <f t="array" ref="W186">IF($A186="","",IF($V186="",0,IFERROR(VLOOKUP(LEFT(TRIM(MID(SUBSTITUTE($V186,";",REPT(" ",99)),1,99)),FIND(":",TRIM(MID(SUBSTITUTE($V186,";",REPT(" ",99)),1,99)))-1),Materiales!$A$2:$E$502,5,FALSE)*VALUE(MID(TRIM(MID(SUBSTITUTE($V186,";",REPT(" ",99)),1,99)),FIND(":",TRIM(MID(SUBSTITUTE($V186,";",REPT(" ",99)),1,99)))+1,99)),0) + IFERROR(VLOOKUP(LEFT(TRIM(MID(SUBSTITUTE($V186,";",REPT(" ",99)),100,99)),FIND(":",TRIM(MID(SUBSTITUTE($V186,";",REPT(" ",99)),100,99)))-1),Materiales!$A$2:$E$502,5,FALSE)*VALUE(MID(TRIM(MID(SUBSTITUTE($V186,";",REPT(" ",99)),100,99)),FIND(":",TRIM(MID(SUBSTITUTE($V186,";",REPT(" ",99)),100,99)))+1,99)),0) + IFERROR(VLOOKUP(LEFT(TRIM(MID(SUBSTITUTE($V186,";",REPT(" ",99)),199,99)),FIND(":",TRIM(MID(SUBSTITUTE($V186,";",REPT(" ",99)),199,99)))-1),Materiales!$A$2:$E$502,5,FALSE)*VALUE(MID(TRIM(MID(SUBSTITUTE($V186,";",REPT(" ",99)),199,99)),FIND(":",TRIM(MID(SUBSTITUTE($V186,";",REPT(" ",99)),199,99)))+1,99)),0) + IFERROR(VLOOKUP(LEFT(TRIM(MID(SUBSTITUTE($V186,";",REPT(" ",99)),298,99)),FIND(":",TRIM(MID(SUBSTITUTE($V186,";",REPT(" ",99)),298,99)))-1),Materiales!$A$2:$E$502,5,FALSE)*VALUE(MID(TRIM(MID(SUBSTITUTE($V186,";",REPT(" ",99)),298,99)),FIND(":",TRIM(MID(SUBSTITUTE($V186,";",REPT(" ",99)),298,99)))+1,99)),0) + IFERROR(VLOOKUP(LEFT(TRIM(MID(SUBSTITUTE($V186,";",REPT(" ",99)),397,99)),FIND(":",TRIM(MID(SUBSTITUTE($V186,";",REPT(" ",99)),397,99)))-1),Materiales!$A$2:$E$502,5,FALSE)*VALUE(MID(TRIM(MID(SUBSTITUTE($V186,";",REPT(" ",99)),397,99)),FIND(":",TRIM(MID(SUBSTITUTE($V186,";",REPT(" ",99)),397,99)))+1,99)),0) + IFERROR(VLOOKUP(LEFT(TRIM(MID(SUBSTITUTE($V186,";",REPT(" ",99)),496,99)),FIND(":",TRIM(MID(SUBSTITUTE($V186,";",REPT(" ",99)),496,99)))-1),Materiales!$A$2:$E$502,5,FALSE)*VALUE(MID(TRIM(MID(SUBSTITUTE($V186,";",REPT(" ",99)),496,99)),FIND(":",TRIM(MID(SUBSTITUTE($V186,";",REPT(" ",99)),496,99)))+1,99)),0) + IFERROR(VLOOKUP(LEFT(TRIM(MID(SUBSTITUTE($V186,";",REPT(" ",99)),595,99)),FIND(":",TRIM(MID(SUBSTITUTE($V186,";",REPT(" ",99)),595,99)))-1),Materiales!$A$2:$E$502,5,FALSE)*VALUE(MID(TRIM(MID(SUBSTITUTE($V186,";",REPT(" ",99)),595,99)),FIND(":",TRIM(MID(SUBSTITUTE($V186,";",REPT(" ",99)),595,99)))+1,99)),0) + IFERROR(VLOOKUP(LEFT(TRIM(MID(SUBSTITUTE($V186,";",REPT(" ",99)),694,99)),FIND(":",TRIM(MID(SUBSTITUTE($V186,";",REPT(" ",99)),694,99)))-1),Materiales!$A$2:$E$502,5,FALSE)*VALUE(MID(TRIM(MID(SUBSTITUTE($V186,";",REPT(" ",99)),694,99)),FIND(":",TRIM(MID(SUBSTITUTE($V186,";",REPT(" ",99)),694,99)))+1,99)),0) + IFERROR(VLOOKUP(LEFT(TRIM(MID(SUBSTITUTE($V186,";",REPT(" ",99)),793,99)),FIND(":",TRIM(MID(SUBSTITUTE($V186,";",REPT(" ",99)),793,99)))-1),Materiales!$A$2:$E$502,5,FALSE)*VALUE(MID(TRIM(MID(SUBSTITUTE($V186,";",REPT(" ",99)),793,99)),FIND(":",TRIM(MID(SUBSTITUTE($V186,";",REPT(" ",99)),793,99)))+1,99)),0) + IFERROR(VLOOKUP(LEFT(TRIM(MID(SUBSTITUTE($V186,";",REPT(" ",99)),892,99)),FIND(":",TRIM(MID(SUBSTITUTE($V186,";",REPT(" ",99)),892,99)))-1),Materiales!$A$2:$E$502,5,FALSE)*VALUE(MID(TRIM(MID(SUBSTITUTE($V186,";",REPT(" ",99)),892,99)),FIND(":",TRIM(MID(SUBSTITUTE($V186,";",REPT(" ",99)),892,99)))+1,99)),0)))</f>
        <v/>
      </c>
      <c r="X186" s="39" t="str">
        <f t="shared" si="21"/>
        <v/>
      </c>
      <c r="Y186" s="64"/>
      <c r="Z186" s="67"/>
      <c r="AA186" s="65"/>
      <c r="AB186" s="14"/>
      <c r="AC186" s="66"/>
      <c r="AD186" s="65"/>
      <c r="AE186" s="44"/>
      <c r="AF186" s="45" t="str">
        <f t="shared" si="20"/>
        <v>#DIV/0!</v>
      </c>
    </row>
    <row r="187" ht="15.75" customHeight="1">
      <c r="A187" s="3"/>
      <c r="B187" s="3"/>
      <c r="C187" s="38"/>
      <c r="D187" s="38"/>
      <c r="E187" s="38"/>
      <c r="F187" s="14"/>
      <c r="G187" s="5" t="str">
        <f t="array" ref="G187">IF($A187="","",IFERROR($F187*(N($C187)*XLOOKUP($B187,Ceras!$A$2:$A$500,Ceras!$G$2:$G$500,0)+IF($D187="",0,N($E187)*XLOOKUP($D187,Ceras!$A$2:$A$500,Ceras!$G$2:$G$500,0))),"Revisar cera"))</f>
        <v/>
      </c>
      <c r="H187" s="5"/>
      <c r="I187" s="3"/>
      <c r="J187" s="14"/>
      <c r="K187" s="5" t="str">
        <f t="array" ref="K187">IF($A187="","",IFERROR($J187*XLOOKUP($I187,Pabilos!$A$2:$A$500,Pabilos!$H$2:$H$500,0),"Revisar pabilo"))</f>
        <v/>
      </c>
      <c r="L187" s="3"/>
      <c r="M187" s="14"/>
      <c r="N187" s="5" t="str">
        <f t="array" ref="N187">IF($A187="","",IFERROR($M187*XLOOKUP($L187,Esencias!$A$2:$A$501,Esencias!$G$2:$G$501,0),"Revisar esencia"))</f>
        <v/>
      </c>
      <c r="O187" s="3"/>
      <c r="P187" s="14"/>
      <c r="Q187" s="5" t="str">
        <f t="array" ref="Q187">IF($A187="","",IFERROR(IF($P187="",1,$P187)*XLOOKUP($O187,Colores!$A$2:$A$500,Colores!$H$2:$H$500,0),"Revisar color"))</f>
        <v/>
      </c>
      <c r="R187" s="3"/>
      <c r="S187" s="5" t="str">
        <f t="array" ref="S187">IF($A187="","",IF($R187="",0,IFERROR(VLOOKUP(LEFT(TRIM(MID(SUBSTITUTE($R187,";",REPT(" ",99)),1,99)),FIND(":",TRIM(MID(SUBSTITUTE($R187,";",REPT(" ",99)),1,99)))-1),Materiales!$A$2:$E$502,5,FALSE)*VALUE(MID(TRIM(MID(SUBSTITUTE($R187,";",REPT(" ",99)),1,99)),FIND(":",TRIM(MID(SUBSTITUTE($R187,";",REPT(" ",99)),1,99)))+1,99)),0) + IFERROR(VLOOKUP(LEFT(TRIM(MID(SUBSTITUTE($R187,";",REPT(" ",99)),100,99)),FIND(":",TRIM(MID(SUBSTITUTE($R187,";",REPT(" ",99)),100,99)))-1),Materiales!$A$2:$E$502,5,FALSE)*VALUE(MID(TRIM(MID(SUBSTITUTE($R187,";",REPT(" ",99)),100,99)),FIND(":",TRIM(MID(SUBSTITUTE($R187,";",REPT(" ",99)),100,99)))+1,99)),0) + IFERROR(VLOOKUP(LEFT(TRIM(MID(SUBSTITUTE($R187,";",REPT(" ",99)),199,99)),FIND(":",TRIM(MID(SUBSTITUTE($R187,";",REPT(" ",99)),199,99)))-1),Materiales!$A$2:$E$502,5,FALSE)*VALUE(MID(TRIM(MID(SUBSTITUTE($R187,";",REPT(" ",99)),199,99)),FIND(":",TRIM(MID(SUBSTITUTE($R187,";",REPT(" ",99)),199,99)))+1,99)),0) + IFERROR(VLOOKUP(LEFT(TRIM(MID(SUBSTITUTE($R187,";",REPT(" ",99)),298,99)),FIND(":",TRIM(MID(SUBSTITUTE($R187,";",REPT(" ",99)),298,99)))-1),Materiales!$A$2:$E$502,5,FALSE)*VALUE(MID(TRIM(MID(SUBSTITUTE($R187,";",REPT(" ",99)),298,99)),FIND(":",TRIM(MID(SUBSTITUTE($R187,";",REPT(" ",99)),298,99)))+1,99)),0) + IFERROR(VLOOKUP(LEFT(TRIM(MID(SUBSTITUTE($R187,";",REPT(" ",99)),397,99)),FIND(":",TRIM(MID(SUBSTITUTE($R187,";",REPT(" ",99)),397,99)))-1),Materiales!$A$2:$E$502,5,FALSE)*VALUE(MID(TRIM(MID(SUBSTITUTE($R187,";",REPT(" ",99)),397,99)),FIND(":",TRIM(MID(SUBSTITUTE($R187,";",REPT(" ",99)),397,99)))+1,99)),0) + IFERROR(VLOOKUP(LEFT(TRIM(MID(SUBSTITUTE($R187,";",REPT(" ",99)),496,99)),FIND(":",TRIM(MID(SUBSTITUTE($R187,";",REPT(" ",99)),496,99)))-1),Materiales!$A$2:$E$502,5,FALSE)*VALUE(MID(TRIM(MID(SUBSTITUTE($R187,";",REPT(" ",99)),496,99)),FIND(":",TRIM(MID(SUBSTITUTE($R187,";",REPT(" ",99)),496,99)))+1,99)),0) + IFERROR(VLOOKUP(LEFT(TRIM(MID(SUBSTITUTE($R187,";",REPT(" ",99)),595,99)),FIND(":",TRIM(MID(SUBSTITUTE($R187,";",REPT(" ",99)),595,99)))-1),Materiales!$A$2:$E$502,5,FALSE)*VALUE(MID(TRIM(MID(SUBSTITUTE($R187,";",REPT(" ",99)),595,99)),FIND(":",TRIM(MID(SUBSTITUTE($R187,";",REPT(" ",99)),595,99)))+1,99)),0) + IFERROR(VLOOKUP(LEFT(TRIM(MID(SUBSTITUTE($R187,";",REPT(" ",99)),694,99)),FIND(":",TRIM(MID(SUBSTITUTE($R187,";",REPT(" ",99)),694,99)))-1),Materiales!$A$2:$E$502,5,FALSE)*VALUE(MID(TRIM(MID(SUBSTITUTE($R187,";",REPT(" ",99)),694,99)),FIND(":",TRIM(MID(SUBSTITUTE($R187,";",REPT(" ",99)),694,99)))+1,99)),0) + IFERROR(VLOOKUP(LEFT(TRIM(MID(SUBSTITUTE($R187,";",REPT(" ",99)),793,99)),FIND(":",TRIM(MID(SUBSTITUTE($R187,";",REPT(" ",99)),793,99)))-1),Materiales!$A$2:$E$502,5,FALSE)*VALUE(MID(TRIM(MID(SUBSTITUTE($R187,";",REPT(" ",99)),793,99)),FIND(":",TRIM(MID(SUBSTITUTE($R187,";",REPT(" ",99)),793,99)))+1,99)),0) + IFERROR(VLOOKUP(LEFT(TRIM(MID(SUBSTITUTE($R187,";",REPT(" ",99)),892,99)),FIND(":",TRIM(MID(SUBSTITUTE($R187,";",REPT(" ",99)),892,99)))-1),Materiales!$A$2:$E$502,5,FALSE)*VALUE(MID(TRIM(MID(SUBSTITUTE($R187,";",REPT(" ",99)),892,99)),FIND(":",TRIM(MID(SUBSTITUTE($R187,";",REPT(" ",99)),892,99)))+1,99)),0)))</f>
        <v/>
      </c>
      <c r="T187" s="3"/>
      <c r="U187" s="5" t="str">
        <f t="array" ref="U187">IF($A187="","",IF($T187="",0,IFERROR(VLOOKUP(LEFT(TRIM(MID(SUBSTITUTE($T187,";",REPT(" ",99)),1,99)),FIND(":",TRIM(MID(SUBSTITUTE($T187,";",REPT(" ",99)),1,99)))-1),Materiales!$A$2:$E$502,5,FALSE)*VALUE(MID(TRIM(MID(SUBSTITUTE($T187,";",REPT(" ",99)),1,99)),FIND(":",TRIM(MID(SUBSTITUTE($T187,";",REPT(" ",99)),1,99)))+1,99)),0) + IFERROR(VLOOKUP(LEFT(TRIM(MID(SUBSTITUTE($T187,";",REPT(" ",99)),100,99)),FIND(":",TRIM(MID(SUBSTITUTE($T187,";",REPT(" ",99)),100,99)))-1),Materiales!$A$2:$E$502,5,FALSE)*VALUE(MID(TRIM(MID(SUBSTITUTE($T187,";",REPT(" ",99)),100,99)),FIND(":",TRIM(MID(SUBSTITUTE($T187,";",REPT(" ",99)),100,99)))+1,99)),0) + IFERROR(VLOOKUP(LEFT(TRIM(MID(SUBSTITUTE($T187,";",REPT(" ",99)),199,99)),FIND(":",TRIM(MID(SUBSTITUTE($T187,";",REPT(" ",99)),199,99)))-1),Materiales!$A$2:$E$502,5,FALSE)*VALUE(MID(TRIM(MID(SUBSTITUTE($T187,";",REPT(" ",99)),199,99)),FIND(":",TRIM(MID(SUBSTITUTE($T187,";",REPT(" ",99)),199,99)))+1,99)),0) + IFERROR(VLOOKUP(LEFT(TRIM(MID(SUBSTITUTE($T187,";",REPT(" ",99)),298,99)),FIND(":",TRIM(MID(SUBSTITUTE($T187,";",REPT(" ",99)),298,99)))-1),Materiales!$A$2:$E$502,5,FALSE)*VALUE(MID(TRIM(MID(SUBSTITUTE($T187,";",REPT(" ",99)),298,99)),FIND(":",TRIM(MID(SUBSTITUTE($T187,";",REPT(" ",99)),298,99)))+1,99)),0) + IFERROR(VLOOKUP(LEFT(TRIM(MID(SUBSTITUTE($T187,";",REPT(" ",99)),397,99)),FIND(":",TRIM(MID(SUBSTITUTE($T187,";",REPT(" ",99)),397,99)))-1),Materiales!$A$2:$E$502,5,FALSE)*VALUE(MID(TRIM(MID(SUBSTITUTE($T187,";",REPT(" ",99)),397,99)),FIND(":",TRIM(MID(SUBSTITUTE($T187,";",REPT(" ",99)),397,99)))+1,99)),0) + IFERROR(VLOOKUP(LEFT(TRIM(MID(SUBSTITUTE($T187,";",REPT(" ",99)),496,99)),FIND(":",TRIM(MID(SUBSTITUTE($T187,";",REPT(" ",99)),496,99)))-1),Materiales!$A$2:$E$502,5,FALSE)*VALUE(MID(TRIM(MID(SUBSTITUTE($T187,";",REPT(" ",99)),496,99)),FIND(":",TRIM(MID(SUBSTITUTE($T187,";",REPT(" ",99)),496,99)))+1,99)),0) + IFERROR(VLOOKUP(LEFT(TRIM(MID(SUBSTITUTE($T187,";",REPT(" ",99)),595,99)),FIND(":",TRIM(MID(SUBSTITUTE($T187,";",REPT(" ",99)),595,99)))-1),Materiales!$A$2:$E$502,5,FALSE)*VALUE(MID(TRIM(MID(SUBSTITUTE($T187,";",REPT(" ",99)),595,99)),FIND(":",TRIM(MID(SUBSTITUTE($T187,";",REPT(" ",99)),595,99)))+1,99)),0) + IFERROR(VLOOKUP(LEFT(TRIM(MID(SUBSTITUTE($T187,";",REPT(" ",99)),694,99)),FIND(":",TRIM(MID(SUBSTITUTE($T187,";",REPT(" ",99)),694,99)))-1),Materiales!$A$2:$E$502,5,FALSE)*VALUE(MID(TRIM(MID(SUBSTITUTE($T187,";",REPT(" ",99)),694,99)),FIND(":",TRIM(MID(SUBSTITUTE($T187,";",REPT(" ",99)),694,99)))+1,99)),0) + IFERROR(VLOOKUP(LEFT(TRIM(MID(SUBSTITUTE($T187,";",REPT(" ",99)),793,99)),FIND(":",TRIM(MID(SUBSTITUTE($T187,";",REPT(" ",99)),793,99)))-1),Materiales!$A$2:$E$502,5,FALSE)*VALUE(MID(TRIM(MID(SUBSTITUTE($T187,";",REPT(" ",99)),793,99)),FIND(":",TRIM(MID(SUBSTITUTE($T187,";",REPT(" ",99)),793,99)))+1,99)),0) + IFERROR(VLOOKUP(LEFT(TRIM(MID(SUBSTITUTE($T187,";",REPT(" ",99)),892,99)),FIND(":",TRIM(MID(SUBSTITUTE($T187,";",REPT(" ",99)),892,99)))-1),Materiales!$A$2:$E$502,5,FALSE)*VALUE(MID(TRIM(MID(SUBSTITUTE($T187,";",REPT(" ",99)),892,99)),FIND(":",TRIM(MID(SUBSTITUTE($T187,";",REPT(" ",99)),892,99)))+1,99)),0)))</f>
        <v/>
      </c>
      <c r="V187" s="3"/>
      <c r="W187" s="5" t="str">
        <f t="array" ref="W187">IF($A187="","",IF($V187="",0,IFERROR(VLOOKUP(LEFT(TRIM(MID(SUBSTITUTE($V187,";",REPT(" ",99)),1,99)),FIND(":",TRIM(MID(SUBSTITUTE($V187,";",REPT(" ",99)),1,99)))-1),Materiales!$A$2:$E$502,5,FALSE)*VALUE(MID(TRIM(MID(SUBSTITUTE($V187,";",REPT(" ",99)),1,99)),FIND(":",TRIM(MID(SUBSTITUTE($V187,";",REPT(" ",99)),1,99)))+1,99)),0) + IFERROR(VLOOKUP(LEFT(TRIM(MID(SUBSTITUTE($V187,";",REPT(" ",99)),100,99)),FIND(":",TRIM(MID(SUBSTITUTE($V187,";",REPT(" ",99)),100,99)))-1),Materiales!$A$2:$E$502,5,FALSE)*VALUE(MID(TRIM(MID(SUBSTITUTE($V187,";",REPT(" ",99)),100,99)),FIND(":",TRIM(MID(SUBSTITUTE($V187,";",REPT(" ",99)),100,99)))+1,99)),0) + IFERROR(VLOOKUP(LEFT(TRIM(MID(SUBSTITUTE($V187,";",REPT(" ",99)),199,99)),FIND(":",TRIM(MID(SUBSTITUTE($V187,";",REPT(" ",99)),199,99)))-1),Materiales!$A$2:$E$502,5,FALSE)*VALUE(MID(TRIM(MID(SUBSTITUTE($V187,";",REPT(" ",99)),199,99)),FIND(":",TRIM(MID(SUBSTITUTE($V187,";",REPT(" ",99)),199,99)))+1,99)),0) + IFERROR(VLOOKUP(LEFT(TRIM(MID(SUBSTITUTE($V187,";",REPT(" ",99)),298,99)),FIND(":",TRIM(MID(SUBSTITUTE($V187,";",REPT(" ",99)),298,99)))-1),Materiales!$A$2:$E$502,5,FALSE)*VALUE(MID(TRIM(MID(SUBSTITUTE($V187,";",REPT(" ",99)),298,99)),FIND(":",TRIM(MID(SUBSTITUTE($V187,";",REPT(" ",99)),298,99)))+1,99)),0) + IFERROR(VLOOKUP(LEFT(TRIM(MID(SUBSTITUTE($V187,";",REPT(" ",99)),397,99)),FIND(":",TRIM(MID(SUBSTITUTE($V187,";",REPT(" ",99)),397,99)))-1),Materiales!$A$2:$E$502,5,FALSE)*VALUE(MID(TRIM(MID(SUBSTITUTE($V187,";",REPT(" ",99)),397,99)),FIND(":",TRIM(MID(SUBSTITUTE($V187,";",REPT(" ",99)),397,99)))+1,99)),0) + IFERROR(VLOOKUP(LEFT(TRIM(MID(SUBSTITUTE($V187,";",REPT(" ",99)),496,99)),FIND(":",TRIM(MID(SUBSTITUTE($V187,";",REPT(" ",99)),496,99)))-1),Materiales!$A$2:$E$502,5,FALSE)*VALUE(MID(TRIM(MID(SUBSTITUTE($V187,";",REPT(" ",99)),496,99)),FIND(":",TRIM(MID(SUBSTITUTE($V187,";",REPT(" ",99)),496,99)))+1,99)),0) + IFERROR(VLOOKUP(LEFT(TRIM(MID(SUBSTITUTE($V187,";",REPT(" ",99)),595,99)),FIND(":",TRIM(MID(SUBSTITUTE($V187,";",REPT(" ",99)),595,99)))-1),Materiales!$A$2:$E$502,5,FALSE)*VALUE(MID(TRIM(MID(SUBSTITUTE($V187,";",REPT(" ",99)),595,99)),FIND(":",TRIM(MID(SUBSTITUTE($V187,";",REPT(" ",99)),595,99)))+1,99)),0) + IFERROR(VLOOKUP(LEFT(TRIM(MID(SUBSTITUTE($V187,";",REPT(" ",99)),694,99)),FIND(":",TRIM(MID(SUBSTITUTE($V187,";",REPT(" ",99)),694,99)))-1),Materiales!$A$2:$E$502,5,FALSE)*VALUE(MID(TRIM(MID(SUBSTITUTE($V187,";",REPT(" ",99)),694,99)),FIND(":",TRIM(MID(SUBSTITUTE($V187,";",REPT(" ",99)),694,99)))+1,99)),0) + IFERROR(VLOOKUP(LEFT(TRIM(MID(SUBSTITUTE($V187,";",REPT(" ",99)),793,99)),FIND(":",TRIM(MID(SUBSTITUTE($V187,";",REPT(" ",99)),793,99)))-1),Materiales!$A$2:$E$502,5,FALSE)*VALUE(MID(TRIM(MID(SUBSTITUTE($V187,";",REPT(" ",99)),793,99)),FIND(":",TRIM(MID(SUBSTITUTE($V187,";",REPT(" ",99)),793,99)))+1,99)),0) + IFERROR(VLOOKUP(LEFT(TRIM(MID(SUBSTITUTE($V187,";",REPT(" ",99)),892,99)),FIND(":",TRIM(MID(SUBSTITUTE($V187,";",REPT(" ",99)),892,99)))-1),Materiales!$A$2:$E$502,5,FALSE)*VALUE(MID(TRIM(MID(SUBSTITUTE($V187,";",REPT(" ",99)),892,99)),FIND(":",TRIM(MID(SUBSTITUTE($V187,";",REPT(" ",99)),892,99)))+1,99)),0)))</f>
        <v/>
      </c>
      <c r="X187" s="39" t="str">
        <f t="shared" si="21"/>
        <v/>
      </c>
      <c r="Y187" s="64"/>
      <c r="Z187" s="67"/>
      <c r="AA187" s="65"/>
      <c r="AB187" s="14"/>
      <c r="AC187" s="66"/>
      <c r="AD187" s="65"/>
      <c r="AE187" s="44"/>
      <c r="AF187" s="45" t="str">
        <f t="shared" si="20"/>
        <v>#DIV/0!</v>
      </c>
    </row>
    <row r="188" ht="15.75" customHeight="1">
      <c r="A188" s="3"/>
      <c r="B188" s="3"/>
      <c r="C188" s="38"/>
      <c r="D188" s="38"/>
      <c r="E188" s="38"/>
      <c r="F188" s="14"/>
      <c r="G188" s="5" t="str">
        <f t="array" ref="G188">IF($A188="","",IFERROR($F188*(N($C188)*XLOOKUP($B188,Ceras!$A$2:$A$500,Ceras!$G$2:$G$500,0)+IF($D188="",0,N($E188)*XLOOKUP($D188,Ceras!$A$2:$A$500,Ceras!$G$2:$G$500,0))),"Revisar cera"))</f>
        <v/>
      </c>
      <c r="H188" s="5"/>
      <c r="I188" s="3"/>
      <c r="J188" s="14"/>
      <c r="K188" s="5" t="str">
        <f t="array" ref="K188">IF($A188="","",IFERROR($J188*XLOOKUP($I188,Pabilos!$A$2:$A$500,Pabilos!$H$2:$H$500,0),"Revisar pabilo"))</f>
        <v/>
      </c>
      <c r="L188" s="3"/>
      <c r="M188" s="14"/>
      <c r="N188" s="5" t="str">
        <f t="array" ref="N188">IF($A188="","",IFERROR($M188*XLOOKUP($L188,Esencias!$A$2:$A$501,Esencias!$G$2:$G$501,0),"Revisar esencia"))</f>
        <v/>
      </c>
      <c r="O188" s="3"/>
      <c r="P188" s="14"/>
      <c r="Q188" s="5" t="str">
        <f t="array" ref="Q188">IF($A188="","",IFERROR(IF($P188="",1,$P188)*XLOOKUP($O188,Colores!$A$2:$A$500,Colores!$H$2:$H$500,0),"Revisar color"))</f>
        <v/>
      </c>
      <c r="R188" s="3"/>
      <c r="S188" s="5" t="str">
        <f t="array" ref="S188">IF($A188="","",IF($R188="",0,IFERROR(VLOOKUP(LEFT(TRIM(MID(SUBSTITUTE($R188,";",REPT(" ",99)),1,99)),FIND(":",TRIM(MID(SUBSTITUTE($R188,";",REPT(" ",99)),1,99)))-1),Materiales!$A$2:$E$502,5,FALSE)*VALUE(MID(TRIM(MID(SUBSTITUTE($R188,";",REPT(" ",99)),1,99)),FIND(":",TRIM(MID(SUBSTITUTE($R188,";",REPT(" ",99)),1,99)))+1,99)),0) + IFERROR(VLOOKUP(LEFT(TRIM(MID(SUBSTITUTE($R188,";",REPT(" ",99)),100,99)),FIND(":",TRIM(MID(SUBSTITUTE($R188,";",REPT(" ",99)),100,99)))-1),Materiales!$A$2:$E$502,5,FALSE)*VALUE(MID(TRIM(MID(SUBSTITUTE($R188,";",REPT(" ",99)),100,99)),FIND(":",TRIM(MID(SUBSTITUTE($R188,";",REPT(" ",99)),100,99)))+1,99)),0) + IFERROR(VLOOKUP(LEFT(TRIM(MID(SUBSTITUTE($R188,";",REPT(" ",99)),199,99)),FIND(":",TRIM(MID(SUBSTITUTE($R188,";",REPT(" ",99)),199,99)))-1),Materiales!$A$2:$E$502,5,FALSE)*VALUE(MID(TRIM(MID(SUBSTITUTE($R188,";",REPT(" ",99)),199,99)),FIND(":",TRIM(MID(SUBSTITUTE($R188,";",REPT(" ",99)),199,99)))+1,99)),0) + IFERROR(VLOOKUP(LEFT(TRIM(MID(SUBSTITUTE($R188,";",REPT(" ",99)),298,99)),FIND(":",TRIM(MID(SUBSTITUTE($R188,";",REPT(" ",99)),298,99)))-1),Materiales!$A$2:$E$502,5,FALSE)*VALUE(MID(TRIM(MID(SUBSTITUTE($R188,";",REPT(" ",99)),298,99)),FIND(":",TRIM(MID(SUBSTITUTE($R188,";",REPT(" ",99)),298,99)))+1,99)),0) + IFERROR(VLOOKUP(LEFT(TRIM(MID(SUBSTITUTE($R188,";",REPT(" ",99)),397,99)),FIND(":",TRIM(MID(SUBSTITUTE($R188,";",REPT(" ",99)),397,99)))-1),Materiales!$A$2:$E$502,5,FALSE)*VALUE(MID(TRIM(MID(SUBSTITUTE($R188,";",REPT(" ",99)),397,99)),FIND(":",TRIM(MID(SUBSTITUTE($R188,";",REPT(" ",99)),397,99)))+1,99)),0) + IFERROR(VLOOKUP(LEFT(TRIM(MID(SUBSTITUTE($R188,";",REPT(" ",99)),496,99)),FIND(":",TRIM(MID(SUBSTITUTE($R188,";",REPT(" ",99)),496,99)))-1),Materiales!$A$2:$E$502,5,FALSE)*VALUE(MID(TRIM(MID(SUBSTITUTE($R188,";",REPT(" ",99)),496,99)),FIND(":",TRIM(MID(SUBSTITUTE($R188,";",REPT(" ",99)),496,99)))+1,99)),0) + IFERROR(VLOOKUP(LEFT(TRIM(MID(SUBSTITUTE($R188,";",REPT(" ",99)),595,99)),FIND(":",TRIM(MID(SUBSTITUTE($R188,";",REPT(" ",99)),595,99)))-1),Materiales!$A$2:$E$502,5,FALSE)*VALUE(MID(TRIM(MID(SUBSTITUTE($R188,";",REPT(" ",99)),595,99)),FIND(":",TRIM(MID(SUBSTITUTE($R188,";",REPT(" ",99)),595,99)))+1,99)),0) + IFERROR(VLOOKUP(LEFT(TRIM(MID(SUBSTITUTE($R188,";",REPT(" ",99)),694,99)),FIND(":",TRIM(MID(SUBSTITUTE($R188,";",REPT(" ",99)),694,99)))-1),Materiales!$A$2:$E$502,5,FALSE)*VALUE(MID(TRIM(MID(SUBSTITUTE($R188,";",REPT(" ",99)),694,99)),FIND(":",TRIM(MID(SUBSTITUTE($R188,";",REPT(" ",99)),694,99)))+1,99)),0) + IFERROR(VLOOKUP(LEFT(TRIM(MID(SUBSTITUTE($R188,";",REPT(" ",99)),793,99)),FIND(":",TRIM(MID(SUBSTITUTE($R188,";",REPT(" ",99)),793,99)))-1),Materiales!$A$2:$E$502,5,FALSE)*VALUE(MID(TRIM(MID(SUBSTITUTE($R188,";",REPT(" ",99)),793,99)),FIND(":",TRIM(MID(SUBSTITUTE($R188,";",REPT(" ",99)),793,99)))+1,99)),0) + IFERROR(VLOOKUP(LEFT(TRIM(MID(SUBSTITUTE($R188,";",REPT(" ",99)),892,99)),FIND(":",TRIM(MID(SUBSTITUTE($R188,";",REPT(" ",99)),892,99)))-1),Materiales!$A$2:$E$502,5,FALSE)*VALUE(MID(TRIM(MID(SUBSTITUTE($R188,";",REPT(" ",99)),892,99)),FIND(":",TRIM(MID(SUBSTITUTE($R188,";",REPT(" ",99)),892,99)))+1,99)),0)))</f>
        <v/>
      </c>
      <c r="T188" s="3"/>
      <c r="U188" s="5" t="str">
        <f t="array" ref="U188">IF($A188="","",IF($T188="",0,IFERROR(VLOOKUP(LEFT(TRIM(MID(SUBSTITUTE($T188,";",REPT(" ",99)),1,99)),FIND(":",TRIM(MID(SUBSTITUTE($T188,";",REPT(" ",99)),1,99)))-1),Materiales!$A$2:$E$502,5,FALSE)*VALUE(MID(TRIM(MID(SUBSTITUTE($T188,";",REPT(" ",99)),1,99)),FIND(":",TRIM(MID(SUBSTITUTE($T188,";",REPT(" ",99)),1,99)))+1,99)),0) + IFERROR(VLOOKUP(LEFT(TRIM(MID(SUBSTITUTE($T188,";",REPT(" ",99)),100,99)),FIND(":",TRIM(MID(SUBSTITUTE($T188,";",REPT(" ",99)),100,99)))-1),Materiales!$A$2:$E$502,5,FALSE)*VALUE(MID(TRIM(MID(SUBSTITUTE($T188,";",REPT(" ",99)),100,99)),FIND(":",TRIM(MID(SUBSTITUTE($T188,";",REPT(" ",99)),100,99)))+1,99)),0) + IFERROR(VLOOKUP(LEFT(TRIM(MID(SUBSTITUTE($T188,";",REPT(" ",99)),199,99)),FIND(":",TRIM(MID(SUBSTITUTE($T188,";",REPT(" ",99)),199,99)))-1),Materiales!$A$2:$E$502,5,FALSE)*VALUE(MID(TRIM(MID(SUBSTITUTE($T188,";",REPT(" ",99)),199,99)),FIND(":",TRIM(MID(SUBSTITUTE($T188,";",REPT(" ",99)),199,99)))+1,99)),0) + IFERROR(VLOOKUP(LEFT(TRIM(MID(SUBSTITUTE($T188,";",REPT(" ",99)),298,99)),FIND(":",TRIM(MID(SUBSTITUTE($T188,";",REPT(" ",99)),298,99)))-1),Materiales!$A$2:$E$502,5,FALSE)*VALUE(MID(TRIM(MID(SUBSTITUTE($T188,";",REPT(" ",99)),298,99)),FIND(":",TRIM(MID(SUBSTITUTE($T188,";",REPT(" ",99)),298,99)))+1,99)),0) + IFERROR(VLOOKUP(LEFT(TRIM(MID(SUBSTITUTE($T188,";",REPT(" ",99)),397,99)),FIND(":",TRIM(MID(SUBSTITUTE($T188,";",REPT(" ",99)),397,99)))-1),Materiales!$A$2:$E$502,5,FALSE)*VALUE(MID(TRIM(MID(SUBSTITUTE($T188,";",REPT(" ",99)),397,99)),FIND(":",TRIM(MID(SUBSTITUTE($T188,";",REPT(" ",99)),397,99)))+1,99)),0) + IFERROR(VLOOKUP(LEFT(TRIM(MID(SUBSTITUTE($T188,";",REPT(" ",99)),496,99)),FIND(":",TRIM(MID(SUBSTITUTE($T188,";",REPT(" ",99)),496,99)))-1),Materiales!$A$2:$E$502,5,FALSE)*VALUE(MID(TRIM(MID(SUBSTITUTE($T188,";",REPT(" ",99)),496,99)),FIND(":",TRIM(MID(SUBSTITUTE($T188,";",REPT(" ",99)),496,99)))+1,99)),0) + IFERROR(VLOOKUP(LEFT(TRIM(MID(SUBSTITUTE($T188,";",REPT(" ",99)),595,99)),FIND(":",TRIM(MID(SUBSTITUTE($T188,";",REPT(" ",99)),595,99)))-1),Materiales!$A$2:$E$502,5,FALSE)*VALUE(MID(TRIM(MID(SUBSTITUTE($T188,";",REPT(" ",99)),595,99)),FIND(":",TRIM(MID(SUBSTITUTE($T188,";",REPT(" ",99)),595,99)))+1,99)),0) + IFERROR(VLOOKUP(LEFT(TRIM(MID(SUBSTITUTE($T188,";",REPT(" ",99)),694,99)),FIND(":",TRIM(MID(SUBSTITUTE($T188,";",REPT(" ",99)),694,99)))-1),Materiales!$A$2:$E$502,5,FALSE)*VALUE(MID(TRIM(MID(SUBSTITUTE($T188,";",REPT(" ",99)),694,99)),FIND(":",TRIM(MID(SUBSTITUTE($T188,";",REPT(" ",99)),694,99)))+1,99)),0) + IFERROR(VLOOKUP(LEFT(TRIM(MID(SUBSTITUTE($T188,";",REPT(" ",99)),793,99)),FIND(":",TRIM(MID(SUBSTITUTE($T188,";",REPT(" ",99)),793,99)))-1),Materiales!$A$2:$E$502,5,FALSE)*VALUE(MID(TRIM(MID(SUBSTITUTE($T188,";",REPT(" ",99)),793,99)),FIND(":",TRIM(MID(SUBSTITUTE($T188,";",REPT(" ",99)),793,99)))+1,99)),0) + IFERROR(VLOOKUP(LEFT(TRIM(MID(SUBSTITUTE($T188,";",REPT(" ",99)),892,99)),FIND(":",TRIM(MID(SUBSTITUTE($T188,";",REPT(" ",99)),892,99)))-1),Materiales!$A$2:$E$502,5,FALSE)*VALUE(MID(TRIM(MID(SUBSTITUTE($T188,";",REPT(" ",99)),892,99)),FIND(":",TRIM(MID(SUBSTITUTE($T188,";",REPT(" ",99)),892,99)))+1,99)),0)))</f>
        <v/>
      </c>
      <c r="V188" s="3"/>
      <c r="W188" s="5" t="str">
        <f t="array" ref="W188">IF($A188="","",IF($V188="",0,IFERROR(VLOOKUP(LEFT(TRIM(MID(SUBSTITUTE($V188,";",REPT(" ",99)),1,99)),FIND(":",TRIM(MID(SUBSTITUTE($V188,";",REPT(" ",99)),1,99)))-1),Materiales!$A$2:$E$502,5,FALSE)*VALUE(MID(TRIM(MID(SUBSTITUTE($V188,";",REPT(" ",99)),1,99)),FIND(":",TRIM(MID(SUBSTITUTE($V188,";",REPT(" ",99)),1,99)))+1,99)),0) + IFERROR(VLOOKUP(LEFT(TRIM(MID(SUBSTITUTE($V188,";",REPT(" ",99)),100,99)),FIND(":",TRIM(MID(SUBSTITUTE($V188,";",REPT(" ",99)),100,99)))-1),Materiales!$A$2:$E$502,5,FALSE)*VALUE(MID(TRIM(MID(SUBSTITUTE($V188,";",REPT(" ",99)),100,99)),FIND(":",TRIM(MID(SUBSTITUTE($V188,";",REPT(" ",99)),100,99)))+1,99)),0) + IFERROR(VLOOKUP(LEFT(TRIM(MID(SUBSTITUTE($V188,";",REPT(" ",99)),199,99)),FIND(":",TRIM(MID(SUBSTITUTE($V188,";",REPT(" ",99)),199,99)))-1),Materiales!$A$2:$E$502,5,FALSE)*VALUE(MID(TRIM(MID(SUBSTITUTE($V188,";",REPT(" ",99)),199,99)),FIND(":",TRIM(MID(SUBSTITUTE($V188,";",REPT(" ",99)),199,99)))+1,99)),0) + IFERROR(VLOOKUP(LEFT(TRIM(MID(SUBSTITUTE($V188,";",REPT(" ",99)),298,99)),FIND(":",TRIM(MID(SUBSTITUTE($V188,";",REPT(" ",99)),298,99)))-1),Materiales!$A$2:$E$502,5,FALSE)*VALUE(MID(TRIM(MID(SUBSTITUTE($V188,";",REPT(" ",99)),298,99)),FIND(":",TRIM(MID(SUBSTITUTE($V188,";",REPT(" ",99)),298,99)))+1,99)),0) + IFERROR(VLOOKUP(LEFT(TRIM(MID(SUBSTITUTE($V188,";",REPT(" ",99)),397,99)),FIND(":",TRIM(MID(SUBSTITUTE($V188,";",REPT(" ",99)),397,99)))-1),Materiales!$A$2:$E$502,5,FALSE)*VALUE(MID(TRIM(MID(SUBSTITUTE($V188,";",REPT(" ",99)),397,99)),FIND(":",TRIM(MID(SUBSTITUTE($V188,";",REPT(" ",99)),397,99)))+1,99)),0) + IFERROR(VLOOKUP(LEFT(TRIM(MID(SUBSTITUTE($V188,";",REPT(" ",99)),496,99)),FIND(":",TRIM(MID(SUBSTITUTE($V188,";",REPT(" ",99)),496,99)))-1),Materiales!$A$2:$E$502,5,FALSE)*VALUE(MID(TRIM(MID(SUBSTITUTE($V188,";",REPT(" ",99)),496,99)),FIND(":",TRIM(MID(SUBSTITUTE($V188,";",REPT(" ",99)),496,99)))+1,99)),0) + IFERROR(VLOOKUP(LEFT(TRIM(MID(SUBSTITUTE($V188,";",REPT(" ",99)),595,99)),FIND(":",TRIM(MID(SUBSTITUTE($V188,";",REPT(" ",99)),595,99)))-1),Materiales!$A$2:$E$502,5,FALSE)*VALUE(MID(TRIM(MID(SUBSTITUTE($V188,";",REPT(" ",99)),595,99)),FIND(":",TRIM(MID(SUBSTITUTE($V188,";",REPT(" ",99)),595,99)))+1,99)),0) + IFERROR(VLOOKUP(LEFT(TRIM(MID(SUBSTITUTE($V188,";",REPT(" ",99)),694,99)),FIND(":",TRIM(MID(SUBSTITUTE($V188,";",REPT(" ",99)),694,99)))-1),Materiales!$A$2:$E$502,5,FALSE)*VALUE(MID(TRIM(MID(SUBSTITUTE($V188,";",REPT(" ",99)),694,99)),FIND(":",TRIM(MID(SUBSTITUTE($V188,";",REPT(" ",99)),694,99)))+1,99)),0) + IFERROR(VLOOKUP(LEFT(TRIM(MID(SUBSTITUTE($V188,";",REPT(" ",99)),793,99)),FIND(":",TRIM(MID(SUBSTITUTE($V188,";",REPT(" ",99)),793,99)))-1),Materiales!$A$2:$E$502,5,FALSE)*VALUE(MID(TRIM(MID(SUBSTITUTE($V188,";",REPT(" ",99)),793,99)),FIND(":",TRIM(MID(SUBSTITUTE($V188,";",REPT(" ",99)),793,99)))+1,99)),0) + IFERROR(VLOOKUP(LEFT(TRIM(MID(SUBSTITUTE($V188,";",REPT(" ",99)),892,99)),FIND(":",TRIM(MID(SUBSTITUTE($V188,";",REPT(" ",99)),892,99)))-1),Materiales!$A$2:$E$502,5,FALSE)*VALUE(MID(TRIM(MID(SUBSTITUTE($V188,";",REPT(" ",99)),892,99)),FIND(":",TRIM(MID(SUBSTITUTE($V188,";",REPT(" ",99)),892,99)))+1,99)),0)))</f>
        <v/>
      </c>
      <c r="X188" s="39" t="str">
        <f t="shared" si="21"/>
        <v/>
      </c>
      <c r="Y188" s="64"/>
      <c r="Z188" s="67"/>
      <c r="AA188" s="65"/>
      <c r="AB188" s="14"/>
      <c r="AC188" s="66"/>
      <c r="AD188" s="65"/>
      <c r="AE188" s="44"/>
      <c r="AF188" s="45" t="str">
        <f t="shared" si="20"/>
        <v>#DIV/0!</v>
      </c>
    </row>
    <row r="189" ht="15.75" customHeight="1">
      <c r="A189" s="3"/>
      <c r="B189" s="3"/>
      <c r="C189" s="38"/>
      <c r="D189" s="38"/>
      <c r="E189" s="38"/>
      <c r="F189" s="14"/>
      <c r="G189" s="5" t="str">
        <f t="array" ref="G189">IF($A189="","",IFERROR($F189*(N($C189)*XLOOKUP($B189,Ceras!$A$2:$A$500,Ceras!$G$2:$G$500,0)+IF($D189="",0,N($E189)*XLOOKUP($D189,Ceras!$A$2:$A$500,Ceras!$G$2:$G$500,0))),"Revisar cera"))</f>
        <v/>
      </c>
      <c r="H189" s="5"/>
      <c r="I189" s="3"/>
      <c r="J189" s="14"/>
      <c r="K189" s="5" t="str">
        <f t="array" ref="K189">IF($A189="","",IFERROR($J189*XLOOKUP($I189,Pabilos!$A$2:$A$500,Pabilos!$H$2:$H$500,0),"Revisar pabilo"))</f>
        <v/>
      </c>
      <c r="L189" s="3"/>
      <c r="M189" s="14"/>
      <c r="N189" s="5" t="str">
        <f t="array" ref="N189">IF($A189="","",IFERROR($M189*XLOOKUP($L189,Esencias!$A$2:$A$501,Esencias!$G$2:$G$501,0),"Revisar esencia"))</f>
        <v/>
      </c>
      <c r="O189" s="3"/>
      <c r="P189" s="14"/>
      <c r="Q189" s="5" t="str">
        <f t="array" ref="Q189">IF($A189="","",IFERROR(IF($P189="",1,$P189)*XLOOKUP($O189,Colores!$A$2:$A$500,Colores!$H$2:$H$500,0),"Revisar color"))</f>
        <v/>
      </c>
      <c r="R189" s="3"/>
      <c r="S189" s="5" t="str">
        <f t="array" ref="S189">IF($A189="","",IF($R189="",0,IFERROR(VLOOKUP(LEFT(TRIM(MID(SUBSTITUTE($R189,";",REPT(" ",99)),1,99)),FIND(":",TRIM(MID(SUBSTITUTE($R189,";",REPT(" ",99)),1,99)))-1),Materiales!$A$2:$E$502,5,FALSE)*VALUE(MID(TRIM(MID(SUBSTITUTE($R189,";",REPT(" ",99)),1,99)),FIND(":",TRIM(MID(SUBSTITUTE($R189,";",REPT(" ",99)),1,99)))+1,99)),0) + IFERROR(VLOOKUP(LEFT(TRIM(MID(SUBSTITUTE($R189,";",REPT(" ",99)),100,99)),FIND(":",TRIM(MID(SUBSTITUTE($R189,";",REPT(" ",99)),100,99)))-1),Materiales!$A$2:$E$502,5,FALSE)*VALUE(MID(TRIM(MID(SUBSTITUTE($R189,";",REPT(" ",99)),100,99)),FIND(":",TRIM(MID(SUBSTITUTE($R189,";",REPT(" ",99)),100,99)))+1,99)),0) + IFERROR(VLOOKUP(LEFT(TRIM(MID(SUBSTITUTE($R189,";",REPT(" ",99)),199,99)),FIND(":",TRIM(MID(SUBSTITUTE($R189,";",REPT(" ",99)),199,99)))-1),Materiales!$A$2:$E$502,5,FALSE)*VALUE(MID(TRIM(MID(SUBSTITUTE($R189,";",REPT(" ",99)),199,99)),FIND(":",TRIM(MID(SUBSTITUTE($R189,";",REPT(" ",99)),199,99)))+1,99)),0) + IFERROR(VLOOKUP(LEFT(TRIM(MID(SUBSTITUTE($R189,";",REPT(" ",99)),298,99)),FIND(":",TRIM(MID(SUBSTITUTE($R189,";",REPT(" ",99)),298,99)))-1),Materiales!$A$2:$E$502,5,FALSE)*VALUE(MID(TRIM(MID(SUBSTITUTE($R189,";",REPT(" ",99)),298,99)),FIND(":",TRIM(MID(SUBSTITUTE($R189,";",REPT(" ",99)),298,99)))+1,99)),0) + IFERROR(VLOOKUP(LEFT(TRIM(MID(SUBSTITUTE($R189,";",REPT(" ",99)),397,99)),FIND(":",TRIM(MID(SUBSTITUTE($R189,";",REPT(" ",99)),397,99)))-1),Materiales!$A$2:$E$502,5,FALSE)*VALUE(MID(TRIM(MID(SUBSTITUTE($R189,";",REPT(" ",99)),397,99)),FIND(":",TRIM(MID(SUBSTITUTE($R189,";",REPT(" ",99)),397,99)))+1,99)),0) + IFERROR(VLOOKUP(LEFT(TRIM(MID(SUBSTITUTE($R189,";",REPT(" ",99)),496,99)),FIND(":",TRIM(MID(SUBSTITUTE($R189,";",REPT(" ",99)),496,99)))-1),Materiales!$A$2:$E$502,5,FALSE)*VALUE(MID(TRIM(MID(SUBSTITUTE($R189,";",REPT(" ",99)),496,99)),FIND(":",TRIM(MID(SUBSTITUTE($R189,";",REPT(" ",99)),496,99)))+1,99)),0) + IFERROR(VLOOKUP(LEFT(TRIM(MID(SUBSTITUTE($R189,";",REPT(" ",99)),595,99)),FIND(":",TRIM(MID(SUBSTITUTE($R189,";",REPT(" ",99)),595,99)))-1),Materiales!$A$2:$E$502,5,FALSE)*VALUE(MID(TRIM(MID(SUBSTITUTE($R189,";",REPT(" ",99)),595,99)),FIND(":",TRIM(MID(SUBSTITUTE($R189,";",REPT(" ",99)),595,99)))+1,99)),0) + IFERROR(VLOOKUP(LEFT(TRIM(MID(SUBSTITUTE($R189,";",REPT(" ",99)),694,99)),FIND(":",TRIM(MID(SUBSTITUTE($R189,";",REPT(" ",99)),694,99)))-1),Materiales!$A$2:$E$502,5,FALSE)*VALUE(MID(TRIM(MID(SUBSTITUTE($R189,";",REPT(" ",99)),694,99)),FIND(":",TRIM(MID(SUBSTITUTE($R189,";",REPT(" ",99)),694,99)))+1,99)),0) + IFERROR(VLOOKUP(LEFT(TRIM(MID(SUBSTITUTE($R189,";",REPT(" ",99)),793,99)),FIND(":",TRIM(MID(SUBSTITUTE($R189,";",REPT(" ",99)),793,99)))-1),Materiales!$A$2:$E$502,5,FALSE)*VALUE(MID(TRIM(MID(SUBSTITUTE($R189,";",REPT(" ",99)),793,99)),FIND(":",TRIM(MID(SUBSTITUTE($R189,";",REPT(" ",99)),793,99)))+1,99)),0) + IFERROR(VLOOKUP(LEFT(TRIM(MID(SUBSTITUTE($R189,";",REPT(" ",99)),892,99)),FIND(":",TRIM(MID(SUBSTITUTE($R189,";",REPT(" ",99)),892,99)))-1),Materiales!$A$2:$E$502,5,FALSE)*VALUE(MID(TRIM(MID(SUBSTITUTE($R189,";",REPT(" ",99)),892,99)),FIND(":",TRIM(MID(SUBSTITUTE($R189,";",REPT(" ",99)),892,99)))+1,99)),0)))</f>
        <v/>
      </c>
      <c r="T189" s="3"/>
      <c r="U189" s="5" t="str">
        <f t="array" ref="U189">IF($A189="","",IF($T189="",0,IFERROR(VLOOKUP(LEFT(TRIM(MID(SUBSTITUTE($T189,";",REPT(" ",99)),1,99)),FIND(":",TRIM(MID(SUBSTITUTE($T189,";",REPT(" ",99)),1,99)))-1),Materiales!$A$2:$E$502,5,FALSE)*VALUE(MID(TRIM(MID(SUBSTITUTE($T189,";",REPT(" ",99)),1,99)),FIND(":",TRIM(MID(SUBSTITUTE($T189,";",REPT(" ",99)),1,99)))+1,99)),0) + IFERROR(VLOOKUP(LEFT(TRIM(MID(SUBSTITUTE($T189,";",REPT(" ",99)),100,99)),FIND(":",TRIM(MID(SUBSTITUTE($T189,";",REPT(" ",99)),100,99)))-1),Materiales!$A$2:$E$502,5,FALSE)*VALUE(MID(TRIM(MID(SUBSTITUTE($T189,";",REPT(" ",99)),100,99)),FIND(":",TRIM(MID(SUBSTITUTE($T189,";",REPT(" ",99)),100,99)))+1,99)),0) + IFERROR(VLOOKUP(LEFT(TRIM(MID(SUBSTITUTE($T189,";",REPT(" ",99)),199,99)),FIND(":",TRIM(MID(SUBSTITUTE($T189,";",REPT(" ",99)),199,99)))-1),Materiales!$A$2:$E$502,5,FALSE)*VALUE(MID(TRIM(MID(SUBSTITUTE($T189,";",REPT(" ",99)),199,99)),FIND(":",TRIM(MID(SUBSTITUTE($T189,";",REPT(" ",99)),199,99)))+1,99)),0) + IFERROR(VLOOKUP(LEFT(TRIM(MID(SUBSTITUTE($T189,";",REPT(" ",99)),298,99)),FIND(":",TRIM(MID(SUBSTITUTE($T189,";",REPT(" ",99)),298,99)))-1),Materiales!$A$2:$E$502,5,FALSE)*VALUE(MID(TRIM(MID(SUBSTITUTE($T189,";",REPT(" ",99)),298,99)),FIND(":",TRIM(MID(SUBSTITUTE($T189,";",REPT(" ",99)),298,99)))+1,99)),0) + IFERROR(VLOOKUP(LEFT(TRIM(MID(SUBSTITUTE($T189,";",REPT(" ",99)),397,99)),FIND(":",TRIM(MID(SUBSTITUTE($T189,";",REPT(" ",99)),397,99)))-1),Materiales!$A$2:$E$502,5,FALSE)*VALUE(MID(TRIM(MID(SUBSTITUTE($T189,";",REPT(" ",99)),397,99)),FIND(":",TRIM(MID(SUBSTITUTE($T189,";",REPT(" ",99)),397,99)))+1,99)),0) + IFERROR(VLOOKUP(LEFT(TRIM(MID(SUBSTITUTE($T189,";",REPT(" ",99)),496,99)),FIND(":",TRIM(MID(SUBSTITUTE($T189,";",REPT(" ",99)),496,99)))-1),Materiales!$A$2:$E$502,5,FALSE)*VALUE(MID(TRIM(MID(SUBSTITUTE($T189,";",REPT(" ",99)),496,99)),FIND(":",TRIM(MID(SUBSTITUTE($T189,";",REPT(" ",99)),496,99)))+1,99)),0) + IFERROR(VLOOKUP(LEFT(TRIM(MID(SUBSTITUTE($T189,";",REPT(" ",99)),595,99)),FIND(":",TRIM(MID(SUBSTITUTE($T189,";",REPT(" ",99)),595,99)))-1),Materiales!$A$2:$E$502,5,FALSE)*VALUE(MID(TRIM(MID(SUBSTITUTE($T189,";",REPT(" ",99)),595,99)),FIND(":",TRIM(MID(SUBSTITUTE($T189,";",REPT(" ",99)),595,99)))+1,99)),0) + IFERROR(VLOOKUP(LEFT(TRIM(MID(SUBSTITUTE($T189,";",REPT(" ",99)),694,99)),FIND(":",TRIM(MID(SUBSTITUTE($T189,";",REPT(" ",99)),694,99)))-1),Materiales!$A$2:$E$502,5,FALSE)*VALUE(MID(TRIM(MID(SUBSTITUTE($T189,";",REPT(" ",99)),694,99)),FIND(":",TRIM(MID(SUBSTITUTE($T189,";",REPT(" ",99)),694,99)))+1,99)),0) + IFERROR(VLOOKUP(LEFT(TRIM(MID(SUBSTITUTE($T189,";",REPT(" ",99)),793,99)),FIND(":",TRIM(MID(SUBSTITUTE($T189,";",REPT(" ",99)),793,99)))-1),Materiales!$A$2:$E$502,5,FALSE)*VALUE(MID(TRIM(MID(SUBSTITUTE($T189,";",REPT(" ",99)),793,99)),FIND(":",TRIM(MID(SUBSTITUTE($T189,";",REPT(" ",99)),793,99)))+1,99)),0) + IFERROR(VLOOKUP(LEFT(TRIM(MID(SUBSTITUTE($T189,";",REPT(" ",99)),892,99)),FIND(":",TRIM(MID(SUBSTITUTE($T189,";",REPT(" ",99)),892,99)))-1),Materiales!$A$2:$E$502,5,FALSE)*VALUE(MID(TRIM(MID(SUBSTITUTE($T189,";",REPT(" ",99)),892,99)),FIND(":",TRIM(MID(SUBSTITUTE($T189,";",REPT(" ",99)),892,99)))+1,99)),0)))</f>
        <v/>
      </c>
      <c r="V189" s="3"/>
      <c r="W189" s="5" t="str">
        <f t="array" ref="W189">IF($A189="","",IF($V189="",0,IFERROR(VLOOKUP(LEFT(TRIM(MID(SUBSTITUTE($V189,";",REPT(" ",99)),1,99)),FIND(":",TRIM(MID(SUBSTITUTE($V189,";",REPT(" ",99)),1,99)))-1),Materiales!$A$2:$E$502,5,FALSE)*VALUE(MID(TRIM(MID(SUBSTITUTE($V189,";",REPT(" ",99)),1,99)),FIND(":",TRIM(MID(SUBSTITUTE($V189,";",REPT(" ",99)),1,99)))+1,99)),0) + IFERROR(VLOOKUP(LEFT(TRIM(MID(SUBSTITUTE($V189,";",REPT(" ",99)),100,99)),FIND(":",TRIM(MID(SUBSTITUTE($V189,";",REPT(" ",99)),100,99)))-1),Materiales!$A$2:$E$502,5,FALSE)*VALUE(MID(TRIM(MID(SUBSTITUTE($V189,";",REPT(" ",99)),100,99)),FIND(":",TRIM(MID(SUBSTITUTE($V189,";",REPT(" ",99)),100,99)))+1,99)),0) + IFERROR(VLOOKUP(LEFT(TRIM(MID(SUBSTITUTE($V189,";",REPT(" ",99)),199,99)),FIND(":",TRIM(MID(SUBSTITUTE($V189,";",REPT(" ",99)),199,99)))-1),Materiales!$A$2:$E$502,5,FALSE)*VALUE(MID(TRIM(MID(SUBSTITUTE($V189,";",REPT(" ",99)),199,99)),FIND(":",TRIM(MID(SUBSTITUTE($V189,";",REPT(" ",99)),199,99)))+1,99)),0) + IFERROR(VLOOKUP(LEFT(TRIM(MID(SUBSTITUTE($V189,";",REPT(" ",99)),298,99)),FIND(":",TRIM(MID(SUBSTITUTE($V189,";",REPT(" ",99)),298,99)))-1),Materiales!$A$2:$E$502,5,FALSE)*VALUE(MID(TRIM(MID(SUBSTITUTE($V189,";",REPT(" ",99)),298,99)),FIND(":",TRIM(MID(SUBSTITUTE($V189,";",REPT(" ",99)),298,99)))+1,99)),0) + IFERROR(VLOOKUP(LEFT(TRIM(MID(SUBSTITUTE($V189,";",REPT(" ",99)),397,99)),FIND(":",TRIM(MID(SUBSTITUTE($V189,";",REPT(" ",99)),397,99)))-1),Materiales!$A$2:$E$502,5,FALSE)*VALUE(MID(TRIM(MID(SUBSTITUTE($V189,";",REPT(" ",99)),397,99)),FIND(":",TRIM(MID(SUBSTITUTE($V189,";",REPT(" ",99)),397,99)))+1,99)),0) + IFERROR(VLOOKUP(LEFT(TRIM(MID(SUBSTITUTE($V189,";",REPT(" ",99)),496,99)),FIND(":",TRIM(MID(SUBSTITUTE($V189,";",REPT(" ",99)),496,99)))-1),Materiales!$A$2:$E$502,5,FALSE)*VALUE(MID(TRIM(MID(SUBSTITUTE($V189,";",REPT(" ",99)),496,99)),FIND(":",TRIM(MID(SUBSTITUTE($V189,";",REPT(" ",99)),496,99)))+1,99)),0) + IFERROR(VLOOKUP(LEFT(TRIM(MID(SUBSTITUTE($V189,";",REPT(" ",99)),595,99)),FIND(":",TRIM(MID(SUBSTITUTE($V189,";",REPT(" ",99)),595,99)))-1),Materiales!$A$2:$E$502,5,FALSE)*VALUE(MID(TRIM(MID(SUBSTITUTE($V189,";",REPT(" ",99)),595,99)),FIND(":",TRIM(MID(SUBSTITUTE($V189,";",REPT(" ",99)),595,99)))+1,99)),0) + IFERROR(VLOOKUP(LEFT(TRIM(MID(SUBSTITUTE($V189,";",REPT(" ",99)),694,99)),FIND(":",TRIM(MID(SUBSTITUTE($V189,";",REPT(" ",99)),694,99)))-1),Materiales!$A$2:$E$502,5,FALSE)*VALUE(MID(TRIM(MID(SUBSTITUTE($V189,";",REPT(" ",99)),694,99)),FIND(":",TRIM(MID(SUBSTITUTE($V189,";",REPT(" ",99)),694,99)))+1,99)),0) + IFERROR(VLOOKUP(LEFT(TRIM(MID(SUBSTITUTE($V189,";",REPT(" ",99)),793,99)),FIND(":",TRIM(MID(SUBSTITUTE($V189,";",REPT(" ",99)),793,99)))-1),Materiales!$A$2:$E$502,5,FALSE)*VALUE(MID(TRIM(MID(SUBSTITUTE($V189,";",REPT(" ",99)),793,99)),FIND(":",TRIM(MID(SUBSTITUTE($V189,";",REPT(" ",99)),793,99)))+1,99)),0) + IFERROR(VLOOKUP(LEFT(TRIM(MID(SUBSTITUTE($V189,";",REPT(" ",99)),892,99)),FIND(":",TRIM(MID(SUBSTITUTE($V189,";",REPT(" ",99)),892,99)))-1),Materiales!$A$2:$E$502,5,FALSE)*VALUE(MID(TRIM(MID(SUBSTITUTE($V189,";",REPT(" ",99)),892,99)),FIND(":",TRIM(MID(SUBSTITUTE($V189,";",REPT(" ",99)),892,99)))+1,99)),0)))</f>
        <v/>
      </c>
      <c r="X189" s="39" t="str">
        <f t="shared" si="21"/>
        <v/>
      </c>
      <c r="Y189" s="64"/>
      <c r="Z189" s="67"/>
      <c r="AA189" s="65"/>
      <c r="AB189" s="14"/>
      <c r="AC189" s="66"/>
      <c r="AD189" s="65"/>
      <c r="AE189" s="44"/>
      <c r="AF189" s="45" t="str">
        <f t="shared" si="20"/>
        <v>#DIV/0!</v>
      </c>
    </row>
    <row r="190" ht="15.75" customHeight="1">
      <c r="A190" s="3"/>
      <c r="B190" s="3"/>
      <c r="C190" s="38"/>
      <c r="D190" s="38"/>
      <c r="E190" s="38"/>
      <c r="F190" s="14"/>
      <c r="G190" s="5" t="str">
        <f t="array" ref="G190">IF($A190="","",IFERROR($F190*(N($C190)*XLOOKUP($B190,Ceras!$A$2:$A$500,Ceras!$G$2:$G$500,0)+IF($D190="",0,N($E190)*XLOOKUP($D190,Ceras!$A$2:$A$500,Ceras!$G$2:$G$500,0))),"Revisar cera"))</f>
        <v/>
      </c>
      <c r="H190" s="5"/>
      <c r="I190" s="3"/>
      <c r="J190" s="14"/>
      <c r="K190" s="5" t="str">
        <f t="array" ref="K190">IF($A190="","",IFERROR($J190*XLOOKUP($I190,Pabilos!$A$2:$A$500,Pabilos!$H$2:$H$500,0),"Revisar pabilo"))</f>
        <v/>
      </c>
      <c r="L190" s="3"/>
      <c r="M190" s="14"/>
      <c r="N190" s="5" t="str">
        <f t="array" ref="N190">IF($A190="","",IFERROR($M190*XLOOKUP($L190,Esencias!$A$2:$A$501,Esencias!$G$2:$G$501,0),"Revisar esencia"))</f>
        <v/>
      </c>
      <c r="O190" s="3"/>
      <c r="P190" s="14"/>
      <c r="Q190" s="5" t="str">
        <f t="array" ref="Q190">IF($A190="","",IFERROR(IF($P190="",1,$P190)*XLOOKUP($O190,Colores!$A$2:$A$500,Colores!$H$2:$H$500,0),"Revisar color"))</f>
        <v/>
      </c>
      <c r="R190" s="3"/>
      <c r="S190" s="5" t="str">
        <f t="array" ref="S190">IF($A190="","",IF($R190="",0,IFERROR(VLOOKUP(LEFT(TRIM(MID(SUBSTITUTE($R190,";",REPT(" ",99)),1,99)),FIND(":",TRIM(MID(SUBSTITUTE($R190,";",REPT(" ",99)),1,99)))-1),Materiales!$A$2:$E$502,5,FALSE)*VALUE(MID(TRIM(MID(SUBSTITUTE($R190,";",REPT(" ",99)),1,99)),FIND(":",TRIM(MID(SUBSTITUTE($R190,";",REPT(" ",99)),1,99)))+1,99)),0) + IFERROR(VLOOKUP(LEFT(TRIM(MID(SUBSTITUTE($R190,";",REPT(" ",99)),100,99)),FIND(":",TRIM(MID(SUBSTITUTE($R190,";",REPT(" ",99)),100,99)))-1),Materiales!$A$2:$E$502,5,FALSE)*VALUE(MID(TRIM(MID(SUBSTITUTE($R190,";",REPT(" ",99)),100,99)),FIND(":",TRIM(MID(SUBSTITUTE($R190,";",REPT(" ",99)),100,99)))+1,99)),0) + IFERROR(VLOOKUP(LEFT(TRIM(MID(SUBSTITUTE($R190,";",REPT(" ",99)),199,99)),FIND(":",TRIM(MID(SUBSTITUTE($R190,";",REPT(" ",99)),199,99)))-1),Materiales!$A$2:$E$502,5,FALSE)*VALUE(MID(TRIM(MID(SUBSTITUTE($R190,";",REPT(" ",99)),199,99)),FIND(":",TRIM(MID(SUBSTITUTE($R190,";",REPT(" ",99)),199,99)))+1,99)),0) + IFERROR(VLOOKUP(LEFT(TRIM(MID(SUBSTITUTE($R190,";",REPT(" ",99)),298,99)),FIND(":",TRIM(MID(SUBSTITUTE($R190,";",REPT(" ",99)),298,99)))-1),Materiales!$A$2:$E$502,5,FALSE)*VALUE(MID(TRIM(MID(SUBSTITUTE($R190,";",REPT(" ",99)),298,99)),FIND(":",TRIM(MID(SUBSTITUTE($R190,";",REPT(" ",99)),298,99)))+1,99)),0) + IFERROR(VLOOKUP(LEFT(TRIM(MID(SUBSTITUTE($R190,";",REPT(" ",99)),397,99)),FIND(":",TRIM(MID(SUBSTITUTE($R190,";",REPT(" ",99)),397,99)))-1),Materiales!$A$2:$E$502,5,FALSE)*VALUE(MID(TRIM(MID(SUBSTITUTE($R190,";",REPT(" ",99)),397,99)),FIND(":",TRIM(MID(SUBSTITUTE($R190,";",REPT(" ",99)),397,99)))+1,99)),0) + IFERROR(VLOOKUP(LEFT(TRIM(MID(SUBSTITUTE($R190,";",REPT(" ",99)),496,99)),FIND(":",TRIM(MID(SUBSTITUTE($R190,";",REPT(" ",99)),496,99)))-1),Materiales!$A$2:$E$502,5,FALSE)*VALUE(MID(TRIM(MID(SUBSTITUTE($R190,";",REPT(" ",99)),496,99)),FIND(":",TRIM(MID(SUBSTITUTE($R190,";",REPT(" ",99)),496,99)))+1,99)),0) + IFERROR(VLOOKUP(LEFT(TRIM(MID(SUBSTITUTE($R190,";",REPT(" ",99)),595,99)),FIND(":",TRIM(MID(SUBSTITUTE($R190,";",REPT(" ",99)),595,99)))-1),Materiales!$A$2:$E$502,5,FALSE)*VALUE(MID(TRIM(MID(SUBSTITUTE($R190,";",REPT(" ",99)),595,99)),FIND(":",TRIM(MID(SUBSTITUTE($R190,";",REPT(" ",99)),595,99)))+1,99)),0) + IFERROR(VLOOKUP(LEFT(TRIM(MID(SUBSTITUTE($R190,";",REPT(" ",99)),694,99)),FIND(":",TRIM(MID(SUBSTITUTE($R190,";",REPT(" ",99)),694,99)))-1),Materiales!$A$2:$E$502,5,FALSE)*VALUE(MID(TRIM(MID(SUBSTITUTE($R190,";",REPT(" ",99)),694,99)),FIND(":",TRIM(MID(SUBSTITUTE($R190,";",REPT(" ",99)),694,99)))+1,99)),0) + IFERROR(VLOOKUP(LEFT(TRIM(MID(SUBSTITUTE($R190,";",REPT(" ",99)),793,99)),FIND(":",TRIM(MID(SUBSTITUTE($R190,";",REPT(" ",99)),793,99)))-1),Materiales!$A$2:$E$502,5,FALSE)*VALUE(MID(TRIM(MID(SUBSTITUTE($R190,";",REPT(" ",99)),793,99)),FIND(":",TRIM(MID(SUBSTITUTE($R190,";",REPT(" ",99)),793,99)))+1,99)),0) + IFERROR(VLOOKUP(LEFT(TRIM(MID(SUBSTITUTE($R190,";",REPT(" ",99)),892,99)),FIND(":",TRIM(MID(SUBSTITUTE($R190,";",REPT(" ",99)),892,99)))-1),Materiales!$A$2:$E$502,5,FALSE)*VALUE(MID(TRIM(MID(SUBSTITUTE($R190,";",REPT(" ",99)),892,99)),FIND(":",TRIM(MID(SUBSTITUTE($R190,";",REPT(" ",99)),892,99)))+1,99)),0)))</f>
        <v/>
      </c>
      <c r="T190" s="3"/>
      <c r="U190" s="5" t="str">
        <f t="array" ref="U190">IF($A190="","",IF($T190="",0,IFERROR(VLOOKUP(LEFT(TRIM(MID(SUBSTITUTE($T190,";",REPT(" ",99)),1,99)),FIND(":",TRIM(MID(SUBSTITUTE($T190,";",REPT(" ",99)),1,99)))-1),Materiales!$A$2:$E$502,5,FALSE)*VALUE(MID(TRIM(MID(SUBSTITUTE($T190,";",REPT(" ",99)),1,99)),FIND(":",TRIM(MID(SUBSTITUTE($T190,";",REPT(" ",99)),1,99)))+1,99)),0) + IFERROR(VLOOKUP(LEFT(TRIM(MID(SUBSTITUTE($T190,";",REPT(" ",99)),100,99)),FIND(":",TRIM(MID(SUBSTITUTE($T190,";",REPT(" ",99)),100,99)))-1),Materiales!$A$2:$E$502,5,FALSE)*VALUE(MID(TRIM(MID(SUBSTITUTE($T190,";",REPT(" ",99)),100,99)),FIND(":",TRIM(MID(SUBSTITUTE($T190,";",REPT(" ",99)),100,99)))+1,99)),0) + IFERROR(VLOOKUP(LEFT(TRIM(MID(SUBSTITUTE($T190,";",REPT(" ",99)),199,99)),FIND(":",TRIM(MID(SUBSTITUTE($T190,";",REPT(" ",99)),199,99)))-1),Materiales!$A$2:$E$502,5,FALSE)*VALUE(MID(TRIM(MID(SUBSTITUTE($T190,";",REPT(" ",99)),199,99)),FIND(":",TRIM(MID(SUBSTITUTE($T190,";",REPT(" ",99)),199,99)))+1,99)),0) + IFERROR(VLOOKUP(LEFT(TRIM(MID(SUBSTITUTE($T190,";",REPT(" ",99)),298,99)),FIND(":",TRIM(MID(SUBSTITUTE($T190,";",REPT(" ",99)),298,99)))-1),Materiales!$A$2:$E$502,5,FALSE)*VALUE(MID(TRIM(MID(SUBSTITUTE($T190,";",REPT(" ",99)),298,99)),FIND(":",TRIM(MID(SUBSTITUTE($T190,";",REPT(" ",99)),298,99)))+1,99)),0) + IFERROR(VLOOKUP(LEFT(TRIM(MID(SUBSTITUTE($T190,";",REPT(" ",99)),397,99)),FIND(":",TRIM(MID(SUBSTITUTE($T190,";",REPT(" ",99)),397,99)))-1),Materiales!$A$2:$E$502,5,FALSE)*VALUE(MID(TRIM(MID(SUBSTITUTE($T190,";",REPT(" ",99)),397,99)),FIND(":",TRIM(MID(SUBSTITUTE($T190,";",REPT(" ",99)),397,99)))+1,99)),0) + IFERROR(VLOOKUP(LEFT(TRIM(MID(SUBSTITUTE($T190,";",REPT(" ",99)),496,99)),FIND(":",TRIM(MID(SUBSTITUTE($T190,";",REPT(" ",99)),496,99)))-1),Materiales!$A$2:$E$502,5,FALSE)*VALUE(MID(TRIM(MID(SUBSTITUTE($T190,";",REPT(" ",99)),496,99)),FIND(":",TRIM(MID(SUBSTITUTE($T190,";",REPT(" ",99)),496,99)))+1,99)),0) + IFERROR(VLOOKUP(LEFT(TRIM(MID(SUBSTITUTE($T190,";",REPT(" ",99)),595,99)),FIND(":",TRIM(MID(SUBSTITUTE($T190,";",REPT(" ",99)),595,99)))-1),Materiales!$A$2:$E$502,5,FALSE)*VALUE(MID(TRIM(MID(SUBSTITUTE($T190,";",REPT(" ",99)),595,99)),FIND(":",TRIM(MID(SUBSTITUTE($T190,";",REPT(" ",99)),595,99)))+1,99)),0) + IFERROR(VLOOKUP(LEFT(TRIM(MID(SUBSTITUTE($T190,";",REPT(" ",99)),694,99)),FIND(":",TRIM(MID(SUBSTITUTE($T190,";",REPT(" ",99)),694,99)))-1),Materiales!$A$2:$E$502,5,FALSE)*VALUE(MID(TRIM(MID(SUBSTITUTE($T190,";",REPT(" ",99)),694,99)),FIND(":",TRIM(MID(SUBSTITUTE($T190,";",REPT(" ",99)),694,99)))+1,99)),0) + IFERROR(VLOOKUP(LEFT(TRIM(MID(SUBSTITUTE($T190,";",REPT(" ",99)),793,99)),FIND(":",TRIM(MID(SUBSTITUTE($T190,";",REPT(" ",99)),793,99)))-1),Materiales!$A$2:$E$502,5,FALSE)*VALUE(MID(TRIM(MID(SUBSTITUTE($T190,";",REPT(" ",99)),793,99)),FIND(":",TRIM(MID(SUBSTITUTE($T190,";",REPT(" ",99)),793,99)))+1,99)),0) + IFERROR(VLOOKUP(LEFT(TRIM(MID(SUBSTITUTE($T190,";",REPT(" ",99)),892,99)),FIND(":",TRIM(MID(SUBSTITUTE($T190,";",REPT(" ",99)),892,99)))-1),Materiales!$A$2:$E$502,5,FALSE)*VALUE(MID(TRIM(MID(SUBSTITUTE($T190,";",REPT(" ",99)),892,99)),FIND(":",TRIM(MID(SUBSTITUTE($T190,";",REPT(" ",99)),892,99)))+1,99)),0)))</f>
        <v/>
      </c>
      <c r="V190" s="3"/>
      <c r="W190" s="5" t="str">
        <f t="array" ref="W190">IF($A190="","",IF($V190="",0,IFERROR(VLOOKUP(LEFT(TRIM(MID(SUBSTITUTE($V190,";",REPT(" ",99)),1,99)),FIND(":",TRIM(MID(SUBSTITUTE($V190,";",REPT(" ",99)),1,99)))-1),Materiales!$A$2:$E$502,5,FALSE)*VALUE(MID(TRIM(MID(SUBSTITUTE($V190,";",REPT(" ",99)),1,99)),FIND(":",TRIM(MID(SUBSTITUTE($V190,";",REPT(" ",99)),1,99)))+1,99)),0) + IFERROR(VLOOKUP(LEFT(TRIM(MID(SUBSTITUTE($V190,";",REPT(" ",99)),100,99)),FIND(":",TRIM(MID(SUBSTITUTE($V190,";",REPT(" ",99)),100,99)))-1),Materiales!$A$2:$E$502,5,FALSE)*VALUE(MID(TRIM(MID(SUBSTITUTE($V190,";",REPT(" ",99)),100,99)),FIND(":",TRIM(MID(SUBSTITUTE($V190,";",REPT(" ",99)),100,99)))+1,99)),0) + IFERROR(VLOOKUP(LEFT(TRIM(MID(SUBSTITUTE($V190,";",REPT(" ",99)),199,99)),FIND(":",TRIM(MID(SUBSTITUTE($V190,";",REPT(" ",99)),199,99)))-1),Materiales!$A$2:$E$502,5,FALSE)*VALUE(MID(TRIM(MID(SUBSTITUTE($V190,";",REPT(" ",99)),199,99)),FIND(":",TRIM(MID(SUBSTITUTE($V190,";",REPT(" ",99)),199,99)))+1,99)),0) + IFERROR(VLOOKUP(LEFT(TRIM(MID(SUBSTITUTE($V190,";",REPT(" ",99)),298,99)),FIND(":",TRIM(MID(SUBSTITUTE($V190,";",REPT(" ",99)),298,99)))-1),Materiales!$A$2:$E$502,5,FALSE)*VALUE(MID(TRIM(MID(SUBSTITUTE($V190,";",REPT(" ",99)),298,99)),FIND(":",TRIM(MID(SUBSTITUTE($V190,";",REPT(" ",99)),298,99)))+1,99)),0) + IFERROR(VLOOKUP(LEFT(TRIM(MID(SUBSTITUTE($V190,";",REPT(" ",99)),397,99)),FIND(":",TRIM(MID(SUBSTITUTE($V190,";",REPT(" ",99)),397,99)))-1),Materiales!$A$2:$E$502,5,FALSE)*VALUE(MID(TRIM(MID(SUBSTITUTE($V190,";",REPT(" ",99)),397,99)),FIND(":",TRIM(MID(SUBSTITUTE($V190,";",REPT(" ",99)),397,99)))+1,99)),0) + IFERROR(VLOOKUP(LEFT(TRIM(MID(SUBSTITUTE($V190,";",REPT(" ",99)),496,99)),FIND(":",TRIM(MID(SUBSTITUTE($V190,";",REPT(" ",99)),496,99)))-1),Materiales!$A$2:$E$502,5,FALSE)*VALUE(MID(TRIM(MID(SUBSTITUTE($V190,";",REPT(" ",99)),496,99)),FIND(":",TRIM(MID(SUBSTITUTE($V190,";",REPT(" ",99)),496,99)))+1,99)),0) + IFERROR(VLOOKUP(LEFT(TRIM(MID(SUBSTITUTE($V190,";",REPT(" ",99)),595,99)),FIND(":",TRIM(MID(SUBSTITUTE($V190,";",REPT(" ",99)),595,99)))-1),Materiales!$A$2:$E$502,5,FALSE)*VALUE(MID(TRIM(MID(SUBSTITUTE($V190,";",REPT(" ",99)),595,99)),FIND(":",TRIM(MID(SUBSTITUTE($V190,";",REPT(" ",99)),595,99)))+1,99)),0) + IFERROR(VLOOKUP(LEFT(TRIM(MID(SUBSTITUTE($V190,";",REPT(" ",99)),694,99)),FIND(":",TRIM(MID(SUBSTITUTE($V190,";",REPT(" ",99)),694,99)))-1),Materiales!$A$2:$E$502,5,FALSE)*VALUE(MID(TRIM(MID(SUBSTITUTE($V190,";",REPT(" ",99)),694,99)),FIND(":",TRIM(MID(SUBSTITUTE($V190,";",REPT(" ",99)),694,99)))+1,99)),0) + IFERROR(VLOOKUP(LEFT(TRIM(MID(SUBSTITUTE($V190,";",REPT(" ",99)),793,99)),FIND(":",TRIM(MID(SUBSTITUTE($V190,";",REPT(" ",99)),793,99)))-1),Materiales!$A$2:$E$502,5,FALSE)*VALUE(MID(TRIM(MID(SUBSTITUTE($V190,";",REPT(" ",99)),793,99)),FIND(":",TRIM(MID(SUBSTITUTE($V190,";",REPT(" ",99)),793,99)))+1,99)),0) + IFERROR(VLOOKUP(LEFT(TRIM(MID(SUBSTITUTE($V190,";",REPT(" ",99)),892,99)),FIND(":",TRIM(MID(SUBSTITUTE($V190,";",REPT(" ",99)),892,99)))-1),Materiales!$A$2:$E$502,5,FALSE)*VALUE(MID(TRIM(MID(SUBSTITUTE($V190,";",REPT(" ",99)),892,99)),FIND(":",TRIM(MID(SUBSTITUTE($V190,";",REPT(" ",99)),892,99)))+1,99)),0)))</f>
        <v/>
      </c>
      <c r="X190" s="39" t="str">
        <f t="shared" si="21"/>
        <v/>
      </c>
      <c r="Y190" s="64"/>
      <c r="Z190" s="67"/>
      <c r="AA190" s="65"/>
      <c r="AB190" s="14"/>
      <c r="AC190" s="66"/>
      <c r="AD190" s="65"/>
      <c r="AE190" s="44"/>
      <c r="AF190" s="45" t="str">
        <f t="shared" si="20"/>
        <v>#DIV/0!</v>
      </c>
    </row>
    <row r="191" ht="15.75" customHeight="1">
      <c r="A191" s="3"/>
      <c r="B191" s="3"/>
      <c r="C191" s="38"/>
      <c r="D191" s="38"/>
      <c r="E191" s="38"/>
      <c r="F191" s="14"/>
      <c r="G191" s="5" t="str">
        <f t="array" ref="G191">IF($A191="","",IFERROR($F191*(N($C191)*XLOOKUP($B191,Ceras!$A$2:$A$500,Ceras!$G$2:$G$500,0)+IF($D191="",0,N($E191)*XLOOKUP($D191,Ceras!$A$2:$A$500,Ceras!$G$2:$G$500,0))),"Revisar cera"))</f>
        <v/>
      </c>
      <c r="H191" s="5"/>
      <c r="I191" s="3"/>
      <c r="J191" s="14"/>
      <c r="K191" s="5" t="str">
        <f t="array" ref="K191">IF($A191="","",IFERROR($J191*XLOOKUP($I191,Pabilos!$A$2:$A$500,Pabilos!$H$2:$H$500,0),"Revisar pabilo"))</f>
        <v/>
      </c>
      <c r="L191" s="3"/>
      <c r="M191" s="14"/>
      <c r="N191" s="5" t="str">
        <f t="array" ref="N191">IF($A191="","",IFERROR($M191*XLOOKUP($L191,Esencias!$A$2:$A$501,Esencias!$G$2:$G$501,0),"Revisar esencia"))</f>
        <v/>
      </c>
      <c r="O191" s="3"/>
      <c r="P191" s="14"/>
      <c r="Q191" s="5" t="str">
        <f t="array" ref="Q191">IF($A191="","",IFERROR(IF($P191="",1,$P191)*XLOOKUP($O191,Colores!$A$2:$A$500,Colores!$H$2:$H$500,0),"Revisar color"))</f>
        <v/>
      </c>
      <c r="R191" s="3"/>
      <c r="S191" s="5" t="str">
        <f t="array" ref="S191">IF($A191="","",IF($R191="",0,IFERROR(VLOOKUP(LEFT(TRIM(MID(SUBSTITUTE($R191,";",REPT(" ",99)),1,99)),FIND(":",TRIM(MID(SUBSTITUTE($R191,";",REPT(" ",99)),1,99)))-1),Materiales!$A$2:$E$502,5,FALSE)*VALUE(MID(TRIM(MID(SUBSTITUTE($R191,";",REPT(" ",99)),1,99)),FIND(":",TRIM(MID(SUBSTITUTE($R191,";",REPT(" ",99)),1,99)))+1,99)),0) + IFERROR(VLOOKUP(LEFT(TRIM(MID(SUBSTITUTE($R191,";",REPT(" ",99)),100,99)),FIND(":",TRIM(MID(SUBSTITUTE($R191,";",REPT(" ",99)),100,99)))-1),Materiales!$A$2:$E$502,5,FALSE)*VALUE(MID(TRIM(MID(SUBSTITUTE($R191,";",REPT(" ",99)),100,99)),FIND(":",TRIM(MID(SUBSTITUTE($R191,";",REPT(" ",99)),100,99)))+1,99)),0) + IFERROR(VLOOKUP(LEFT(TRIM(MID(SUBSTITUTE($R191,";",REPT(" ",99)),199,99)),FIND(":",TRIM(MID(SUBSTITUTE($R191,";",REPT(" ",99)),199,99)))-1),Materiales!$A$2:$E$502,5,FALSE)*VALUE(MID(TRIM(MID(SUBSTITUTE($R191,";",REPT(" ",99)),199,99)),FIND(":",TRIM(MID(SUBSTITUTE($R191,";",REPT(" ",99)),199,99)))+1,99)),0) + IFERROR(VLOOKUP(LEFT(TRIM(MID(SUBSTITUTE($R191,";",REPT(" ",99)),298,99)),FIND(":",TRIM(MID(SUBSTITUTE($R191,";",REPT(" ",99)),298,99)))-1),Materiales!$A$2:$E$502,5,FALSE)*VALUE(MID(TRIM(MID(SUBSTITUTE($R191,";",REPT(" ",99)),298,99)),FIND(":",TRIM(MID(SUBSTITUTE($R191,";",REPT(" ",99)),298,99)))+1,99)),0) + IFERROR(VLOOKUP(LEFT(TRIM(MID(SUBSTITUTE($R191,";",REPT(" ",99)),397,99)),FIND(":",TRIM(MID(SUBSTITUTE($R191,";",REPT(" ",99)),397,99)))-1),Materiales!$A$2:$E$502,5,FALSE)*VALUE(MID(TRIM(MID(SUBSTITUTE($R191,";",REPT(" ",99)),397,99)),FIND(":",TRIM(MID(SUBSTITUTE($R191,";",REPT(" ",99)),397,99)))+1,99)),0) + IFERROR(VLOOKUP(LEFT(TRIM(MID(SUBSTITUTE($R191,";",REPT(" ",99)),496,99)),FIND(":",TRIM(MID(SUBSTITUTE($R191,";",REPT(" ",99)),496,99)))-1),Materiales!$A$2:$E$502,5,FALSE)*VALUE(MID(TRIM(MID(SUBSTITUTE($R191,";",REPT(" ",99)),496,99)),FIND(":",TRIM(MID(SUBSTITUTE($R191,";",REPT(" ",99)),496,99)))+1,99)),0) + IFERROR(VLOOKUP(LEFT(TRIM(MID(SUBSTITUTE($R191,";",REPT(" ",99)),595,99)),FIND(":",TRIM(MID(SUBSTITUTE($R191,";",REPT(" ",99)),595,99)))-1),Materiales!$A$2:$E$502,5,FALSE)*VALUE(MID(TRIM(MID(SUBSTITUTE($R191,";",REPT(" ",99)),595,99)),FIND(":",TRIM(MID(SUBSTITUTE($R191,";",REPT(" ",99)),595,99)))+1,99)),0) + IFERROR(VLOOKUP(LEFT(TRIM(MID(SUBSTITUTE($R191,";",REPT(" ",99)),694,99)),FIND(":",TRIM(MID(SUBSTITUTE($R191,";",REPT(" ",99)),694,99)))-1),Materiales!$A$2:$E$502,5,FALSE)*VALUE(MID(TRIM(MID(SUBSTITUTE($R191,";",REPT(" ",99)),694,99)),FIND(":",TRIM(MID(SUBSTITUTE($R191,";",REPT(" ",99)),694,99)))+1,99)),0) + IFERROR(VLOOKUP(LEFT(TRIM(MID(SUBSTITUTE($R191,";",REPT(" ",99)),793,99)),FIND(":",TRIM(MID(SUBSTITUTE($R191,";",REPT(" ",99)),793,99)))-1),Materiales!$A$2:$E$502,5,FALSE)*VALUE(MID(TRIM(MID(SUBSTITUTE($R191,";",REPT(" ",99)),793,99)),FIND(":",TRIM(MID(SUBSTITUTE($R191,";",REPT(" ",99)),793,99)))+1,99)),0) + IFERROR(VLOOKUP(LEFT(TRIM(MID(SUBSTITUTE($R191,";",REPT(" ",99)),892,99)),FIND(":",TRIM(MID(SUBSTITUTE($R191,";",REPT(" ",99)),892,99)))-1),Materiales!$A$2:$E$502,5,FALSE)*VALUE(MID(TRIM(MID(SUBSTITUTE($R191,";",REPT(" ",99)),892,99)),FIND(":",TRIM(MID(SUBSTITUTE($R191,";",REPT(" ",99)),892,99)))+1,99)),0)))</f>
        <v/>
      </c>
      <c r="T191" s="3"/>
      <c r="U191" s="5" t="str">
        <f t="array" ref="U191">IF($A191="","",IF($T191="",0,IFERROR(VLOOKUP(LEFT(TRIM(MID(SUBSTITUTE($T191,";",REPT(" ",99)),1,99)),FIND(":",TRIM(MID(SUBSTITUTE($T191,";",REPT(" ",99)),1,99)))-1),Materiales!$A$2:$E$502,5,FALSE)*VALUE(MID(TRIM(MID(SUBSTITUTE($T191,";",REPT(" ",99)),1,99)),FIND(":",TRIM(MID(SUBSTITUTE($T191,";",REPT(" ",99)),1,99)))+1,99)),0) + IFERROR(VLOOKUP(LEFT(TRIM(MID(SUBSTITUTE($T191,";",REPT(" ",99)),100,99)),FIND(":",TRIM(MID(SUBSTITUTE($T191,";",REPT(" ",99)),100,99)))-1),Materiales!$A$2:$E$502,5,FALSE)*VALUE(MID(TRIM(MID(SUBSTITUTE($T191,";",REPT(" ",99)),100,99)),FIND(":",TRIM(MID(SUBSTITUTE($T191,";",REPT(" ",99)),100,99)))+1,99)),0) + IFERROR(VLOOKUP(LEFT(TRIM(MID(SUBSTITUTE($T191,";",REPT(" ",99)),199,99)),FIND(":",TRIM(MID(SUBSTITUTE($T191,";",REPT(" ",99)),199,99)))-1),Materiales!$A$2:$E$502,5,FALSE)*VALUE(MID(TRIM(MID(SUBSTITUTE($T191,";",REPT(" ",99)),199,99)),FIND(":",TRIM(MID(SUBSTITUTE($T191,";",REPT(" ",99)),199,99)))+1,99)),0) + IFERROR(VLOOKUP(LEFT(TRIM(MID(SUBSTITUTE($T191,";",REPT(" ",99)),298,99)),FIND(":",TRIM(MID(SUBSTITUTE($T191,";",REPT(" ",99)),298,99)))-1),Materiales!$A$2:$E$502,5,FALSE)*VALUE(MID(TRIM(MID(SUBSTITUTE($T191,";",REPT(" ",99)),298,99)),FIND(":",TRIM(MID(SUBSTITUTE($T191,";",REPT(" ",99)),298,99)))+1,99)),0) + IFERROR(VLOOKUP(LEFT(TRIM(MID(SUBSTITUTE($T191,";",REPT(" ",99)),397,99)),FIND(":",TRIM(MID(SUBSTITUTE($T191,";",REPT(" ",99)),397,99)))-1),Materiales!$A$2:$E$502,5,FALSE)*VALUE(MID(TRIM(MID(SUBSTITUTE($T191,";",REPT(" ",99)),397,99)),FIND(":",TRIM(MID(SUBSTITUTE($T191,";",REPT(" ",99)),397,99)))+1,99)),0) + IFERROR(VLOOKUP(LEFT(TRIM(MID(SUBSTITUTE($T191,";",REPT(" ",99)),496,99)),FIND(":",TRIM(MID(SUBSTITUTE($T191,";",REPT(" ",99)),496,99)))-1),Materiales!$A$2:$E$502,5,FALSE)*VALUE(MID(TRIM(MID(SUBSTITUTE($T191,";",REPT(" ",99)),496,99)),FIND(":",TRIM(MID(SUBSTITUTE($T191,";",REPT(" ",99)),496,99)))+1,99)),0) + IFERROR(VLOOKUP(LEFT(TRIM(MID(SUBSTITUTE($T191,";",REPT(" ",99)),595,99)),FIND(":",TRIM(MID(SUBSTITUTE($T191,";",REPT(" ",99)),595,99)))-1),Materiales!$A$2:$E$502,5,FALSE)*VALUE(MID(TRIM(MID(SUBSTITUTE($T191,";",REPT(" ",99)),595,99)),FIND(":",TRIM(MID(SUBSTITUTE($T191,";",REPT(" ",99)),595,99)))+1,99)),0) + IFERROR(VLOOKUP(LEFT(TRIM(MID(SUBSTITUTE($T191,";",REPT(" ",99)),694,99)),FIND(":",TRIM(MID(SUBSTITUTE($T191,";",REPT(" ",99)),694,99)))-1),Materiales!$A$2:$E$502,5,FALSE)*VALUE(MID(TRIM(MID(SUBSTITUTE($T191,";",REPT(" ",99)),694,99)),FIND(":",TRIM(MID(SUBSTITUTE($T191,";",REPT(" ",99)),694,99)))+1,99)),0) + IFERROR(VLOOKUP(LEFT(TRIM(MID(SUBSTITUTE($T191,";",REPT(" ",99)),793,99)),FIND(":",TRIM(MID(SUBSTITUTE($T191,";",REPT(" ",99)),793,99)))-1),Materiales!$A$2:$E$502,5,FALSE)*VALUE(MID(TRIM(MID(SUBSTITUTE($T191,";",REPT(" ",99)),793,99)),FIND(":",TRIM(MID(SUBSTITUTE($T191,";",REPT(" ",99)),793,99)))+1,99)),0) + IFERROR(VLOOKUP(LEFT(TRIM(MID(SUBSTITUTE($T191,";",REPT(" ",99)),892,99)),FIND(":",TRIM(MID(SUBSTITUTE($T191,";",REPT(" ",99)),892,99)))-1),Materiales!$A$2:$E$502,5,FALSE)*VALUE(MID(TRIM(MID(SUBSTITUTE($T191,";",REPT(" ",99)),892,99)),FIND(":",TRIM(MID(SUBSTITUTE($T191,";",REPT(" ",99)),892,99)))+1,99)),0)))</f>
        <v/>
      </c>
      <c r="V191" s="3"/>
      <c r="W191" s="5" t="str">
        <f t="array" ref="W191">IF($A191="","",IF($V191="",0,IFERROR(VLOOKUP(LEFT(TRIM(MID(SUBSTITUTE($V191,";",REPT(" ",99)),1,99)),FIND(":",TRIM(MID(SUBSTITUTE($V191,";",REPT(" ",99)),1,99)))-1),Materiales!$A$2:$E$502,5,FALSE)*VALUE(MID(TRIM(MID(SUBSTITUTE($V191,";",REPT(" ",99)),1,99)),FIND(":",TRIM(MID(SUBSTITUTE($V191,";",REPT(" ",99)),1,99)))+1,99)),0) + IFERROR(VLOOKUP(LEFT(TRIM(MID(SUBSTITUTE($V191,";",REPT(" ",99)),100,99)),FIND(":",TRIM(MID(SUBSTITUTE($V191,";",REPT(" ",99)),100,99)))-1),Materiales!$A$2:$E$502,5,FALSE)*VALUE(MID(TRIM(MID(SUBSTITUTE($V191,";",REPT(" ",99)),100,99)),FIND(":",TRIM(MID(SUBSTITUTE($V191,";",REPT(" ",99)),100,99)))+1,99)),0) + IFERROR(VLOOKUP(LEFT(TRIM(MID(SUBSTITUTE($V191,";",REPT(" ",99)),199,99)),FIND(":",TRIM(MID(SUBSTITUTE($V191,";",REPT(" ",99)),199,99)))-1),Materiales!$A$2:$E$502,5,FALSE)*VALUE(MID(TRIM(MID(SUBSTITUTE($V191,";",REPT(" ",99)),199,99)),FIND(":",TRIM(MID(SUBSTITUTE($V191,";",REPT(" ",99)),199,99)))+1,99)),0) + IFERROR(VLOOKUP(LEFT(TRIM(MID(SUBSTITUTE($V191,";",REPT(" ",99)),298,99)),FIND(":",TRIM(MID(SUBSTITUTE($V191,";",REPT(" ",99)),298,99)))-1),Materiales!$A$2:$E$502,5,FALSE)*VALUE(MID(TRIM(MID(SUBSTITUTE($V191,";",REPT(" ",99)),298,99)),FIND(":",TRIM(MID(SUBSTITUTE($V191,";",REPT(" ",99)),298,99)))+1,99)),0) + IFERROR(VLOOKUP(LEFT(TRIM(MID(SUBSTITUTE($V191,";",REPT(" ",99)),397,99)),FIND(":",TRIM(MID(SUBSTITUTE($V191,";",REPT(" ",99)),397,99)))-1),Materiales!$A$2:$E$502,5,FALSE)*VALUE(MID(TRIM(MID(SUBSTITUTE($V191,";",REPT(" ",99)),397,99)),FIND(":",TRIM(MID(SUBSTITUTE($V191,";",REPT(" ",99)),397,99)))+1,99)),0) + IFERROR(VLOOKUP(LEFT(TRIM(MID(SUBSTITUTE($V191,";",REPT(" ",99)),496,99)),FIND(":",TRIM(MID(SUBSTITUTE($V191,";",REPT(" ",99)),496,99)))-1),Materiales!$A$2:$E$502,5,FALSE)*VALUE(MID(TRIM(MID(SUBSTITUTE($V191,";",REPT(" ",99)),496,99)),FIND(":",TRIM(MID(SUBSTITUTE($V191,";",REPT(" ",99)),496,99)))+1,99)),0) + IFERROR(VLOOKUP(LEFT(TRIM(MID(SUBSTITUTE($V191,";",REPT(" ",99)),595,99)),FIND(":",TRIM(MID(SUBSTITUTE($V191,";",REPT(" ",99)),595,99)))-1),Materiales!$A$2:$E$502,5,FALSE)*VALUE(MID(TRIM(MID(SUBSTITUTE($V191,";",REPT(" ",99)),595,99)),FIND(":",TRIM(MID(SUBSTITUTE($V191,";",REPT(" ",99)),595,99)))+1,99)),0) + IFERROR(VLOOKUP(LEFT(TRIM(MID(SUBSTITUTE($V191,";",REPT(" ",99)),694,99)),FIND(":",TRIM(MID(SUBSTITUTE($V191,";",REPT(" ",99)),694,99)))-1),Materiales!$A$2:$E$502,5,FALSE)*VALUE(MID(TRIM(MID(SUBSTITUTE($V191,";",REPT(" ",99)),694,99)),FIND(":",TRIM(MID(SUBSTITUTE($V191,";",REPT(" ",99)),694,99)))+1,99)),0) + IFERROR(VLOOKUP(LEFT(TRIM(MID(SUBSTITUTE($V191,";",REPT(" ",99)),793,99)),FIND(":",TRIM(MID(SUBSTITUTE($V191,";",REPT(" ",99)),793,99)))-1),Materiales!$A$2:$E$502,5,FALSE)*VALUE(MID(TRIM(MID(SUBSTITUTE($V191,";",REPT(" ",99)),793,99)),FIND(":",TRIM(MID(SUBSTITUTE($V191,";",REPT(" ",99)),793,99)))+1,99)),0) + IFERROR(VLOOKUP(LEFT(TRIM(MID(SUBSTITUTE($V191,";",REPT(" ",99)),892,99)),FIND(":",TRIM(MID(SUBSTITUTE($V191,";",REPT(" ",99)),892,99)))-1),Materiales!$A$2:$E$502,5,FALSE)*VALUE(MID(TRIM(MID(SUBSTITUTE($V191,";",REPT(" ",99)),892,99)),FIND(":",TRIM(MID(SUBSTITUTE($V191,";",REPT(" ",99)),892,99)))+1,99)),0)))</f>
        <v/>
      </c>
      <c r="X191" s="39" t="str">
        <f t="shared" si="21"/>
        <v/>
      </c>
      <c r="Y191" s="64"/>
      <c r="Z191" s="67"/>
      <c r="AA191" s="65"/>
      <c r="AB191" s="14"/>
      <c r="AC191" s="66"/>
      <c r="AD191" s="65"/>
      <c r="AE191" s="44"/>
      <c r="AF191" s="45" t="str">
        <f t="shared" si="20"/>
        <v>#DIV/0!</v>
      </c>
    </row>
    <row r="192" ht="15.75" customHeight="1">
      <c r="A192" s="3"/>
      <c r="B192" s="3"/>
      <c r="C192" s="38"/>
      <c r="D192" s="38"/>
      <c r="E192" s="38"/>
      <c r="F192" s="14"/>
      <c r="G192" s="5" t="str">
        <f t="array" ref="G192">IF($A192="","",IFERROR($F192*(N($C192)*XLOOKUP($B192,Ceras!$A$2:$A$500,Ceras!$G$2:$G$500,0)+IF($D192="",0,N($E192)*XLOOKUP($D192,Ceras!$A$2:$A$500,Ceras!$G$2:$G$500,0))),"Revisar cera"))</f>
        <v/>
      </c>
      <c r="H192" s="5"/>
      <c r="I192" s="3"/>
      <c r="J192" s="14"/>
      <c r="K192" s="5" t="str">
        <f t="array" ref="K192">IF($A192="","",IFERROR($J192*XLOOKUP($I192,Pabilos!$A$2:$A$500,Pabilos!$H$2:$H$500,0),"Revisar pabilo"))</f>
        <v/>
      </c>
      <c r="L192" s="3"/>
      <c r="M192" s="14"/>
      <c r="N192" s="5" t="str">
        <f t="array" ref="N192">IF($A192="","",IFERROR($M192*XLOOKUP($L192,Esencias!$A$2:$A$501,Esencias!$G$2:$G$501,0),"Revisar esencia"))</f>
        <v/>
      </c>
      <c r="O192" s="3"/>
      <c r="P192" s="14"/>
      <c r="Q192" s="5" t="str">
        <f t="array" ref="Q192">IF($A192="","",IFERROR(IF($P192="",1,$P192)*XLOOKUP($O192,Colores!$A$2:$A$500,Colores!$H$2:$H$500,0),"Revisar color"))</f>
        <v/>
      </c>
      <c r="R192" s="3"/>
      <c r="S192" s="5" t="str">
        <f t="array" ref="S192">IF($A192="","",IF($R192="",0,IFERROR(VLOOKUP(LEFT(TRIM(MID(SUBSTITUTE($R192,";",REPT(" ",99)),1,99)),FIND(":",TRIM(MID(SUBSTITUTE($R192,";",REPT(" ",99)),1,99)))-1),Materiales!$A$2:$E$502,5,FALSE)*VALUE(MID(TRIM(MID(SUBSTITUTE($R192,";",REPT(" ",99)),1,99)),FIND(":",TRIM(MID(SUBSTITUTE($R192,";",REPT(" ",99)),1,99)))+1,99)),0) + IFERROR(VLOOKUP(LEFT(TRIM(MID(SUBSTITUTE($R192,";",REPT(" ",99)),100,99)),FIND(":",TRIM(MID(SUBSTITUTE($R192,";",REPT(" ",99)),100,99)))-1),Materiales!$A$2:$E$502,5,FALSE)*VALUE(MID(TRIM(MID(SUBSTITUTE($R192,";",REPT(" ",99)),100,99)),FIND(":",TRIM(MID(SUBSTITUTE($R192,";",REPT(" ",99)),100,99)))+1,99)),0) + IFERROR(VLOOKUP(LEFT(TRIM(MID(SUBSTITUTE($R192,";",REPT(" ",99)),199,99)),FIND(":",TRIM(MID(SUBSTITUTE($R192,";",REPT(" ",99)),199,99)))-1),Materiales!$A$2:$E$502,5,FALSE)*VALUE(MID(TRIM(MID(SUBSTITUTE($R192,";",REPT(" ",99)),199,99)),FIND(":",TRIM(MID(SUBSTITUTE($R192,";",REPT(" ",99)),199,99)))+1,99)),0) + IFERROR(VLOOKUP(LEFT(TRIM(MID(SUBSTITUTE($R192,";",REPT(" ",99)),298,99)),FIND(":",TRIM(MID(SUBSTITUTE($R192,";",REPT(" ",99)),298,99)))-1),Materiales!$A$2:$E$502,5,FALSE)*VALUE(MID(TRIM(MID(SUBSTITUTE($R192,";",REPT(" ",99)),298,99)),FIND(":",TRIM(MID(SUBSTITUTE($R192,";",REPT(" ",99)),298,99)))+1,99)),0) + IFERROR(VLOOKUP(LEFT(TRIM(MID(SUBSTITUTE($R192,";",REPT(" ",99)),397,99)),FIND(":",TRIM(MID(SUBSTITUTE($R192,";",REPT(" ",99)),397,99)))-1),Materiales!$A$2:$E$502,5,FALSE)*VALUE(MID(TRIM(MID(SUBSTITUTE($R192,";",REPT(" ",99)),397,99)),FIND(":",TRIM(MID(SUBSTITUTE($R192,";",REPT(" ",99)),397,99)))+1,99)),0) + IFERROR(VLOOKUP(LEFT(TRIM(MID(SUBSTITUTE($R192,";",REPT(" ",99)),496,99)),FIND(":",TRIM(MID(SUBSTITUTE($R192,";",REPT(" ",99)),496,99)))-1),Materiales!$A$2:$E$502,5,FALSE)*VALUE(MID(TRIM(MID(SUBSTITUTE($R192,";",REPT(" ",99)),496,99)),FIND(":",TRIM(MID(SUBSTITUTE($R192,";",REPT(" ",99)),496,99)))+1,99)),0) + IFERROR(VLOOKUP(LEFT(TRIM(MID(SUBSTITUTE($R192,";",REPT(" ",99)),595,99)),FIND(":",TRIM(MID(SUBSTITUTE($R192,";",REPT(" ",99)),595,99)))-1),Materiales!$A$2:$E$502,5,FALSE)*VALUE(MID(TRIM(MID(SUBSTITUTE($R192,";",REPT(" ",99)),595,99)),FIND(":",TRIM(MID(SUBSTITUTE($R192,";",REPT(" ",99)),595,99)))+1,99)),0) + IFERROR(VLOOKUP(LEFT(TRIM(MID(SUBSTITUTE($R192,";",REPT(" ",99)),694,99)),FIND(":",TRIM(MID(SUBSTITUTE($R192,";",REPT(" ",99)),694,99)))-1),Materiales!$A$2:$E$502,5,FALSE)*VALUE(MID(TRIM(MID(SUBSTITUTE($R192,";",REPT(" ",99)),694,99)),FIND(":",TRIM(MID(SUBSTITUTE($R192,";",REPT(" ",99)),694,99)))+1,99)),0) + IFERROR(VLOOKUP(LEFT(TRIM(MID(SUBSTITUTE($R192,";",REPT(" ",99)),793,99)),FIND(":",TRIM(MID(SUBSTITUTE($R192,";",REPT(" ",99)),793,99)))-1),Materiales!$A$2:$E$502,5,FALSE)*VALUE(MID(TRIM(MID(SUBSTITUTE($R192,";",REPT(" ",99)),793,99)),FIND(":",TRIM(MID(SUBSTITUTE($R192,";",REPT(" ",99)),793,99)))+1,99)),0) + IFERROR(VLOOKUP(LEFT(TRIM(MID(SUBSTITUTE($R192,";",REPT(" ",99)),892,99)),FIND(":",TRIM(MID(SUBSTITUTE($R192,";",REPT(" ",99)),892,99)))-1),Materiales!$A$2:$E$502,5,FALSE)*VALUE(MID(TRIM(MID(SUBSTITUTE($R192,";",REPT(" ",99)),892,99)),FIND(":",TRIM(MID(SUBSTITUTE($R192,";",REPT(" ",99)),892,99)))+1,99)),0)))</f>
        <v/>
      </c>
      <c r="T192" s="3"/>
      <c r="U192" s="5" t="str">
        <f t="array" ref="U192">IF($A192="","",IF($T192="",0,IFERROR(VLOOKUP(LEFT(TRIM(MID(SUBSTITUTE($T192,";",REPT(" ",99)),1,99)),FIND(":",TRIM(MID(SUBSTITUTE($T192,";",REPT(" ",99)),1,99)))-1),Materiales!$A$2:$E$502,5,FALSE)*VALUE(MID(TRIM(MID(SUBSTITUTE($T192,";",REPT(" ",99)),1,99)),FIND(":",TRIM(MID(SUBSTITUTE($T192,";",REPT(" ",99)),1,99)))+1,99)),0) + IFERROR(VLOOKUP(LEFT(TRIM(MID(SUBSTITUTE($T192,";",REPT(" ",99)),100,99)),FIND(":",TRIM(MID(SUBSTITUTE($T192,";",REPT(" ",99)),100,99)))-1),Materiales!$A$2:$E$502,5,FALSE)*VALUE(MID(TRIM(MID(SUBSTITUTE($T192,";",REPT(" ",99)),100,99)),FIND(":",TRIM(MID(SUBSTITUTE($T192,";",REPT(" ",99)),100,99)))+1,99)),0) + IFERROR(VLOOKUP(LEFT(TRIM(MID(SUBSTITUTE($T192,";",REPT(" ",99)),199,99)),FIND(":",TRIM(MID(SUBSTITUTE($T192,";",REPT(" ",99)),199,99)))-1),Materiales!$A$2:$E$502,5,FALSE)*VALUE(MID(TRIM(MID(SUBSTITUTE($T192,";",REPT(" ",99)),199,99)),FIND(":",TRIM(MID(SUBSTITUTE($T192,";",REPT(" ",99)),199,99)))+1,99)),0) + IFERROR(VLOOKUP(LEFT(TRIM(MID(SUBSTITUTE($T192,";",REPT(" ",99)),298,99)),FIND(":",TRIM(MID(SUBSTITUTE($T192,";",REPT(" ",99)),298,99)))-1),Materiales!$A$2:$E$502,5,FALSE)*VALUE(MID(TRIM(MID(SUBSTITUTE($T192,";",REPT(" ",99)),298,99)),FIND(":",TRIM(MID(SUBSTITUTE($T192,";",REPT(" ",99)),298,99)))+1,99)),0) + IFERROR(VLOOKUP(LEFT(TRIM(MID(SUBSTITUTE($T192,";",REPT(" ",99)),397,99)),FIND(":",TRIM(MID(SUBSTITUTE($T192,";",REPT(" ",99)),397,99)))-1),Materiales!$A$2:$E$502,5,FALSE)*VALUE(MID(TRIM(MID(SUBSTITUTE($T192,";",REPT(" ",99)),397,99)),FIND(":",TRIM(MID(SUBSTITUTE($T192,";",REPT(" ",99)),397,99)))+1,99)),0) + IFERROR(VLOOKUP(LEFT(TRIM(MID(SUBSTITUTE($T192,";",REPT(" ",99)),496,99)),FIND(":",TRIM(MID(SUBSTITUTE($T192,";",REPT(" ",99)),496,99)))-1),Materiales!$A$2:$E$502,5,FALSE)*VALUE(MID(TRIM(MID(SUBSTITUTE($T192,";",REPT(" ",99)),496,99)),FIND(":",TRIM(MID(SUBSTITUTE($T192,";",REPT(" ",99)),496,99)))+1,99)),0) + IFERROR(VLOOKUP(LEFT(TRIM(MID(SUBSTITUTE($T192,";",REPT(" ",99)),595,99)),FIND(":",TRIM(MID(SUBSTITUTE($T192,";",REPT(" ",99)),595,99)))-1),Materiales!$A$2:$E$502,5,FALSE)*VALUE(MID(TRIM(MID(SUBSTITUTE($T192,";",REPT(" ",99)),595,99)),FIND(":",TRIM(MID(SUBSTITUTE($T192,";",REPT(" ",99)),595,99)))+1,99)),0) + IFERROR(VLOOKUP(LEFT(TRIM(MID(SUBSTITUTE($T192,";",REPT(" ",99)),694,99)),FIND(":",TRIM(MID(SUBSTITUTE($T192,";",REPT(" ",99)),694,99)))-1),Materiales!$A$2:$E$502,5,FALSE)*VALUE(MID(TRIM(MID(SUBSTITUTE($T192,";",REPT(" ",99)),694,99)),FIND(":",TRIM(MID(SUBSTITUTE($T192,";",REPT(" ",99)),694,99)))+1,99)),0) + IFERROR(VLOOKUP(LEFT(TRIM(MID(SUBSTITUTE($T192,";",REPT(" ",99)),793,99)),FIND(":",TRIM(MID(SUBSTITUTE($T192,";",REPT(" ",99)),793,99)))-1),Materiales!$A$2:$E$502,5,FALSE)*VALUE(MID(TRIM(MID(SUBSTITUTE($T192,";",REPT(" ",99)),793,99)),FIND(":",TRIM(MID(SUBSTITUTE($T192,";",REPT(" ",99)),793,99)))+1,99)),0) + IFERROR(VLOOKUP(LEFT(TRIM(MID(SUBSTITUTE($T192,";",REPT(" ",99)),892,99)),FIND(":",TRIM(MID(SUBSTITUTE($T192,";",REPT(" ",99)),892,99)))-1),Materiales!$A$2:$E$502,5,FALSE)*VALUE(MID(TRIM(MID(SUBSTITUTE($T192,";",REPT(" ",99)),892,99)),FIND(":",TRIM(MID(SUBSTITUTE($T192,";",REPT(" ",99)),892,99)))+1,99)),0)))</f>
        <v/>
      </c>
      <c r="V192" s="3"/>
      <c r="W192" s="5" t="str">
        <f t="array" ref="W192">IF($A192="","",IF($V192="",0,IFERROR(VLOOKUP(LEFT(TRIM(MID(SUBSTITUTE($V192,";",REPT(" ",99)),1,99)),FIND(":",TRIM(MID(SUBSTITUTE($V192,";",REPT(" ",99)),1,99)))-1),Materiales!$A$2:$E$502,5,FALSE)*VALUE(MID(TRIM(MID(SUBSTITUTE($V192,";",REPT(" ",99)),1,99)),FIND(":",TRIM(MID(SUBSTITUTE($V192,";",REPT(" ",99)),1,99)))+1,99)),0) + IFERROR(VLOOKUP(LEFT(TRIM(MID(SUBSTITUTE($V192,";",REPT(" ",99)),100,99)),FIND(":",TRIM(MID(SUBSTITUTE($V192,";",REPT(" ",99)),100,99)))-1),Materiales!$A$2:$E$502,5,FALSE)*VALUE(MID(TRIM(MID(SUBSTITUTE($V192,";",REPT(" ",99)),100,99)),FIND(":",TRIM(MID(SUBSTITUTE($V192,";",REPT(" ",99)),100,99)))+1,99)),0) + IFERROR(VLOOKUP(LEFT(TRIM(MID(SUBSTITUTE($V192,";",REPT(" ",99)),199,99)),FIND(":",TRIM(MID(SUBSTITUTE($V192,";",REPT(" ",99)),199,99)))-1),Materiales!$A$2:$E$502,5,FALSE)*VALUE(MID(TRIM(MID(SUBSTITUTE($V192,";",REPT(" ",99)),199,99)),FIND(":",TRIM(MID(SUBSTITUTE($V192,";",REPT(" ",99)),199,99)))+1,99)),0) + IFERROR(VLOOKUP(LEFT(TRIM(MID(SUBSTITUTE($V192,";",REPT(" ",99)),298,99)),FIND(":",TRIM(MID(SUBSTITUTE($V192,";",REPT(" ",99)),298,99)))-1),Materiales!$A$2:$E$502,5,FALSE)*VALUE(MID(TRIM(MID(SUBSTITUTE($V192,";",REPT(" ",99)),298,99)),FIND(":",TRIM(MID(SUBSTITUTE($V192,";",REPT(" ",99)),298,99)))+1,99)),0) + IFERROR(VLOOKUP(LEFT(TRIM(MID(SUBSTITUTE($V192,";",REPT(" ",99)),397,99)),FIND(":",TRIM(MID(SUBSTITUTE($V192,";",REPT(" ",99)),397,99)))-1),Materiales!$A$2:$E$502,5,FALSE)*VALUE(MID(TRIM(MID(SUBSTITUTE($V192,";",REPT(" ",99)),397,99)),FIND(":",TRIM(MID(SUBSTITUTE($V192,";",REPT(" ",99)),397,99)))+1,99)),0) + IFERROR(VLOOKUP(LEFT(TRIM(MID(SUBSTITUTE($V192,";",REPT(" ",99)),496,99)),FIND(":",TRIM(MID(SUBSTITUTE($V192,";",REPT(" ",99)),496,99)))-1),Materiales!$A$2:$E$502,5,FALSE)*VALUE(MID(TRIM(MID(SUBSTITUTE($V192,";",REPT(" ",99)),496,99)),FIND(":",TRIM(MID(SUBSTITUTE($V192,";",REPT(" ",99)),496,99)))+1,99)),0) + IFERROR(VLOOKUP(LEFT(TRIM(MID(SUBSTITUTE($V192,";",REPT(" ",99)),595,99)),FIND(":",TRIM(MID(SUBSTITUTE($V192,";",REPT(" ",99)),595,99)))-1),Materiales!$A$2:$E$502,5,FALSE)*VALUE(MID(TRIM(MID(SUBSTITUTE($V192,";",REPT(" ",99)),595,99)),FIND(":",TRIM(MID(SUBSTITUTE($V192,";",REPT(" ",99)),595,99)))+1,99)),0) + IFERROR(VLOOKUP(LEFT(TRIM(MID(SUBSTITUTE($V192,";",REPT(" ",99)),694,99)),FIND(":",TRIM(MID(SUBSTITUTE($V192,";",REPT(" ",99)),694,99)))-1),Materiales!$A$2:$E$502,5,FALSE)*VALUE(MID(TRIM(MID(SUBSTITUTE($V192,";",REPT(" ",99)),694,99)),FIND(":",TRIM(MID(SUBSTITUTE($V192,";",REPT(" ",99)),694,99)))+1,99)),0) + IFERROR(VLOOKUP(LEFT(TRIM(MID(SUBSTITUTE($V192,";",REPT(" ",99)),793,99)),FIND(":",TRIM(MID(SUBSTITUTE($V192,";",REPT(" ",99)),793,99)))-1),Materiales!$A$2:$E$502,5,FALSE)*VALUE(MID(TRIM(MID(SUBSTITUTE($V192,";",REPT(" ",99)),793,99)),FIND(":",TRIM(MID(SUBSTITUTE($V192,";",REPT(" ",99)),793,99)))+1,99)),0) + IFERROR(VLOOKUP(LEFT(TRIM(MID(SUBSTITUTE($V192,";",REPT(" ",99)),892,99)),FIND(":",TRIM(MID(SUBSTITUTE($V192,";",REPT(" ",99)),892,99)))-1),Materiales!$A$2:$E$502,5,FALSE)*VALUE(MID(TRIM(MID(SUBSTITUTE($V192,";",REPT(" ",99)),892,99)),FIND(":",TRIM(MID(SUBSTITUTE($V192,";",REPT(" ",99)),892,99)))+1,99)),0)))</f>
        <v/>
      </c>
      <c r="X192" s="39" t="str">
        <f t="shared" si="21"/>
        <v/>
      </c>
      <c r="Y192" s="64"/>
      <c r="Z192" s="67"/>
      <c r="AA192" s="65"/>
      <c r="AB192" s="14"/>
      <c r="AC192" s="66"/>
      <c r="AD192" s="65"/>
      <c r="AE192" s="44"/>
      <c r="AF192" s="45" t="str">
        <f t="shared" si="20"/>
        <v>#DIV/0!</v>
      </c>
    </row>
    <row r="193" ht="15.75" customHeight="1">
      <c r="A193" s="3"/>
      <c r="B193" s="3"/>
      <c r="C193" s="38"/>
      <c r="D193" s="38"/>
      <c r="E193" s="38"/>
      <c r="F193" s="14"/>
      <c r="G193" s="5" t="str">
        <f t="array" ref="G193">IF($A193="","",IFERROR($F193*(N($C193)*XLOOKUP($B193,Ceras!$A$2:$A$500,Ceras!$G$2:$G$500,0)+IF($D193="",0,N($E193)*XLOOKUP($D193,Ceras!$A$2:$A$500,Ceras!$G$2:$G$500,0))),"Revisar cera"))</f>
        <v/>
      </c>
      <c r="H193" s="5"/>
      <c r="I193" s="3"/>
      <c r="J193" s="14"/>
      <c r="K193" s="5" t="str">
        <f t="array" ref="K193">IF($A193="","",IFERROR($J193*XLOOKUP($I193,Pabilos!$A$2:$A$500,Pabilos!$H$2:$H$500,0),"Revisar pabilo"))</f>
        <v/>
      </c>
      <c r="L193" s="3"/>
      <c r="M193" s="14"/>
      <c r="N193" s="5" t="str">
        <f t="array" ref="N193">IF($A193="","",IFERROR($M193*XLOOKUP($L193,Esencias!$A$2:$A$501,Esencias!$G$2:$G$501,0),"Revisar esencia"))</f>
        <v/>
      </c>
      <c r="O193" s="3"/>
      <c r="P193" s="14"/>
      <c r="Q193" s="5" t="str">
        <f t="array" ref="Q193">IF($A193="","",IFERROR(IF($P193="",1,$P193)*XLOOKUP($O193,Colores!$A$2:$A$500,Colores!$H$2:$H$500,0),"Revisar color"))</f>
        <v/>
      </c>
      <c r="R193" s="3"/>
      <c r="S193" s="5" t="str">
        <f t="array" ref="S193">IF($A193="","",IF($R193="",0,IFERROR(VLOOKUP(LEFT(TRIM(MID(SUBSTITUTE($R193,";",REPT(" ",99)),1,99)),FIND(":",TRIM(MID(SUBSTITUTE($R193,";",REPT(" ",99)),1,99)))-1),Materiales!$A$2:$E$502,5,FALSE)*VALUE(MID(TRIM(MID(SUBSTITUTE($R193,";",REPT(" ",99)),1,99)),FIND(":",TRIM(MID(SUBSTITUTE($R193,";",REPT(" ",99)),1,99)))+1,99)),0) + IFERROR(VLOOKUP(LEFT(TRIM(MID(SUBSTITUTE($R193,";",REPT(" ",99)),100,99)),FIND(":",TRIM(MID(SUBSTITUTE($R193,";",REPT(" ",99)),100,99)))-1),Materiales!$A$2:$E$502,5,FALSE)*VALUE(MID(TRIM(MID(SUBSTITUTE($R193,";",REPT(" ",99)),100,99)),FIND(":",TRIM(MID(SUBSTITUTE($R193,";",REPT(" ",99)),100,99)))+1,99)),0) + IFERROR(VLOOKUP(LEFT(TRIM(MID(SUBSTITUTE($R193,";",REPT(" ",99)),199,99)),FIND(":",TRIM(MID(SUBSTITUTE($R193,";",REPT(" ",99)),199,99)))-1),Materiales!$A$2:$E$502,5,FALSE)*VALUE(MID(TRIM(MID(SUBSTITUTE($R193,";",REPT(" ",99)),199,99)),FIND(":",TRIM(MID(SUBSTITUTE($R193,";",REPT(" ",99)),199,99)))+1,99)),0) + IFERROR(VLOOKUP(LEFT(TRIM(MID(SUBSTITUTE($R193,";",REPT(" ",99)),298,99)),FIND(":",TRIM(MID(SUBSTITUTE($R193,";",REPT(" ",99)),298,99)))-1),Materiales!$A$2:$E$502,5,FALSE)*VALUE(MID(TRIM(MID(SUBSTITUTE($R193,";",REPT(" ",99)),298,99)),FIND(":",TRIM(MID(SUBSTITUTE($R193,";",REPT(" ",99)),298,99)))+1,99)),0) + IFERROR(VLOOKUP(LEFT(TRIM(MID(SUBSTITUTE($R193,";",REPT(" ",99)),397,99)),FIND(":",TRIM(MID(SUBSTITUTE($R193,";",REPT(" ",99)),397,99)))-1),Materiales!$A$2:$E$502,5,FALSE)*VALUE(MID(TRIM(MID(SUBSTITUTE($R193,";",REPT(" ",99)),397,99)),FIND(":",TRIM(MID(SUBSTITUTE($R193,";",REPT(" ",99)),397,99)))+1,99)),0) + IFERROR(VLOOKUP(LEFT(TRIM(MID(SUBSTITUTE($R193,";",REPT(" ",99)),496,99)),FIND(":",TRIM(MID(SUBSTITUTE($R193,";",REPT(" ",99)),496,99)))-1),Materiales!$A$2:$E$502,5,FALSE)*VALUE(MID(TRIM(MID(SUBSTITUTE($R193,";",REPT(" ",99)),496,99)),FIND(":",TRIM(MID(SUBSTITUTE($R193,";",REPT(" ",99)),496,99)))+1,99)),0) + IFERROR(VLOOKUP(LEFT(TRIM(MID(SUBSTITUTE($R193,";",REPT(" ",99)),595,99)),FIND(":",TRIM(MID(SUBSTITUTE($R193,";",REPT(" ",99)),595,99)))-1),Materiales!$A$2:$E$502,5,FALSE)*VALUE(MID(TRIM(MID(SUBSTITUTE($R193,";",REPT(" ",99)),595,99)),FIND(":",TRIM(MID(SUBSTITUTE($R193,";",REPT(" ",99)),595,99)))+1,99)),0) + IFERROR(VLOOKUP(LEFT(TRIM(MID(SUBSTITUTE($R193,";",REPT(" ",99)),694,99)),FIND(":",TRIM(MID(SUBSTITUTE($R193,";",REPT(" ",99)),694,99)))-1),Materiales!$A$2:$E$502,5,FALSE)*VALUE(MID(TRIM(MID(SUBSTITUTE($R193,";",REPT(" ",99)),694,99)),FIND(":",TRIM(MID(SUBSTITUTE($R193,";",REPT(" ",99)),694,99)))+1,99)),0) + IFERROR(VLOOKUP(LEFT(TRIM(MID(SUBSTITUTE($R193,";",REPT(" ",99)),793,99)),FIND(":",TRIM(MID(SUBSTITUTE($R193,";",REPT(" ",99)),793,99)))-1),Materiales!$A$2:$E$502,5,FALSE)*VALUE(MID(TRIM(MID(SUBSTITUTE($R193,";",REPT(" ",99)),793,99)),FIND(":",TRIM(MID(SUBSTITUTE($R193,";",REPT(" ",99)),793,99)))+1,99)),0) + IFERROR(VLOOKUP(LEFT(TRIM(MID(SUBSTITUTE($R193,";",REPT(" ",99)),892,99)),FIND(":",TRIM(MID(SUBSTITUTE($R193,";",REPT(" ",99)),892,99)))-1),Materiales!$A$2:$E$502,5,FALSE)*VALUE(MID(TRIM(MID(SUBSTITUTE($R193,";",REPT(" ",99)),892,99)),FIND(":",TRIM(MID(SUBSTITUTE($R193,";",REPT(" ",99)),892,99)))+1,99)),0)))</f>
        <v/>
      </c>
      <c r="T193" s="3"/>
      <c r="U193" s="5" t="str">
        <f t="array" ref="U193">IF($A193="","",IF($T193="",0,IFERROR(VLOOKUP(LEFT(TRIM(MID(SUBSTITUTE($T193,";",REPT(" ",99)),1,99)),FIND(":",TRIM(MID(SUBSTITUTE($T193,";",REPT(" ",99)),1,99)))-1),Materiales!$A$2:$E$502,5,FALSE)*VALUE(MID(TRIM(MID(SUBSTITUTE($T193,";",REPT(" ",99)),1,99)),FIND(":",TRIM(MID(SUBSTITUTE($T193,";",REPT(" ",99)),1,99)))+1,99)),0) + IFERROR(VLOOKUP(LEFT(TRIM(MID(SUBSTITUTE($T193,";",REPT(" ",99)),100,99)),FIND(":",TRIM(MID(SUBSTITUTE($T193,";",REPT(" ",99)),100,99)))-1),Materiales!$A$2:$E$502,5,FALSE)*VALUE(MID(TRIM(MID(SUBSTITUTE($T193,";",REPT(" ",99)),100,99)),FIND(":",TRIM(MID(SUBSTITUTE($T193,";",REPT(" ",99)),100,99)))+1,99)),0) + IFERROR(VLOOKUP(LEFT(TRIM(MID(SUBSTITUTE($T193,";",REPT(" ",99)),199,99)),FIND(":",TRIM(MID(SUBSTITUTE($T193,";",REPT(" ",99)),199,99)))-1),Materiales!$A$2:$E$502,5,FALSE)*VALUE(MID(TRIM(MID(SUBSTITUTE($T193,";",REPT(" ",99)),199,99)),FIND(":",TRIM(MID(SUBSTITUTE($T193,";",REPT(" ",99)),199,99)))+1,99)),0) + IFERROR(VLOOKUP(LEFT(TRIM(MID(SUBSTITUTE($T193,";",REPT(" ",99)),298,99)),FIND(":",TRIM(MID(SUBSTITUTE($T193,";",REPT(" ",99)),298,99)))-1),Materiales!$A$2:$E$502,5,FALSE)*VALUE(MID(TRIM(MID(SUBSTITUTE($T193,";",REPT(" ",99)),298,99)),FIND(":",TRIM(MID(SUBSTITUTE($T193,";",REPT(" ",99)),298,99)))+1,99)),0) + IFERROR(VLOOKUP(LEFT(TRIM(MID(SUBSTITUTE($T193,";",REPT(" ",99)),397,99)),FIND(":",TRIM(MID(SUBSTITUTE($T193,";",REPT(" ",99)),397,99)))-1),Materiales!$A$2:$E$502,5,FALSE)*VALUE(MID(TRIM(MID(SUBSTITUTE($T193,";",REPT(" ",99)),397,99)),FIND(":",TRIM(MID(SUBSTITUTE($T193,";",REPT(" ",99)),397,99)))+1,99)),0) + IFERROR(VLOOKUP(LEFT(TRIM(MID(SUBSTITUTE($T193,";",REPT(" ",99)),496,99)),FIND(":",TRIM(MID(SUBSTITUTE($T193,";",REPT(" ",99)),496,99)))-1),Materiales!$A$2:$E$502,5,FALSE)*VALUE(MID(TRIM(MID(SUBSTITUTE($T193,";",REPT(" ",99)),496,99)),FIND(":",TRIM(MID(SUBSTITUTE($T193,";",REPT(" ",99)),496,99)))+1,99)),0) + IFERROR(VLOOKUP(LEFT(TRIM(MID(SUBSTITUTE($T193,";",REPT(" ",99)),595,99)),FIND(":",TRIM(MID(SUBSTITUTE($T193,";",REPT(" ",99)),595,99)))-1),Materiales!$A$2:$E$502,5,FALSE)*VALUE(MID(TRIM(MID(SUBSTITUTE($T193,";",REPT(" ",99)),595,99)),FIND(":",TRIM(MID(SUBSTITUTE($T193,";",REPT(" ",99)),595,99)))+1,99)),0) + IFERROR(VLOOKUP(LEFT(TRIM(MID(SUBSTITUTE($T193,";",REPT(" ",99)),694,99)),FIND(":",TRIM(MID(SUBSTITUTE($T193,";",REPT(" ",99)),694,99)))-1),Materiales!$A$2:$E$502,5,FALSE)*VALUE(MID(TRIM(MID(SUBSTITUTE($T193,";",REPT(" ",99)),694,99)),FIND(":",TRIM(MID(SUBSTITUTE($T193,";",REPT(" ",99)),694,99)))+1,99)),0) + IFERROR(VLOOKUP(LEFT(TRIM(MID(SUBSTITUTE($T193,";",REPT(" ",99)),793,99)),FIND(":",TRIM(MID(SUBSTITUTE($T193,";",REPT(" ",99)),793,99)))-1),Materiales!$A$2:$E$502,5,FALSE)*VALUE(MID(TRIM(MID(SUBSTITUTE($T193,";",REPT(" ",99)),793,99)),FIND(":",TRIM(MID(SUBSTITUTE($T193,";",REPT(" ",99)),793,99)))+1,99)),0) + IFERROR(VLOOKUP(LEFT(TRIM(MID(SUBSTITUTE($T193,";",REPT(" ",99)),892,99)),FIND(":",TRIM(MID(SUBSTITUTE($T193,";",REPT(" ",99)),892,99)))-1),Materiales!$A$2:$E$502,5,FALSE)*VALUE(MID(TRIM(MID(SUBSTITUTE($T193,";",REPT(" ",99)),892,99)),FIND(":",TRIM(MID(SUBSTITUTE($T193,";",REPT(" ",99)),892,99)))+1,99)),0)))</f>
        <v/>
      </c>
      <c r="V193" s="3"/>
      <c r="W193" s="5" t="str">
        <f t="array" ref="W193">IF($A193="","",IF($V193="",0,IFERROR(VLOOKUP(LEFT(TRIM(MID(SUBSTITUTE($V193,";",REPT(" ",99)),1,99)),FIND(":",TRIM(MID(SUBSTITUTE($V193,";",REPT(" ",99)),1,99)))-1),Materiales!$A$2:$E$502,5,FALSE)*VALUE(MID(TRIM(MID(SUBSTITUTE($V193,";",REPT(" ",99)),1,99)),FIND(":",TRIM(MID(SUBSTITUTE($V193,";",REPT(" ",99)),1,99)))+1,99)),0) + IFERROR(VLOOKUP(LEFT(TRIM(MID(SUBSTITUTE($V193,";",REPT(" ",99)),100,99)),FIND(":",TRIM(MID(SUBSTITUTE($V193,";",REPT(" ",99)),100,99)))-1),Materiales!$A$2:$E$502,5,FALSE)*VALUE(MID(TRIM(MID(SUBSTITUTE($V193,";",REPT(" ",99)),100,99)),FIND(":",TRIM(MID(SUBSTITUTE($V193,";",REPT(" ",99)),100,99)))+1,99)),0) + IFERROR(VLOOKUP(LEFT(TRIM(MID(SUBSTITUTE($V193,";",REPT(" ",99)),199,99)),FIND(":",TRIM(MID(SUBSTITUTE($V193,";",REPT(" ",99)),199,99)))-1),Materiales!$A$2:$E$502,5,FALSE)*VALUE(MID(TRIM(MID(SUBSTITUTE($V193,";",REPT(" ",99)),199,99)),FIND(":",TRIM(MID(SUBSTITUTE($V193,";",REPT(" ",99)),199,99)))+1,99)),0) + IFERROR(VLOOKUP(LEFT(TRIM(MID(SUBSTITUTE($V193,";",REPT(" ",99)),298,99)),FIND(":",TRIM(MID(SUBSTITUTE($V193,";",REPT(" ",99)),298,99)))-1),Materiales!$A$2:$E$502,5,FALSE)*VALUE(MID(TRIM(MID(SUBSTITUTE($V193,";",REPT(" ",99)),298,99)),FIND(":",TRIM(MID(SUBSTITUTE($V193,";",REPT(" ",99)),298,99)))+1,99)),0) + IFERROR(VLOOKUP(LEFT(TRIM(MID(SUBSTITUTE($V193,";",REPT(" ",99)),397,99)),FIND(":",TRIM(MID(SUBSTITUTE($V193,";",REPT(" ",99)),397,99)))-1),Materiales!$A$2:$E$502,5,FALSE)*VALUE(MID(TRIM(MID(SUBSTITUTE($V193,";",REPT(" ",99)),397,99)),FIND(":",TRIM(MID(SUBSTITUTE($V193,";",REPT(" ",99)),397,99)))+1,99)),0) + IFERROR(VLOOKUP(LEFT(TRIM(MID(SUBSTITUTE($V193,";",REPT(" ",99)),496,99)),FIND(":",TRIM(MID(SUBSTITUTE($V193,";",REPT(" ",99)),496,99)))-1),Materiales!$A$2:$E$502,5,FALSE)*VALUE(MID(TRIM(MID(SUBSTITUTE($V193,";",REPT(" ",99)),496,99)),FIND(":",TRIM(MID(SUBSTITUTE($V193,";",REPT(" ",99)),496,99)))+1,99)),0) + IFERROR(VLOOKUP(LEFT(TRIM(MID(SUBSTITUTE($V193,";",REPT(" ",99)),595,99)),FIND(":",TRIM(MID(SUBSTITUTE($V193,";",REPT(" ",99)),595,99)))-1),Materiales!$A$2:$E$502,5,FALSE)*VALUE(MID(TRIM(MID(SUBSTITUTE($V193,";",REPT(" ",99)),595,99)),FIND(":",TRIM(MID(SUBSTITUTE($V193,";",REPT(" ",99)),595,99)))+1,99)),0) + IFERROR(VLOOKUP(LEFT(TRIM(MID(SUBSTITUTE($V193,";",REPT(" ",99)),694,99)),FIND(":",TRIM(MID(SUBSTITUTE($V193,";",REPT(" ",99)),694,99)))-1),Materiales!$A$2:$E$502,5,FALSE)*VALUE(MID(TRIM(MID(SUBSTITUTE($V193,";",REPT(" ",99)),694,99)),FIND(":",TRIM(MID(SUBSTITUTE($V193,";",REPT(" ",99)),694,99)))+1,99)),0) + IFERROR(VLOOKUP(LEFT(TRIM(MID(SUBSTITUTE($V193,";",REPT(" ",99)),793,99)),FIND(":",TRIM(MID(SUBSTITUTE($V193,";",REPT(" ",99)),793,99)))-1),Materiales!$A$2:$E$502,5,FALSE)*VALUE(MID(TRIM(MID(SUBSTITUTE($V193,";",REPT(" ",99)),793,99)),FIND(":",TRIM(MID(SUBSTITUTE($V193,";",REPT(" ",99)),793,99)))+1,99)),0) + IFERROR(VLOOKUP(LEFT(TRIM(MID(SUBSTITUTE($V193,";",REPT(" ",99)),892,99)),FIND(":",TRIM(MID(SUBSTITUTE($V193,";",REPT(" ",99)),892,99)))-1),Materiales!$A$2:$E$502,5,FALSE)*VALUE(MID(TRIM(MID(SUBSTITUTE($V193,";",REPT(" ",99)),892,99)),FIND(":",TRIM(MID(SUBSTITUTE($V193,";",REPT(" ",99)),892,99)))+1,99)),0)))</f>
        <v/>
      </c>
      <c r="X193" s="39" t="str">
        <f t="shared" si="21"/>
        <v/>
      </c>
      <c r="Y193" s="64"/>
      <c r="Z193" s="67"/>
      <c r="AA193" s="65"/>
      <c r="AB193" s="14"/>
      <c r="AC193" s="66"/>
      <c r="AD193" s="65"/>
      <c r="AE193" s="44"/>
      <c r="AF193" s="45" t="str">
        <f t="shared" si="20"/>
        <v>#DIV/0!</v>
      </c>
    </row>
    <row r="194" ht="15.75" customHeight="1">
      <c r="A194" s="3"/>
      <c r="B194" s="3"/>
      <c r="C194" s="38"/>
      <c r="D194" s="38"/>
      <c r="E194" s="38"/>
      <c r="F194" s="14"/>
      <c r="G194" s="5" t="str">
        <f t="array" ref="G194">IF($A194="","",IFERROR($F194*(N($C194)*XLOOKUP($B194,Ceras!$A$2:$A$500,Ceras!$G$2:$G$500,0)+IF($D194="",0,N($E194)*XLOOKUP($D194,Ceras!$A$2:$A$500,Ceras!$G$2:$G$500,0))),"Revisar cera"))</f>
        <v/>
      </c>
      <c r="H194" s="5"/>
      <c r="I194" s="3"/>
      <c r="J194" s="14"/>
      <c r="K194" s="5" t="str">
        <f t="array" ref="K194">IF($A194="","",IFERROR($J194*XLOOKUP($I194,Pabilos!$A$2:$A$500,Pabilos!$H$2:$H$500,0),"Revisar pabilo"))</f>
        <v/>
      </c>
      <c r="L194" s="3"/>
      <c r="M194" s="14"/>
      <c r="N194" s="5" t="str">
        <f t="array" ref="N194">IF($A194="","",IFERROR($M194*XLOOKUP($L194,Esencias!$A$2:$A$501,Esencias!$G$2:$G$501,0),"Revisar esencia"))</f>
        <v/>
      </c>
      <c r="O194" s="3"/>
      <c r="P194" s="14"/>
      <c r="Q194" s="5" t="str">
        <f t="array" ref="Q194">IF($A194="","",IFERROR(IF($P194="",1,$P194)*XLOOKUP($O194,Colores!$A$2:$A$500,Colores!$H$2:$H$500,0),"Revisar color"))</f>
        <v/>
      </c>
      <c r="R194" s="3"/>
      <c r="S194" s="5" t="str">
        <f t="array" ref="S194">IF($A194="","",IF($R194="",0,IFERROR(VLOOKUP(LEFT(TRIM(MID(SUBSTITUTE($R194,";",REPT(" ",99)),1,99)),FIND(":",TRIM(MID(SUBSTITUTE($R194,";",REPT(" ",99)),1,99)))-1),Materiales!$A$2:$E$502,5,FALSE)*VALUE(MID(TRIM(MID(SUBSTITUTE($R194,";",REPT(" ",99)),1,99)),FIND(":",TRIM(MID(SUBSTITUTE($R194,";",REPT(" ",99)),1,99)))+1,99)),0) + IFERROR(VLOOKUP(LEFT(TRIM(MID(SUBSTITUTE($R194,";",REPT(" ",99)),100,99)),FIND(":",TRIM(MID(SUBSTITUTE($R194,";",REPT(" ",99)),100,99)))-1),Materiales!$A$2:$E$502,5,FALSE)*VALUE(MID(TRIM(MID(SUBSTITUTE($R194,";",REPT(" ",99)),100,99)),FIND(":",TRIM(MID(SUBSTITUTE($R194,";",REPT(" ",99)),100,99)))+1,99)),0) + IFERROR(VLOOKUP(LEFT(TRIM(MID(SUBSTITUTE($R194,";",REPT(" ",99)),199,99)),FIND(":",TRIM(MID(SUBSTITUTE($R194,";",REPT(" ",99)),199,99)))-1),Materiales!$A$2:$E$502,5,FALSE)*VALUE(MID(TRIM(MID(SUBSTITUTE($R194,";",REPT(" ",99)),199,99)),FIND(":",TRIM(MID(SUBSTITUTE($R194,";",REPT(" ",99)),199,99)))+1,99)),0) + IFERROR(VLOOKUP(LEFT(TRIM(MID(SUBSTITUTE($R194,";",REPT(" ",99)),298,99)),FIND(":",TRIM(MID(SUBSTITUTE($R194,";",REPT(" ",99)),298,99)))-1),Materiales!$A$2:$E$502,5,FALSE)*VALUE(MID(TRIM(MID(SUBSTITUTE($R194,";",REPT(" ",99)),298,99)),FIND(":",TRIM(MID(SUBSTITUTE($R194,";",REPT(" ",99)),298,99)))+1,99)),0) + IFERROR(VLOOKUP(LEFT(TRIM(MID(SUBSTITUTE($R194,";",REPT(" ",99)),397,99)),FIND(":",TRIM(MID(SUBSTITUTE($R194,";",REPT(" ",99)),397,99)))-1),Materiales!$A$2:$E$502,5,FALSE)*VALUE(MID(TRIM(MID(SUBSTITUTE($R194,";",REPT(" ",99)),397,99)),FIND(":",TRIM(MID(SUBSTITUTE($R194,";",REPT(" ",99)),397,99)))+1,99)),0) + IFERROR(VLOOKUP(LEFT(TRIM(MID(SUBSTITUTE($R194,";",REPT(" ",99)),496,99)),FIND(":",TRIM(MID(SUBSTITUTE($R194,";",REPT(" ",99)),496,99)))-1),Materiales!$A$2:$E$502,5,FALSE)*VALUE(MID(TRIM(MID(SUBSTITUTE($R194,";",REPT(" ",99)),496,99)),FIND(":",TRIM(MID(SUBSTITUTE($R194,";",REPT(" ",99)),496,99)))+1,99)),0) + IFERROR(VLOOKUP(LEFT(TRIM(MID(SUBSTITUTE($R194,";",REPT(" ",99)),595,99)),FIND(":",TRIM(MID(SUBSTITUTE($R194,";",REPT(" ",99)),595,99)))-1),Materiales!$A$2:$E$502,5,FALSE)*VALUE(MID(TRIM(MID(SUBSTITUTE($R194,";",REPT(" ",99)),595,99)),FIND(":",TRIM(MID(SUBSTITUTE($R194,";",REPT(" ",99)),595,99)))+1,99)),0) + IFERROR(VLOOKUP(LEFT(TRIM(MID(SUBSTITUTE($R194,";",REPT(" ",99)),694,99)),FIND(":",TRIM(MID(SUBSTITUTE($R194,";",REPT(" ",99)),694,99)))-1),Materiales!$A$2:$E$502,5,FALSE)*VALUE(MID(TRIM(MID(SUBSTITUTE($R194,";",REPT(" ",99)),694,99)),FIND(":",TRIM(MID(SUBSTITUTE($R194,";",REPT(" ",99)),694,99)))+1,99)),0) + IFERROR(VLOOKUP(LEFT(TRIM(MID(SUBSTITUTE($R194,";",REPT(" ",99)),793,99)),FIND(":",TRIM(MID(SUBSTITUTE($R194,";",REPT(" ",99)),793,99)))-1),Materiales!$A$2:$E$502,5,FALSE)*VALUE(MID(TRIM(MID(SUBSTITUTE($R194,";",REPT(" ",99)),793,99)),FIND(":",TRIM(MID(SUBSTITUTE($R194,";",REPT(" ",99)),793,99)))+1,99)),0) + IFERROR(VLOOKUP(LEFT(TRIM(MID(SUBSTITUTE($R194,";",REPT(" ",99)),892,99)),FIND(":",TRIM(MID(SUBSTITUTE($R194,";",REPT(" ",99)),892,99)))-1),Materiales!$A$2:$E$502,5,FALSE)*VALUE(MID(TRIM(MID(SUBSTITUTE($R194,";",REPT(" ",99)),892,99)),FIND(":",TRIM(MID(SUBSTITUTE($R194,";",REPT(" ",99)),892,99)))+1,99)),0)))</f>
        <v/>
      </c>
      <c r="T194" s="3"/>
      <c r="U194" s="5" t="str">
        <f t="array" ref="U194">IF($A194="","",IF($T194="",0,IFERROR(VLOOKUP(LEFT(TRIM(MID(SUBSTITUTE($T194,";",REPT(" ",99)),1,99)),FIND(":",TRIM(MID(SUBSTITUTE($T194,";",REPT(" ",99)),1,99)))-1),Materiales!$A$2:$E$502,5,FALSE)*VALUE(MID(TRIM(MID(SUBSTITUTE($T194,";",REPT(" ",99)),1,99)),FIND(":",TRIM(MID(SUBSTITUTE($T194,";",REPT(" ",99)),1,99)))+1,99)),0) + IFERROR(VLOOKUP(LEFT(TRIM(MID(SUBSTITUTE($T194,";",REPT(" ",99)),100,99)),FIND(":",TRIM(MID(SUBSTITUTE($T194,";",REPT(" ",99)),100,99)))-1),Materiales!$A$2:$E$502,5,FALSE)*VALUE(MID(TRIM(MID(SUBSTITUTE($T194,";",REPT(" ",99)),100,99)),FIND(":",TRIM(MID(SUBSTITUTE($T194,";",REPT(" ",99)),100,99)))+1,99)),0) + IFERROR(VLOOKUP(LEFT(TRIM(MID(SUBSTITUTE($T194,";",REPT(" ",99)),199,99)),FIND(":",TRIM(MID(SUBSTITUTE($T194,";",REPT(" ",99)),199,99)))-1),Materiales!$A$2:$E$502,5,FALSE)*VALUE(MID(TRIM(MID(SUBSTITUTE($T194,";",REPT(" ",99)),199,99)),FIND(":",TRIM(MID(SUBSTITUTE($T194,";",REPT(" ",99)),199,99)))+1,99)),0) + IFERROR(VLOOKUP(LEFT(TRIM(MID(SUBSTITUTE($T194,";",REPT(" ",99)),298,99)),FIND(":",TRIM(MID(SUBSTITUTE($T194,";",REPT(" ",99)),298,99)))-1),Materiales!$A$2:$E$502,5,FALSE)*VALUE(MID(TRIM(MID(SUBSTITUTE($T194,";",REPT(" ",99)),298,99)),FIND(":",TRIM(MID(SUBSTITUTE($T194,";",REPT(" ",99)),298,99)))+1,99)),0) + IFERROR(VLOOKUP(LEFT(TRIM(MID(SUBSTITUTE($T194,";",REPT(" ",99)),397,99)),FIND(":",TRIM(MID(SUBSTITUTE($T194,";",REPT(" ",99)),397,99)))-1),Materiales!$A$2:$E$502,5,FALSE)*VALUE(MID(TRIM(MID(SUBSTITUTE($T194,";",REPT(" ",99)),397,99)),FIND(":",TRIM(MID(SUBSTITUTE($T194,";",REPT(" ",99)),397,99)))+1,99)),0) + IFERROR(VLOOKUP(LEFT(TRIM(MID(SUBSTITUTE($T194,";",REPT(" ",99)),496,99)),FIND(":",TRIM(MID(SUBSTITUTE($T194,";",REPT(" ",99)),496,99)))-1),Materiales!$A$2:$E$502,5,FALSE)*VALUE(MID(TRIM(MID(SUBSTITUTE($T194,";",REPT(" ",99)),496,99)),FIND(":",TRIM(MID(SUBSTITUTE($T194,";",REPT(" ",99)),496,99)))+1,99)),0) + IFERROR(VLOOKUP(LEFT(TRIM(MID(SUBSTITUTE($T194,";",REPT(" ",99)),595,99)),FIND(":",TRIM(MID(SUBSTITUTE($T194,";",REPT(" ",99)),595,99)))-1),Materiales!$A$2:$E$502,5,FALSE)*VALUE(MID(TRIM(MID(SUBSTITUTE($T194,";",REPT(" ",99)),595,99)),FIND(":",TRIM(MID(SUBSTITUTE($T194,";",REPT(" ",99)),595,99)))+1,99)),0) + IFERROR(VLOOKUP(LEFT(TRIM(MID(SUBSTITUTE($T194,";",REPT(" ",99)),694,99)),FIND(":",TRIM(MID(SUBSTITUTE($T194,";",REPT(" ",99)),694,99)))-1),Materiales!$A$2:$E$502,5,FALSE)*VALUE(MID(TRIM(MID(SUBSTITUTE($T194,";",REPT(" ",99)),694,99)),FIND(":",TRIM(MID(SUBSTITUTE($T194,";",REPT(" ",99)),694,99)))+1,99)),0) + IFERROR(VLOOKUP(LEFT(TRIM(MID(SUBSTITUTE($T194,";",REPT(" ",99)),793,99)),FIND(":",TRIM(MID(SUBSTITUTE($T194,";",REPT(" ",99)),793,99)))-1),Materiales!$A$2:$E$502,5,FALSE)*VALUE(MID(TRIM(MID(SUBSTITUTE($T194,";",REPT(" ",99)),793,99)),FIND(":",TRIM(MID(SUBSTITUTE($T194,";",REPT(" ",99)),793,99)))+1,99)),0) + IFERROR(VLOOKUP(LEFT(TRIM(MID(SUBSTITUTE($T194,";",REPT(" ",99)),892,99)),FIND(":",TRIM(MID(SUBSTITUTE($T194,";",REPT(" ",99)),892,99)))-1),Materiales!$A$2:$E$502,5,FALSE)*VALUE(MID(TRIM(MID(SUBSTITUTE($T194,";",REPT(" ",99)),892,99)),FIND(":",TRIM(MID(SUBSTITUTE($T194,";",REPT(" ",99)),892,99)))+1,99)),0)))</f>
        <v/>
      </c>
      <c r="V194" s="3"/>
      <c r="W194" s="5" t="str">
        <f t="array" ref="W194">IF($A194="","",IF($V194="",0,IFERROR(VLOOKUP(LEFT(TRIM(MID(SUBSTITUTE($V194,";",REPT(" ",99)),1,99)),FIND(":",TRIM(MID(SUBSTITUTE($V194,";",REPT(" ",99)),1,99)))-1),Materiales!$A$2:$E$502,5,FALSE)*VALUE(MID(TRIM(MID(SUBSTITUTE($V194,";",REPT(" ",99)),1,99)),FIND(":",TRIM(MID(SUBSTITUTE($V194,";",REPT(" ",99)),1,99)))+1,99)),0) + IFERROR(VLOOKUP(LEFT(TRIM(MID(SUBSTITUTE($V194,";",REPT(" ",99)),100,99)),FIND(":",TRIM(MID(SUBSTITUTE($V194,";",REPT(" ",99)),100,99)))-1),Materiales!$A$2:$E$502,5,FALSE)*VALUE(MID(TRIM(MID(SUBSTITUTE($V194,";",REPT(" ",99)),100,99)),FIND(":",TRIM(MID(SUBSTITUTE($V194,";",REPT(" ",99)),100,99)))+1,99)),0) + IFERROR(VLOOKUP(LEFT(TRIM(MID(SUBSTITUTE($V194,";",REPT(" ",99)),199,99)),FIND(":",TRIM(MID(SUBSTITUTE($V194,";",REPT(" ",99)),199,99)))-1),Materiales!$A$2:$E$502,5,FALSE)*VALUE(MID(TRIM(MID(SUBSTITUTE($V194,";",REPT(" ",99)),199,99)),FIND(":",TRIM(MID(SUBSTITUTE($V194,";",REPT(" ",99)),199,99)))+1,99)),0) + IFERROR(VLOOKUP(LEFT(TRIM(MID(SUBSTITUTE($V194,";",REPT(" ",99)),298,99)),FIND(":",TRIM(MID(SUBSTITUTE($V194,";",REPT(" ",99)),298,99)))-1),Materiales!$A$2:$E$502,5,FALSE)*VALUE(MID(TRIM(MID(SUBSTITUTE($V194,";",REPT(" ",99)),298,99)),FIND(":",TRIM(MID(SUBSTITUTE($V194,";",REPT(" ",99)),298,99)))+1,99)),0) + IFERROR(VLOOKUP(LEFT(TRIM(MID(SUBSTITUTE($V194,";",REPT(" ",99)),397,99)),FIND(":",TRIM(MID(SUBSTITUTE($V194,";",REPT(" ",99)),397,99)))-1),Materiales!$A$2:$E$502,5,FALSE)*VALUE(MID(TRIM(MID(SUBSTITUTE($V194,";",REPT(" ",99)),397,99)),FIND(":",TRIM(MID(SUBSTITUTE($V194,";",REPT(" ",99)),397,99)))+1,99)),0) + IFERROR(VLOOKUP(LEFT(TRIM(MID(SUBSTITUTE($V194,";",REPT(" ",99)),496,99)),FIND(":",TRIM(MID(SUBSTITUTE($V194,";",REPT(" ",99)),496,99)))-1),Materiales!$A$2:$E$502,5,FALSE)*VALUE(MID(TRIM(MID(SUBSTITUTE($V194,";",REPT(" ",99)),496,99)),FIND(":",TRIM(MID(SUBSTITUTE($V194,";",REPT(" ",99)),496,99)))+1,99)),0) + IFERROR(VLOOKUP(LEFT(TRIM(MID(SUBSTITUTE($V194,";",REPT(" ",99)),595,99)),FIND(":",TRIM(MID(SUBSTITUTE($V194,";",REPT(" ",99)),595,99)))-1),Materiales!$A$2:$E$502,5,FALSE)*VALUE(MID(TRIM(MID(SUBSTITUTE($V194,";",REPT(" ",99)),595,99)),FIND(":",TRIM(MID(SUBSTITUTE($V194,";",REPT(" ",99)),595,99)))+1,99)),0) + IFERROR(VLOOKUP(LEFT(TRIM(MID(SUBSTITUTE($V194,";",REPT(" ",99)),694,99)),FIND(":",TRIM(MID(SUBSTITUTE($V194,";",REPT(" ",99)),694,99)))-1),Materiales!$A$2:$E$502,5,FALSE)*VALUE(MID(TRIM(MID(SUBSTITUTE($V194,";",REPT(" ",99)),694,99)),FIND(":",TRIM(MID(SUBSTITUTE($V194,";",REPT(" ",99)),694,99)))+1,99)),0) + IFERROR(VLOOKUP(LEFT(TRIM(MID(SUBSTITUTE($V194,";",REPT(" ",99)),793,99)),FIND(":",TRIM(MID(SUBSTITUTE($V194,";",REPT(" ",99)),793,99)))-1),Materiales!$A$2:$E$502,5,FALSE)*VALUE(MID(TRIM(MID(SUBSTITUTE($V194,";",REPT(" ",99)),793,99)),FIND(":",TRIM(MID(SUBSTITUTE($V194,";",REPT(" ",99)),793,99)))+1,99)),0) + IFERROR(VLOOKUP(LEFT(TRIM(MID(SUBSTITUTE($V194,";",REPT(" ",99)),892,99)),FIND(":",TRIM(MID(SUBSTITUTE($V194,";",REPT(" ",99)),892,99)))-1),Materiales!$A$2:$E$502,5,FALSE)*VALUE(MID(TRIM(MID(SUBSTITUTE($V194,";",REPT(" ",99)),892,99)),FIND(":",TRIM(MID(SUBSTITUTE($V194,";",REPT(" ",99)),892,99)))+1,99)),0)))</f>
        <v/>
      </c>
      <c r="X194" s="39" t="str">
        <f t="shared" si="21"/>
        <v/>
      </c>
      <c r="Y194" s="64"/>
      <c r="Z194" s="67"/>
      <c r="AA194" s="65"/>
      <c r="AB194" s="14"/>
      <c r="AC194" s="66"/>
      <c r="AD194" s="65"/>
      <c r="AE194" s="44"/>
      <c r="AF194" s="45" t="str">
        <f t="shared" si="20"/>
        <v>#DIV/0!</v>
      </c>
    </row>
    <row r="195" ht="15.75" customHeight="1">
      <c r="A195" s="3"/>
      <c r="B195" s="3"/>
      <c r="C195" s="38"/>
      <c r="D195" s="38"/>
      <c r="E195" s="38"/>
      <c r="F195" s="14"/>
      <c r="G195" s="5" t="str">
        <f t="array" ref="G195">IF($A195="","",IFERROR($F195*(N($C195)*XLOOKUP($B195,Ceras!$A$2:$A$500,Ceras!$G$2:$G$500,0)+IF($D195="",0,N($E195)*XLOOKUP($D195,Ceras!$A$2:$A$500,Ceras!$G$2:$G$500,0))),"Revisar cera"))</f>
        <v/>
      </c>
      <c r="H195" s="5"/>
      <c r="I195" s="3"/>
      <c r="J195" s="14"/>
      <c r="K195" s="5" t="str">
        <f t="array" ref="K195">IF($A195="","",IFERROR($J195*XLOOKUP($I195,Pabilos!$A$2:$A$500,Pabilos!$H$2:$H$500,0),"Revisar pabilo"))</f>
        <v/>
      </c>
      <c r="L195" s="3"/>
      <c r="M195" s="14"/>
      <c r="N195" s="5" t="str">
        <f t="array" ref="N195">IF($A195="","",IFERROR($M195*XLOOKUP($L195,Esencias!$A$2:$A$501,Esencias!$G$2:$G$501,0),"Revisar esencia"))</f>
        <v/>
      </c>
      <c r="O195" s="3"/>
      <c r="P195" s="14"/>
      <c r="Q195" s="5" t="str">
        <f t="array" ref="Q195">IF($A195="","",IFERROR(IF($P195="",1,$P195)*XLOOKUP($O195,Colores!$A$2:$A$500,Colores!$H$2:$H$500,0),"Revisar color"))</f>
        <v/>
      </c>
      <c r="R195" s="3"/>
      <c r="S195" s="5" t="str">
        <f t="array" ref="S195">IF($A195="","",IF($R195="",0,IFERROR(VLOOKUP(LEFT(TRIM(MID(SUBSTITUTE($R195,";",REPT(" ",99)),1,99)),FIND(":",TRIM(MID(SUBSTITUTE($R195,";",REPT(" ",99)),1,99)))-1),Materiales!$A$2:$E$502,5,FALSE)*VALUE(MID(TRIM(MID(SUBSTITUTE($R195,";",REPT(" ",99)),1,99)),FIND(":",TRIM(MID(SUBSTITUTE($R195,";",REPT(" ",99)),1,99)))+1,99)),0) + IFERROR(VLOOKUP(LEFT(TRIM(MID(SUBSTITUTE($R195,";",REPT(" ",99)),100,99)),FIND(":",TRIM(MID(SUBSTITUTE($R195,";",REPT(" ",99)),100,99)))-1),Materiales!$A$2:$E$502,5,FALSE)*VALUE(MID(TRIM(MID(SUBSTITUTE($R195,";",REPT(" ",99)),100,99)),FIND(":",TRIM(MID(SUBSTITUTE($R195,";",REPT(" ",99)),100,99)))+1,99)),0) + IFERROR(VLOOKUP(LEFT(TRIM(MID(SUBSTITUTE($R195,";",REPT(" ",99)),199,99)),FIND(":",TRIM(MID(SUBSTITUTE($R195,";",REPT(" ",99)),199,99)))-1),Materiales!$A$2:$E$502,5,FALSE)*VALUE(MID(TRIM(MID(SUBSTITUTE($R195,";",REPT(" ",99)),199,99)),FIND(":",TRIM(MID(SUBSTITUTE($R195,";",REPT(" ",99)),199,99)))+1,99)),0) + IFERROR(VLOOKUP(LEFT(TRIM(MID(SUBSTITUTE($R195,";",REPT(" ",99)),298,99)),FIND(":",TRIM(MID(SUBSTITUTE($R195,";",REPT(" ",99)),298,99)))-1),Materiales!$A$2:$E$502,5,FALSE)*VALUE(MID(TRIM(MID(SUBSTITUTE($R195,";",REPT(" ",99)),298,99)),FIND(":",TRIM(MID(SUBSTITUTE($R195,";",REPT(" ",99)),298,99)))+1,99)),0) + IFERROR(VLOOKUP(LEFT(TRIM(MID(SUBSTITUTE($R195,";",REPT(" ",99)),397,99)),FIND(":",TRIM(MID(SUBSTITUTE($R195,";",REPT(" ",99)),397,99)))-1),Materiales!$A$2:$E$502,5,FALSE)*VALUE(MID(TRIM(MID(SUBSTITUTE($R195,";",REPT(" ",99)),397,99)),FIND(":",TRIM(MID(SUBSTITUTE($R195,";",REPT(" ",99)),397,99)))+1,99)),0) + IFERROR(VLOOKUP(LEFT(TRIM(MID(SUBSTITUTE($R195,";",REPT(" ",99)),496,99)),FIND(":",TRIM(MID(SUBSTITUTE($R195,";",REPT(" ",99)),496,99)))-1),Materiales!$A$2:$E$502,5,FALSE)*VALUE(MID(TRIM(MID(SUBSTITUTE($R195,";",REPT(" ",99)),496,99)),FIND(":",TRIM(MID(SUBSTITUTE($R195,";",REPT(" ",99)),496,99)))+1,99)),0) + IFERROR(VLOOKUP(LEFT(TRIM(MID(SUBSTITUTE($R195,";",REPT(" ",99)),595,99)),FIND(":",TRIM(MID(SUBSTITUTE($R195,";",REPT(" ",99)),595,99)))-1),Materiales!$A$2:$E$502,5,FALSE)*VALUE(MID(TRIM(MID(SUBSTITUTE($R195,";",REPT(" ",99)),595,99)),FIND(":",TRIM(MID(SUBSTITUTE($R195,";",REPT(" ",99)),595,99)))+1,99)),0) + IFERROR(VLOOKUP(LEFT(TRIM(MID(SUBSTITUTE($R195,";",REPT(" ",99)),694,99)),FIND(":",TRIM(MID(SUBSTITUTE($R195,";",REPT(" ",99)),694,99)))-1),Materiales!$A$2:$E$502,5,FALSE)*VALUE(MID(TRIM(MID(SUBSTITUTE($R195,";",REPT(" ",99)),694,99)),FIND(":",TRIM(MID(SUBSTITUTE($R195,";",REPT(" ",99)),694,99)))+1,99)),0) + IFERROR(VLOOKUP(LEFT(TRIM(MID(SUBSTITUTE($R195,";",REPT(" ",99)),793,99)),FIND(":",TRIM(MID(SUBSTITUTE($R195,";",REPT(" ",99)),793,99)))-1),Materiales!$A$2:$E$502,5,FALSE)*VALUE(MID(TRIM(MID(SUBSTITUTE($R195,";",REPT(" ",99)),793,99)),FIND(":",TRIM(MID(SUBSTITUTE($R195,";",REPT(" ",99)),793,99)))+1,99)),0) + IFERROR(VLOOKUP(LEFT(TRIM(MID(SUBSTITUTE($R195,";",REPT(" ",99)),892,99)),FIND(":",TRIM(MID(SUBSTITUTE($R195,";",REPT(" ",99)),892,99)))-1),Materiales!$A$2:$E$502,5,FALSE)*VALUE(MID(TRIM(MID(SUBSTITUTE($R195,";",REPT(" ",99)),892,99)),FIND(":",TRIM(MID(SUBSTITUTE($R195,";",REPT(" ",99)),892,99)))+1,99)),0)))</f>
        <v/>
      </c>
      <c r="T195" s="3"/>
      <c r="U195" s="5" t="str">
        <f t="array" ref="U195">IF($A195="","",IF($T195="",0,IFERROR(VLOOKUP(LEFT(TRIM(MID(SUBSTITUTE($T195,";",REPT(" ",99)),1,99)),FIND(":",TRIM(MID(SUBSTITUTE($T195,";",REPT(" ",99)),1,99)))-1),Materiales!$A$2:$E$502,5,FALSE)*VALUE(MID(TRIM(MID(SUBSTITUTE($T195,";",REPT(" ",99)),1,99)),FIND(":",TRIM(MID(SUBSTITUTE($T195,";",REPT(" ",99)),1,99)))+1,99)),0) + IFERROR(VLOOKUP(LEFT(TRIM(MID(SUBSTITUTE($T195,";",REPT(" ",99)),100,99)),FIND(":",TRIM(MID(SUBSTITUTE($T195,";",REPT(" ",99)),100,99)))-1),Materiales!$A$2:$E$502,5,FALSE)*VALUE(MID(TRIM(MID(SUBSTITUTE($T195,";",REPT(" ",99)),100,99)),FIND(":",TRIM(MID(SUBSTITUTE($T195,";",REPT(" ",99)),100,99)))+1,99)),0) + IFERROR(VLOOKUP(LEFT(TRIM(MID(SUBSTITUTE($T195,";",REPT(" ",99)),199,99)),FIND(":",TRIM(MID(SUBSTITUTE($T195,";",REPT(" ",99)),199,99)))-1),Materiales!$A$2:$E$502,5,FALSE)*VALUE(MID(TRIM(MID(SUBSTITUTE($T195,";",REPT(" ",99)),199,99)),FIND(":",TRIM(MID(SUBSTITUTE($T195,";",REPT(" ",99)),199,99)))+1,99)),0) + IFERROR(VLOOKUP(LEFT(TRIM(MID(SUBSTITUTE($T195,";",REPT(" ",99)),298,99)),FIND(":",TRIM(MID(SUBSTITUTE($T195,";",REPT(" ",99)),298,99)))-1),Materiales!$A$2:$E$502,5,FALSE)*VALUE(MID(TRIM(MID(SUBSTITUTE($T195,";",REPT(" ",99)),298,99)),FIND(":",TRIM(MID(SUBSTITUTE($T195,";",REPT(" ",99)),298,99)))+1,99)),0) + IFERROR(VLOOKUP(LEFT(TRIM(MID(SUBSTITUTE($T195,";",REPT(" ",99)),397,99)),FIND(":",TRIM(MID(SUBSTITUTE($T195,";",REPT(" ",99)),397,99)))-1),Materiales!$A$2:$E$502,5,FALSE)*VALUE(MID(TRIM(MID(SUBSTITUTE($T195,";",REPT(" ",99)),397,99)),FIND(":",TRIM(MID(SUBSTITUTE($T195,";",REPT(" ",99)),397,99)))+1,99)),0) + IFERROR(VLOOKUP(LEFT(TRIM(MID(SUBSTITUTE($T195,";",REPT(" ",99)),496,99)),FIND(":",TRIM(MID(SUBSTITUTE($T195,";",REPT(" ",99)),496,99)))-1),Materiales!$A$2:$E$502,5,FALSE)*VALUE(MID(TRIM(MID(SUBSTITUTE($T195,";",REPT(" ",99)),496,99)),FIND(":",TRIM(MID(SUBSTITUTE($T195,";",REPT(" ",99)),496,99)))+1,99)),0) + IFERROR(VLOOKUP(LEFT(TRIM(MID(SUBSTITUTE($T195,";",REPT(" ",99)),595,99)),FIND(":",TRIM(MID(SUBSTITUTE($T195,";",REPT(" ",99)),595,99)))-1),Materiales!$A$2:$E$502,5,FALSE)*VALUE(MID(TRIM(MID(SUBSTITUTE($T195,";",REPT(" ",99)),595,99)),FIND(":",TRIM(MID(SUBSTITUTE($T195,";",REPT(" ",99)),595,99)))+1,99)),0) + IFERROR(VLOOKUP(LEFT(TRIM(MID(SUBSTITUTE($T195,";",REPT(" ",99)),694,99)),FIND(":",TRIM(MID(SUBSTITUTE($T195,";",REPT(" ",99)),694,99)))-1),Materiales!$A$2:$E$502,5,FALSE)*VALUE(MID(TRIM(MID(SUBSTITUTE($T195,";",REPT(" ",99)),694,99)),FIND(":",TRIM(MID(SUBSTITUTE($T195,";",REPT(" ",99)),694,99)))+1,99)),0) + IFERROR(VLOOKUP(LEFT(TRIM(MID(SUBSTITUTE($T195,";",REPT(" ",99)),793,99)),FIND(":",TRIM(MID(SUBSTITUTE($T195,";",REPT(" ",99)),793,99)))-1),Materiales!$A$2:$E$502,5,FALSE)*VALUE(MID(TRIM(MID(SUBSTITUTE($T195,";",REPT(" ",99)),793,99)),FIND(":",TRIM(MID(SUBSTITUTE($T195,";",REPT(" ",99)),793,99)))+1,99)),0) + IFERROR(VLOOKUP(LEFT(TRIM(MID(SUBSTITUTE($T195,";",REPT(" ",99)),892,99)),FIND(":",TRIM(MID(SUBSTITUTE($T195,";",REPT(" ",99)),892,99)))-1),Materiales!$A$2:$E$502,5,FALSE)*VALUE(MID(TRIM(MID(SUBSTITUTE($T195,";",REPT(" ",99)),892,99)),FIND(":",TRIM(MID(SUBSTITUTE($T195,";",REPT(" ",99)),892,99)))+1,99)),0)))</f>
        <v/>
      </c>
      <c r="V195" s="3"/>
      <c r="W195" s="5" t="str">
        <f t="array" ref="W195">IF($A195="","",IF($V195="",0,IFERROR(VLOOKUP(LEFT(TRIM(MID(SUBSTITUTE($V195,";",REPT(" ",99)),1,99)),FIND(":",TRIM(MID(SUBSTITUTE($V195,";",REPT(" ",99)),1,99)))-1),Materiales!$A$2:$E$502,5,FALSE)*VALUE(MID(TRIM(MID(SUBSTITUTE($V195,";",REPT(" ",99)),1,99)),FIND(":",TRIM(MID(SUBSTITUTE($V195,";",REPT(" ",99)),1,99)))+1,99)),0) + IFERROR(VLOOKUP(LEFT(TRIM(MID(SUBSTITUTE($V195,";",REPT(" ",99)),100,99)),FIND(":",TRIM(MID(SUBSTITUTE($V195,";",REPT(" ",99)),100,99)))-1),Materiales!$A$2:$E$502,5,FALSE)*VALUE(MID(TRIM(MID(SUBSTITUTE($V195,";",REPT(" ",99)),100,99)),FIND(":",TRIM(MID(SUBSTITUTE($V195,";",REPT(" ",99)),100,99)))+1,99)),0) + IFERROR(VLOOKUP(LEFT(TRIM(MID(SUBSTITUTE($V195,";",REPT(" ",99)),199,99)),FIND(":",TRIM(MID(SUBSTITUTE($V195,";",REPT(" ",99)),199,99)))-1),Materiales!$A$2:$E$502,5,FALSE)*VALUE(MID(TRIM(MID(SUBSTITUTE($V195,";",REPT(" ",99)),199,99)),FIND(":",TRIM(MID(SUBSTITUTE($V195,";",REPT(" ",99)),199,99)))+1,99)),0) + IFERROR(VLOOKUP(LEFT(TRIM(MID(SUBSTITUTE($V195,";",REPT(" ",99)),298,99)),FIND(":",TRIM(MID(SUBSTITUTE($V195,";",REPT(" ",99)),298,99)))-1),Materiales!$A$2:$E$502,5,FALSE)*VALUE(MID(TRIM(MID(SUBSTITUTE($V195,";",REPT(" ",99)),298,99)),FIND(":",TRIM(MID(SUBSTITUTE($V195,";",REPT(" ",99)),298,99)))+1,99)),0) + IFERROR(VLOOKUP(LEFT(TRIM(MID(SUBSTITUTE($V195,";",REPT(" ",99)),397,99)),FIND(":",TRIM(MID(SUBSTITUTE($V195,";",REPT(" ",99)),397,99)))-1),Materiales!$A$2:$E$502,5,FALSE)*VALUE(MID(TRIM(MID(SUBSTITUTE($V195,";",REPT(" ",99)),397,99)),FIND(":",TRIM(MID(SUBSTITUTE($V195,";",REPT(" ",99)),397,99)))+1,99)),0) + IFERROR(VLOOKUP(LEFT(TRIM(MID(SUBSTITUTE($V195,";",REPT(" ",99)),496,99)),FIND(":",TRIM(MID(SUBSTITUTE($V195,";",REPT(" ",99)),496,99)))-1),Materiales!$A$2:$E$502,5,FALSE)*VALUE(MID(TRIM(MID(SUBSTITUTE($V195,";",REPT(" ",99)),496,99)),FIND(":",TRIM(MID(SUBSTITUTE($V195,";",REPT(" ",99)),496,99)))+1,99)),0) + IFERROR(VLOOKUP(LEFT(TRIM(MID(SUBSTITUTE($V195,";",REPT(" ",99)),595,99)),FIND(":",TRIM(MID(SUBSTITUTE($V195,";",REPT(" ",99)),595,99)))-1),Materiales!$A$2:$E$502,5,FALSE)*VALUE(MID(TRIM(MID(SUBSTITUTE($V195,";",REPT(" ",99)),595,99)),FIND(":",TRIM(MID(SUBSTITUTE($V195,";",REPT(" ",99)),595,99)))+1,99)),0) + IFERROR(VLOOKUP(LEFT(TRIM(MID(SUBSTITUTE($V195,";",REPT(" ",99)),694,99)),FIND(":",TRIM(MID(SUBSTITUTE($V195,";",REPT(" ",99)),694,99)))-1),Materiales!$A$2:$E$502,5,FALSE)*VALUE(MID(TRIM(MID(SUBSTITUTE($V195,";",REPT(" ",99)),694,99)),FIND(":",TRIM(MID(SUBSTITUTE($V195,";",REPT(" ",99)),694,99)))+1,99)),0) + IFERROR(VLOOKUP(LEFT(TRIM(MID(SUBSTITUTE($V195,";",REPT(" ",99)),793,99)),FIND(":",TRIM(MID(SUBSTITUTE($V195,";",REPT(" ",99)),793,99)))-1),Materiales!$A$2:$E$502,5,FALSE)*VALUE(MID(TRIM(MID(SUBSTITUTE($V195,";",REPT(" ",99)),793,99)),FIND(":",TRIM(MID(SUBSTITUTE($V195,";",REPT(" ",99)),793,99)))+1,99)),0) + IFERROR(VLOOKUP(LEFT(TRIM(MID(SUBSTITUTE($V195,";",REPT(" ",99)),892,99)),FIND(":",TRIM(MID(SUBSTITUTE($V195,";",REPT(" ",99)),892,99)))-1),Materiales!$A$2:$E$502,5,FALSE)*VALUE(MID(TRIM(MID(SUBSTITUTE($V195,";",REPT(" ",99)),892,99)),FIND(":",TRIM(MID(SUBSTITUTE($V195,";",REPT(" ",99)),892,99)))+1,99)),0)))</f>
        <v/>
      </c>
      <c r="X195" s="39" t="str">
        <f t="shared" si="21"/>
        <v/>
      </c>
      <c r="Y195" s="64"/>
      <c r="Z195" s="67"/>
      <c r="AA195" s="65"/>
      <c r="AB195" s="14"/>
      <c r="AC195" s="66"/>
      <c r="AD195" s="65"/>
      <c r="AE195" s="44"/>
      <c r="AF195" s="45" t="str">
        <f t="shared" si="20"/>
        <v>#DIV/0!</v>
      </c>
    </row>
    <row r="196" ht="15.75" customHeight="1">
      <c r="A196" s="3"/>
      <c r="B196" s="3"/>
      <c r="C196" s="38"/>
      <c r="D196" s="38"/>
      <c r="E196" s="38"/>
      <c r="F196" s="14"/>
      <c r="G196" s="5" t="str">
        <f t="array" ref="G196">IF($A196="","",IFERROR($F196*(N($C196)*XLOOKUP($B196,Ceras!$A$2:$A$500,Ceras!$G$2:$G$500,0)+IF($D196="",0,N($E196)*XLOOKUP($D196,Ceras!$A$2:$A$500,Ceras!$G$2:$G$500,0))),"Revisar cera"))</f>
        <v/>
      </c>
      <c r="H196" s="5"/>
      <c r="I196" s="3"/>
      <c r="J196" s="14"/>
      <c r="K196" s="5" t="str">
        <f t="array" ref="K196">IF($A196="","",IFERROR($J196*XLOOKUP($I196,Pabilos!$A$2:$A$500,Pabilos!$H$2:$H$500,0),"Revisar pabilo"))</f>
        <v/>
      </c>
      <c r="L196" s="3"/>
      <c r="M196" s="14"/>
      <c r="N196" s="5" t="str">
        <f t="array" ref="N196">IF($A196="","",IFERROR($M196*XLOOKUP($L196,Esencias!$A$2:$A$501,Esencias!$G$2:$G$501,0),"Revisar esencia"))</f>
        <v/>
      </c>
      <c r="O196" s="3"/>
      <c r="P196" s="14"/>
      <c r="Q196" s="5" t="str">
        <f t="array" ref="Q196">IF($A196="","",IFERROR(IF($P196="",1,$P196)*XLOOKUP($O196,Colores!$A$2:$A$500,Colores!$H$2:$H$500,0),"Revisar color"))</f>
        <v/>
      </c>
      <c r="R196" s="3"/>
      <c r="S196" s="5" t="str">
        <f t="array" ref="S196">IF($A196="","",IF($R196="",0,IFERROR(VLOOKUP(LEFT(TRIM(MID(SUBSTITUTE($R196,";",REPT(" ",99)),1,99)),FIND(":",TRIM(MID(SUBSTITUTE($R196,";",REPT(" ",99)),1,99)))-1),Materiales!$A$2:$E$502,5,FALSE)*VALUE(MID(TRIM(MID(SUBSTITUTE($R196,";",REPT(" ",99)),1,99)),FIND(":",TRIM(MID(SUBSTITUTE($R196,";",REPT(" ",99)),1,99)))+1,99)),0) + IFERROR(VLOOKUP(LEFT(TRIM(MID(SUBSTITUTE($R196,";",REPT(" ",99)),100,99)),FIND(":",TRIM(MID(SUBSTITUTE($R196,";",REPT(" ",99)),100,99)))-1),Materiales!$A$2:$E$502,5,FALSE)*VALUE(MID(TRIM(MID(SUBSTITUTE($R196,";",REPT(" ",99)),100,99)),FIND(":",TRIM(MID(SUBSTITUTE($R196,";",REPT(" ",99)),100,99)))+1,99)),0) + IFERROR(VLOOKUP(LEFT(TRIM(MID(SUBSTITUTE($R196,";",REPT(" ",99)),199,99)),FIND(":",TRIM(MID(SUBSTITUTE($R196,";",REPT(" ",99)),199,99)))-1),Materiales!$A$2:$E$502,5,FALSE)*VALUE(MID(TRIM(MID(SUBSTITUTE($R196,";",REPT(" ",99)),199,99)),FIND(":",TRIM(MID(SUBSTITUTE($R196,";",REPT(" ",99)),199,99)))+1,99)),0) + IFERROR(VLOOKUP(LEFT(TRIM(MID(SUBSTITUTE($R196,";",REPT(" ",99)),298,99)),FIND(":",TRIM(MID(SUBSTITUTE($R196,";",REPT(" ",99)),298,99)))-1),Materiales!$A$2:$E$502,5,FALSE)*VALUE(MID(TRIM(MID(SUBSTITUTE($R196,";",REPT(" ",99)),298,99)),FIND(":",TRIM(MID(SUBSTITUTE($R196,";",REPT(" ",99)),298,99)))+1,99)),0) + IFERROR(VLOOKUP(LEFT(TRIM(MID(SUBSTITUTE($R196,";",REPT(" ",99)),397,99)),FIND(":",TRIM(MID(SUBSTITUTE($R196,";",REPT(" ",99)),397,99)))-1),Materiales!$A$2:$E$502,5,FALSE)*VALUE(MID(TRIM(MID(SUBSTITUTE($R196,";",REPT(" ",99)),397,99)),FIND(":",TRIM(MID(SUBSTITUTE($R196,";",REPT(" ",99)),397,99)))+1,99)),0) + IFERROR(VLOOKUP(LEFT(TRIM(MID(SUBSTITUTE($R196,";",REPT(" ",99)),496,99)),FIND(":",TRIM(MID(SUBSTITUTE($R196,";",REPT(" ",99)),496,99)))-1),Materiales!$A$2:$E$502,5,FALSE)*VALUE(MID(TRIM(MID(SUBSTITUTE($R196,";",REPT(" ",99)),496,99)),FIND(":",TRIM(MID(SUBSTITUTE($R196,";",REPT(" ",99)),496,99)))+1,99)),0) + IFERROR(VLOOKUP(LEFT(TRIM(MID(SUBSTITUTE($R196,";",REPT(" ",99)),595,99)),FIND(":",TRIM(MID(SUBSTITUTE($R196,";",REPT(" ",99)),595,99)))-1),Materiales!$A$2:$E$502,5,FALSE)*VALUE(MID(TRIM(MID(SUBSTITUTE($R196,";",REPT(" ",99)),595,99)),FIND(":",TRIM(MID(SUBSTITUTE($R196,";",REPT(" ",99)),595,99)))+1,99)),0) + IFERROR(VLOOKUP(LEFT(TRIM(MID(SUBSTITUTE($R196,";",REPT(" ",99)),694,99)),FIND(":",TRIM(MID(SUBSTITUTE($R196,";",REPT(" ",99)),694,99)))-1),Materiales!$A$2:$E$502,5,FALSE)*VALUE(MID(TRIM(MID(SUBSTITUTE($R196,";",REPT(" ",99)),694,99)),FIND(":",TRIM(MID(SUBSTITUTE($R196,";",REPT(" ",99)),694,99)))+1,99)),0) + IFERROR(VLOOKUP(LEFT(TRIM(MID(SUBSTITUTE($R196,";",REPT(" ",99)),793,99)),FIND(":",TRIM(MID(SUBSTITUTE($R196,";",REPT(" ",99)),793,99)))-1),Materiales!$A$2:$E$502,5,FALSE)*VALUE(MID(TRIM(MID(SUBSTITUTE($R196,";",REPT(" ",99)),793,99)),FIND(":",TRIM(MID(SUBSTITUTE($R196,";",REPT(" ",99)),793,99)))+1,99)),0) + IFERROR(VLOOKUP(LEFT(TRIM(MID(SUBSTITUTE($R196,";",REPT(" ",99)),892,99)),FIND(":",TRIM(MID(SUBSTITUTE($R196,";",REPT(" ",99)),892,99)))-1),Materiales!$A$2:$E$502,5,FALSE)*VALUE(MID(TRIM(MID(SUBSTITUTE($R196,";",REPT(" ",99)),892,99)),FIND(":",TRIM(MID(SUBSTITUTE($R196,";",REPT(" ",99)),892,99)))+1,99)),0)))</f>
        <v/>
      </c>
      <c r="T196" s="3"/>
      <c r="U196" s="5" t="str">
        <f t="array" ref="U196">IF($A196="","",IF($T196="",0,IFERROR(VLOOKUP(LEFT(TRIM(MID(SUBSTITUTE($T196,";",REPT(" ",99)),1,99)),FIND(":",TRIM(MID(SUBSTITUTE($T196,";",REPT(" ",99)),1,99)))-1),Materiales!$A$2:$E$502,5,FALSE)*VALUE(MID(TRIM(MID(SUBSTITUTE($T196,";",REPT(" ",99)),1,99)),FIND(":",TRIM(MID(SUBSTITUTE($T196,";",REPT(" ",99)),1,99)))+1,99)),0) + IFERROR(VLOOKUP(LEFT(TRIM(MID(SUBSTITUTE($T196,";",REPT(" ",99)),100,99)),FIND(":",TRIM(MID(SUBSTITUTE($T196,";",REPT(" ",99)),100,99)))-1),Materiales!$A$2:$E$502,5,FALSE)*VALUE(MID(TRIM(MID(SUBSTITUTE($T196,";",REPT(" ",99)),100,99)),FIND(":",TRIM(MID(SUBSTITUTE($T196,";",REPT(" ",99)),100,99)))+1,99)),0) + IFERROR(VLOOKUP(LEFT(TRIM(MID(SUBSTITUTE($T196,";",REPT(" ",99)),199,99)),FIND(":",TRIM(MID(SUBSTITUTE($T196,";",REPT(" ",99)),199,99)))-1),Materiales!$A$2:$E$502,5,FALSE)*VALUE(MID(TRIM(MID(SUBSTITUTE($T196,";",REPT(" ",99)),199,99)),FIND(":",TRIM(MID(SUBSTITUTE($T196,";",REPT(" ",99)),199,99)))+1,99)),0) + IFERROR(VLOOKUP(LEFT(TRIM(MID(SUBSTITUTE($T196,";",REPT(" ",99)),298,99)),FIND(":",TRIM(MID(SUBSTITUTE($T196,";",REPT(" ",99)),298,99)))-1),Materiales!$A$2:$E$502,5,FALSE)*VALUE(MID(TRIM(MID(SUBSTITUTE($T196,";",REPT(" ",99)),298,99)),FIND(":",TRIM(MID(SUBSTITUTE($T196,";",REPT(" ",99)),298,99)))+1,99)),0) + IFERROR(VLOOKUP(LEFT(TRIM(MID(SUBSTITUTE($T196,";",REPT(" ",99)),397,99)),FIND(":",TRIM(MID(SUBSTITUTE($T196,";",REPT(" ",99)),397,99)))-1),Materiales!$A$2:$E$502,5,FALSE)*VALUE(MID(TRIM(MID(SUBSTITUTE($T196,";",REPT(" ",99)),397,99)),FIND(":",TRIM(MID(SUBSTITUTE($T196,";",REPT(" ",99)),397,99)))+1,99)),0) + IFERROR(VLOOKUP(LEFT(TRIM(MID(SUBSTITUTE($T196,";",REPT(" ",99)),496,99)),FIND(":",TRIM(MID(SUBSTITUTE($T196,";",REPT(" ",99)),496,99)))-1),Materiales!$A$2:$E$502,5,FALSE)*VALUE(MID(TRIM(MID(SUBSTITUTE($T196,";",REPT(" ",99)),496,99)),FIND(":",TRIM(MID(SUBSTITUTE($T196,";",REPT(" ",99)),496,99)))+1,99)),0) + IFERROR(VLOOKUP(LEFT(TRIM(MID(SUBSTITUTE($T196,";",REPT(" ",99)),595,99)),FIND(":",TRIM(MID(SUBSTITUTE($T196,";",REPT(" ",99)),595,99)))-1),Materiales!$A$2:$E$502,5,FALSE)*VALUE(MID(TRIM(MID(SUBSTITUTE($T196,";",REPT(" ",99)),595,99)),FIND(":",TRIM(MID(SUBSTITUTE($T196,";",REPT(" ",99)),595,99)))+1,99)),0) + IFERROR(VLOOKUP(LEFT(TRIM(MID(SUBSTITUTE($T196,";",REPT(" ",99)),694,99)),FIND(":",TRIM(MID(SUBSTITUTE($T196,";",REPT(" ",99)),694,99)))-1),Materiales!$A$2:$E$502,5,FALSE)*VALUE(MID(TRIM(MID(SUBSTITUTE($T196,";",REPT(" ",99)),694,99)),FIND(":",TRIM(MID(SUBSTITUTE($T196,";",REPT(" ",99)),694,99)))+1,99)),0) + IFERROR(VLOOKUP(LEFT(TRIM(MID(SUBSTITUTE($T196,";",REPT(" ",99)),793,99)),FIND(":",TRIM(MID(SUBSTITUTE($T196,";",REPT(" ",99)),793,99)))-1),Materiales!$A$2:$E$502,5,FALSE)*VALUE(MID(TRIM(MID(SUBSTITUTE($T196,";",REPT(" ",99)),793,99)),FIND(":",TRIM(MID(SUBSTITUTE($T196,";",REPT(" ",99)),793,99)))+1,99)),0) + IFERROR(VLOOKUP(LEFT(TRIM(MID(SUBSTITUTE($T196,";",REPT(" ",99)),892,99)),FIND(":",TRIM(MID(SUBSTITUTE($T196,";",REPT(" ",99)),892,99)))-1),Materiales!$A$2:$E$502,5,FALSE)*VALUE(MID(TRIM(MID(SUBSTITUTE($T196,";",REPT(" ",99)),892,99)),FIND(":",TRIM(MID(SUBSTITUTE($T196,";",REPT(" ",99)),892,99)))+1,99)),0)))</f>
        <v/>
      </c>
      <c r="V196" s="3"/>
      <c r="W196" s="5" t="str">
        <f t="array" ref="W196">IF($A196="","",IF($V196="",0,IFERROR(VLOOKUP(LEFT(TRIM(MID(SUBSTITUTE($V196,";",REPT(" ",99)),1,99)),FIND(":",TRIM(MID(SUBSTITUTE($V196,";",REPT(" ",99)),1,99)))-1),Materiales!$A$2:$E$502,5,FALSE)*VALUE(MID(TRIM(MID(SUBSTITUTE($V196,";",REPT(" ",99)),1,99)),FIND(":",TRIM(MID(SUBSTITUTE($V196,";",REPT(" ",99)),1,99)))+1,99)),0) + IFERROR(VLOOKUP(LEFT(TRIM(MID(SUBSTITUTE($V196,";",REPT(" ",99)),100,99)),FIND(":",TRIM(MID(SUBSTITUTE($V196,";",REPT(" ",99)),100,99)))-1),Materiales!$A$2:$E$502,5,FALSE)*VALUE(MID(TRIM(MID(SUBSTITUTE($V196,";",REPT(" ",99)),100,99)),FIND(":",TRIM(MID(SUBSTITUTE($V196,";",REPT(" ",99)),100,99)))+1,99)),0) + IFERROR(VLOOKUP(LEFT(TRIM(MID(SUBSTITUTE($V196,";",REPT(" ",99)),199,99)),FIND(":",TRIM(MID(SUBSTITUTE($V196,";",REPT(" ",99)),199,99)))-1),Materiales!$A$2:$E$502,5,FALSE)*VALUE(MID(TRIM(MID(SUBSTITUTE($V196,";",REPT(" ",99)),199,99)),FIND(":",TRIM(MID(SUBSTITUTE($V196,";",REPT(" ",99)),199,99)))+1,99)),0) + IFERROR(VLOOKUP(LEFT(TRIM(MID(SUBSTITUTE($V196,";",REPT(" ",99)),298,99)),FIND(":",TRIM(MID(SUBSTITUTE($V196,";",REPT(" ",99)),298,99)))-1),Materiales!$A$2:$E$502,5,FALSE)*VALUE(MID(TRIM(MID(SUBSTITUTE($V196,";",REPT(" ",99)),298,99)),FIND(":",TRIM(MID(SUBSTITUTE($V196,";",REPT(" ",99)),298,99)))+1,99)),0) + IFERROR(VLOOKUP(LEFT(TRIM(MID(SUBSTITUTE($V196,";",REPT(" ",99)),397,99)),FIND(":",TRIM(MID(SUBSTITUTE($V196,";",REPT(" ",99)),397,99)))-1),Materiales!$A$2:$E$502,5,FALSE)*VALUE(MID(TRIM(MID(SUBSTITUTE($V196,";",REPT(" ",99)),397,99)),FIND(":",TRIM(MID(SUBSTITUTE($V196,";",REPT(" ",99)),397,99)))+1,99)),0) + IFERROR(VLOOKUP(LEFT(TRIM(MID(SUBSTITUTE($V196,";",REPT(" ",99)),496,99)),FIND(":",TRIM(MID(SUBSTITUTE($V196,";",REPT(" ",99)),496,99)))-1),Materiales!$A$2:$E$502,5,FALSE)*VALUE(MID(TRIM(MID(SUBSTITUTE($V196,";",REPT(" ",99)),496,99)),FIND(":",TRIM(MID(SUBSTITUTE($V196,";",REPT(" ",99)),496,99)))+1,99)),0) + IFERROR(VLOOKUP(LEFT(TRIM(MID(SUBSTITUTE($V196,";",REPT(" ",99)),595,99)),FIND(":",TRIM(MID(SUBSTITUTE($V196,";",REPT(" ",99)),595,99)))-1),Materiales!$A$2:$E$502,5,FALSE)*VALUE(MID(TRIM(MID(SUBSTITUTE($V196,";",REPT(" ",99)),595,99)),FIND(":",TRIM(MID(SUBSTITUTE($V196,";",REPT(" ",99)),595,99)))+1,99)),0) + IFERROR(VLOOKUP(LEFT(TRIM(MID(SUBSTITUTE($V196,";",REPT(" ",99)),694,99)),FIND(":",TRIM(MID(SUBSTITUTE($V196,";",REPT(" ",99)),694,99)))-1),Materiales!$A$2:$E$502,5,FALSE)*VALUE(MID(TRIM(MID(SUBSTITUTE($V196,";",REPT(" ",99)),694,99)),FIND(":",TRIM(MID(SUBSTITUTE($V196,";",REPT(" ",99)),694,99)))+1,99)),0) + IFERROR(VLOOKUP(LEFT(TRIM(MID(SUBSTITUTE($V196,";",REPT(" ",99)),793,99)),FIND(":",TRIM(MID(SUBSTITUTE($V196,";",REPT(" ",99)),793,99)))-1),Materiales!$A$2:$E$502,5,FALSE)*VALUE(MID(TRIM(MID(SUBSTITUTE($V196,";",REPT(" ",99)),793,99)),FIND(":",TRIM(MID(SUBSTITUTE($V196,";",REPT(" ",99)),793,99)))+1,99)),0) + IFERROR(VLOOKUP(LEFT(TRIM(MID(SUBSTITUTE($V196,";",REPT(" ",99)),892,99)),FIND(":",TRIM(MID(SUBSTITUTE($V196,";",REPT(" ",99)),892,99)))-1),Materiales!$A$2:$E$502,5,FALSE)*VALUE(MID(TRIM(MID(SUBSTITUTE($V196,";",REPT(" ",99)),892,99)),FIND(":",TRIM(MID(SUBSTITUTE($V196,";",REPT(" ",99)),892,99)))+1,99)),0)))</f>
        <v/>
      </c>
      <c r="X196" s="39" t="str">
        <f t="shared" si="21"/>
        <v/>
      </c>
      <c r="Y196" s="64"/>
      <c r="Z196" s="67"/>
      <c r="AA196" s="65"/>
      <c r="AB196" s="14"/>
      <c r="AC196" s="66"/>
      <c r="AD196" s="65"/>
      <c r="AE196" s="44"/>
      <c r="AF196" s="45" t="str">
        <f t="shared" si="20"/>
        <v>#DIV/0!</v>
      </c>
    </row>
    <row r="197" ht="15.75" customHeight="1">
      <c r="A197" s="3"/>
      <c r="B197" s="3"/>
      <c r="C197" s="38"/>
      <c r="D197" s="38"/>
      <c r="E197" s="38"/>
      <c r="F197" s="14"/>
      <c r="G197" s="5" t="str">
        <f t="array" ref="G197">IF($A197="","",IFERROR($F197*(N($C197)*XLOOKUP($B197,Ceras!$A$2:$A$500,Ceras!$G$2:$G$500,0)+IF($D197="",0,N($E197)*XLOOKUP($D197,Ceras!$A$2:$A$500,Ceras!$G$2:$G$500,0))),"Revisar cera"))</f>
        <v/>
      </c>
      <c r="H197" s="5"/>
      <c r="I197" s="3"/>
      <c r="J197" s="14"/>
      <c r="K197" s="5" t="str">
        <f t="array" ref="K197">IF($A197="","",IFERROR($J197*XLOOKUP($I197,Pabilos!$A$2:$A$500,Pabilos!$H$2:$H$500,0),"Revisar pabilo"))</f>
        <v/>
      </c>
      <c r="L197" s="3"/>
      <c r="M197" s="14"/>
      <c r="N197" s="5" t="str">
        <f t="array" ref="N197">IF($A197="","",IFERROR($M197*XLOOKUP($L197,Esencias!$A$2:$A$501,Esencias!$G$2:$G$501,0),"Revisar esencia"))</f>
        <v/>
      </c>
      <c r="O197" s="3"/>
      <c r="P197" s="14"/>
      <c r="Q197" s="5" t="str">
        <f t="array" ref="Q197">IF($A197="","",IFERROR(IF($P197="",1,$P197)*XLOOKUP($O197,Colores!$A$2:$A$500,Colores!$H$2:$H$500,0),"Revisar color"))</f>
        <v/>
      </c>
      <c r="R197" s="3"/>
      <c r="S197" s="5" t="str">
        <f t="array" ref="S197">IF($A197="","",IF($R197="",0,IFERROR(VLOOKUP(LEFT(TRIM(MID(SUBSTITUTE($R197,";",REPT(" ",99)),1,99)),FIND(":",TRIM(MID(SUBSTITUTE($R197,";",REPT(" ",99)),1,99)))-1),Materiales!$A$2:$E$502,5,FALSE)*VALUE(MID(TRIM(MID(SUBSTITUTE($R197,";",REPT(" ",99)),1,99)),FIND(":",TRIM(MID(SUBSTITUTE($R197,";",REPT(" ",99)),1,99)))+1,99)),0) + IFERROR(VLOOKUP(LEFT(TRIM(MID(SUBSTITUTE($R197,";",REPT(" ",99)),100,99)),FIND(":",TRIM(MID(SUBSTITUTE($R197,";",REPT(" ",99)),100,99)))-1),Materiales!$A$2:$E$502,5,FALSE)*VALUE(MID(TRIM(MID(SUBSTITUTE($R197,";",REPT(" ",99)),100,99)),FIND(":",TRIM(MID(SUBSTITUTE($R197,";",REPT(" ",99)),100,99)))+1,99)),0) + IFERROR(VLOOKUP(LEFT(TRIM(MID(SUBSTITUTE($R197,";",REPT(" ",99)),199,99)),FIND(":",TRIM(MID(SUBSTITUTE($R197,";",REPT(" ",99)),199,99)))-1),Materiales!$A$2:$E$502,5,FALSE)*VALUE(MID(TRIM(MID(SUBSTITUTE($R197,";",REPT(" ",99)),199,99)),FIND(":",TRIM(MID(SUBSTITUTE($R197,";",REPT(" ",99)),199,99)))+1,99)),0) + IFERROR(VLOOKUP(LEFT(TRIM(MID(SUBSTITUTE($R197,";",REPT(" ",99)),298,99)),FIND(":",TRIM(MID(SUBSTITUTE($R197,";",REPT(" ",99)),298,99)))-1),Materiales!$A$2:$E$502,5,FALSE)*VALUE(MID(TRIM(MID(SUBSTITUTE($R197,";",REPT(" ",99)),298,99)),FIND(":",TRIM(MID(SUBSTITUTE($R197,";",REPT(" ",99)),298,99)))+1,99)),0) + IFERROR(VLOOKUP(LEFT(TRIM(MID(SUBSTITUTE($R197,";",REPT(" ",99)),397,99)),FIND(":",TRIM(MID(SUBSTITUTE($R197,";",REPT(" ",99)),397,99)))-1),Materiales!$A$2:$E$502,5,FALSE)*VALUE(MID(TRIM(MID(SUBSTITUTE($R197,";",REPT(" ",99)),397,99)),FIND(":",TRIM(MID(SUBSTITUTE($R197,";",REPT(" ",99)),397,99)))+1,99)),0) + IFERROR(VLOOKUP(LEFT(TRIM(MID(SUBSTITUTE($R197,";",REPT(" ",99)),496,99)),FIND(":",TRIM(MID(SUBSTITUTE($R197,";",REPT(" ",99)),496,99)))-1),Materiales!$A$2:$E$502,5,FALSE)*VALUE(MID(TRIM(MID(SUBSTITUTE($R197,";",REPT(" ",99)),496,99)),FIND(":",TRIM(MID(SUBSTITUTE($R197,";",REPT(" ",99)),496,99)))+1,99)),0) + IFERROR(VLOOKUP(LEFT(TRIM(MID(SUBSTITUTE($R197,";",REPT(" ",99)),595,99)),FIND(":",TRIM(MID(SUBSTITUTE($R197,";",REPT(" ",99)),595,99)))-1),Materiales!$A$2:$E$502,5,FALSE)*VALUE(MID(TRIM(MID(SUBSTITUTE($R197,";",REPT(" ",99)),595,99)),FIND(":",TRIM(MID(SUBSTITUTE($R197,";",REPT(" ",99)),595,99)))+1,99)),0) + IFERROR(VLOOKUP(LEFT(TRIM(MID(SUBSTITUTE($R197,";",REPT(" ",99)),694,99)),FIND(":",TRIM(MID(SUBSTITUTE($R197,";",REPT(" ",99)),694,99)))-1),Materiales!$A$2:$E$502,5,FALSE)*VALUE(MID(TRIM(MID(SUBSTITUTE($R197,";",REPT(" ",99)),694,99)),FIND(":",TRIM(MID(SUBSTITUTE($R197,";",REPT(" ",99)),694,99)))+1,99)),0) + IFERROR(VLOOKUP(LEFT(TRIM(MID(SUBSTITUTE($R197,";",REPT(" ",99)),793,99)),FIND(":",TRIM(MID(SUBSTITUTE($R197,";",REPT(" ",99)),793,99)))-1),Materiales!$A$2:$E$502,5,FALSE)*VALUE(MID(TRIM(MID(SUBSTITUTE($R197,";",REPT(" ",99)),793,99)),FIND(":",TRIM(MID(SUBSTITUTE($R197,";",REPT(" ",99)),793,99)))+1,99)),0) + IFERROR(VLOOKUP(LEFT(TRIM(MID(SUBSTITUTE($R197,";",REPT(" ",99)),892,99)),FIND(":",TRIM(MID(SUBSTITUTE($R197,";",REPT(" ",99)),892,99)))-1),Materiales!$A$2:$E$502,5,FALSE)*VALUE(MID(TRIM(MID(SUBSTITUTE($R197,";",REPT(" ",99)),892,99)),FIND(":",TRIM(MID(SUBSTITUTE($R197,";",REPT(" ",99)),892,99)))+1,99)),0)))</f>
        <v/>
      </c>
      <c r="T197" s="3"/>
      <c r="U197" s="5" t="str">
        <f t="array" ref="U197">IF($A197="","",IF($T197="",0,IFERROR(VLOOKUP(LEFT(TRIM(MID(SUBSTITUTE($T197,";",REPT(" ",99)),1,99)),FIND(":",TRIM(MID(SUBSTITUTE($T197,";",REPT(" ",99)),1,99)))-1),Materiales!$A$2:$E$502,5,FALSE)*VALUE(MID(TRIM(MID(SUBSTITUTE($T197,";",REPT(" ",99)),1,99)),FIND(":",TRIM(MID(SUBSTITUTE($T197,";",REPT(" ",99)),1,99)))+1,99)),0) + IFERROR(VLOOKUP(LEFT(TRIM(MID(SUBSTITUTE($T197,";",REPT(" ",99)),100,99)),FIND(":",TRIM(MID(SUBSTITUTE($T197,";",REPT(" ",99)),100,99)))-1),Materiales!$A$2:$E$502,5,FALSE)*VALUE(MID(TRIM(MID(SUBSTITUTE($T197,";",REPT(" ",99)),100,99)),FIND(":",TRIM(MID(SUBSTITUTE($T197,";",REPT(" ",99)),100,99)))+1,99)),0) + IFERROR(VLOOKUP(LEFT(TRIM(MID(SUBSTITUTE($T197,";",REPT(" ",99)),199,99)),FIND(":",TRIM(MID(SUBSTITUTE($T197,";",REPT(" ",99)),199,99)))-1),Materiales!$A$2:$E$502,5,FALSE)*VALUE(MID(TRIM(MID(SUBSTITUTE($T197,";",REPT(" ",99)),199,99)),FIND(":",TRIM(MID(SUBSTITUTE($T197,";",REPT(" ",99)),199,99)))+1,99)),0) + IFERROR(VLOOKUP(LEFT(TRIM(MID(SUBSTITUTE($T197,";",REPT(" ",99)),298,99)),FIND(":",TRIM(MID(SUBSTITUTE($T197,";",REPT(" ",99)),298,99)))-1),Materiales!$A$2:$E$502,5,FALSE)*VALUE(MID(TRIM(MID(SUBSTITUTE($T197,";",REPT(" ",99)),298,99)),FIND(":",TRIM(MID(SUBSTITUTE($T197,";",REPT(" ",99)),298,99)))+1,99)),0) + IFERROR(VLOOKUP(LEFT(TRIM(MID(SUBSTITUTE($T197,";",REPT(" ",99)),397,99)),FIND(":",TRIM(MID(SUBSTITUTE($T197,";",REPT(" ",99)),397,99)))-1),Materiales!$A$2:$E$502,5,FALSE)*VALUE(MID(TRIM(MID(SUBSTITUTE($T197,";",REPT(" ",99)),397,99)),FIND(":",TRIM(MID(SUBSTITUTE($T197,";",REPT(" ",99)),397,99)))+1,99)),0) + IFERROR(VLOOKUP(LEFT(TRIM(MID(SUBSTITUTE($T197,";",REPT(" ",99)),496,99)),FIND(":",TRIM(MID(SUBSTITUTE($T197,";",REPT(" ",99)),496,99)))-1),Materiales!$A$2:$E$502,5,FALSE)*VALUE(MID(TRIM(MID(SUBSTITUTE($T197,";",REPT(" ",99)),496,99)),FIND(":",TRIM(MID(SUBSTITUTE($T197,";",REPT(" ",99)),496,99)))+1,99)),0) + IFERROR(VLOOKUP(LEFT(TRIM(MID(SUBSTITUTE($T197,";",REPT(" ",99)),595,99)),FIND(":",TRIM(MID(SUBSTITUTE($T197,";",REPT(" ",99)),595,99)))-1),Materiales!$A$2:$E$502,5,FALSE)*VALUE(MID(TRIM(MID(SUBSTITUTE($T197,";",REPT(" ",99)),595,99)),FIND(":",TRIM(MID(SUBSTITUTE($T197,";",REPT(" ",99)),595,99)))+1,99)),0) + IFERROR(VLOOKUP(LEFT(TRIM(MID(SUBSTITUTE($T197,";",REPT(" ",99)),694,99)),FIND(":",TRIM(MID(SUBSTITUTE($T197,";",REPT(" ",99)),694,99)))-1),Materiales!$A$2:$E$502,5,FALSE)*VALUE(MID(TRIM(MID(SUBSTITUTE($T197,";",REPT(" ",99)),694,99)),FIND(":",TRIM(MID(SUBSTITUTE($T197,";",REPT(" ",99)),694,99)))+1,99)),0) + IFERROR(VLOOKUP(LEFT(TRIM(MID(SUBSTITUTE($T197,";",REPT(" ",99)),793,99)),FIND(":",TRIM(MID(SUBSTITUTE($T197,";",REPT(" ",99)),793,99)))-1),Materiales!$A$2:$E$502,5,FALSE)*VALUE(MID(TRIM(MID(SUBSTITUTE($T197,";",REPT(" ",99)),793,99)),FIND(":",TRIM(MID(SUBSTITUTE($T197,";",REPT(" ",99)),793,99)))+1,99)),0) + IFERROR(VLOOKUP(LEFT(TRIM(MID(SUBSTITUTE($T197,";",REPT(" ",99)),892,99)),FIND(":",TRIM(MID(SUBSTITUTE($T197,";",REPT(" ",99)),892,99)))-1),Materiales!$A$2:$E$502,5,FALSE)*VALUE(MID(TRIM(MID(SUBSTITUTE($T197,";",REPT(" ",99)),892,99)),FIND(":",TRIM(MID(SUBSTITUTE($T197,";",REPT(" ",99)),892,99)))+1,99)),0)))</f>
        <v/>
      </c>
      <c r="V197" s="3"/>
      <c r="W197" s="5" t="str">
        <f t="array" ref="W197">IF($A197="","",IF($V197="",0,IFERROR(VLOOKUP(LEFT(TRIM(MID(SUBSTITUTE($V197,";",REPT(" ",99)),1,99)),FIND(":",TRIM(MID(SUBSTITUTE($V197,";",REPT(" ",99)),1,99)))-1),Materiales!$A$2:$E$502,5,FALSE)*VALUE(MID(TRIM(MID(SUBSTITUTE($V197,";",REPT(" ",99)),1,99)),FIND(":",TRIM(MID(SUBSTITUTE($V197,";",REPT(" ",99)),1,99)))+1,99)),0) + IFERROR(VLOOKUP(LEFT(TRIM(MID(SUBSTITUTE($V197,";",REPT(" ",99)),100,99)),FIND(":",TRIM(MID(SUBSTITUTE($V197,";",REPT(" ",99)),100,99)))-1),Materiales!$A$2:$E$502,5,FALSE)*VALUE(MID(TRIM(MID(SUBSTITUTE($V197,";",REPT(" ",99)),100,99)),FIND(":",TRIM(MID(SUBSTITUTE($V197,";",REPT(" ",99)),100,99)))+1,99)),0) + IFERROR(VLOOKUP(LEFT(TRIM(MID(SUBSTITUTE($V197,";",REPT(" ",99)),199,99)),FIND(":",TRIM(MID(SUBSTITUTE($V197,";",REPT(" ",99)),199,99)))-1),Materiales!$A$2:$E$502,5,FALSE)*VALUE(MID(TRIM(MID(SUBSTITUTE($V197,";",REPT(" ",99)),199,99)),FIND(":",TRIM(MID(SUBSTITUTE($V197,";",REPT(" ",99)),199,99)))+1,99)),0) + IFERROR(VLOOKUP(LEFT(TRIM(MID(SUBSTITUTE($V197,";",REPT(" ",99)),298,99)),FIND(":",TRIM(MID(SUBSTITUTE($V197,";",REPT(" ",99)),298,99)))-1),Materiales!$A$2:$E$502,5,FALSE)*VALUE(MID(TRIM(MID(SUBSTITUTE($V197,";",REPT(" ",99)),298,99)),FIND(":",TRIM(MID(SUBSTITUTE($V197,";",REPT(" ",99)),298,99)))+1,99)),0) + IFERROR(VLOOKUP(LEFT(TRIM(MID(SUBSTITUTE($V197,";",REPT(" ",99)),397,99)),FIND(":",TRIM(MID(SUBSTITUTE($V197,";",REPT(" ",99)),397,99)))-1),Materiales!$A$2:$E$502,5,FALSE)*VALUE(MID(TRIM(MID(SUBSTITUTE($V197,";",REPT(" ",99)),397,99)),FIND(":",TRIM(MID(SUBSTITUTE($V197,";",REPT(" ",99)),397,99)))+1,99)),0) + IFERROR(VLOOKUP(LEFT(TRIM(MID(SUBSTITUTE($V197,";",REPT(" ",99)),496,99)),FIND(":",TRIM(MID(SUBSTITUTE($V197,";",REPT(" ",99)),496,99)))-1),Materiales!$A$2:$E$502,5,FALSE)*VALUE(MID(TRIM(MID(SUBSTITUTE($V197,";",REPT(" ",99)),496,99)),FIND(":",TRIM(MID(SUBSTITUTE($V197,";",REPT(" ",99)),496,99)))+1,99)),0) + IFERROR(VLOOKUP(LEFT(TRIM(MID(SUBSTITUTE($V197,";",REPT(" ",99)),595,99)),FIND(":",TRIM(MID(SUBSTITUTE($V197,";",REPT(" ",99)),595,99)))-1),Materiales!$A$2:$E$502,5,FALSE)*VALUE(MID(TRIM(MID(SUBSTITUTE($V197,";",REPT(" ",99)),595,99)),FIND(":",TRIM(MID(SUBSTITUTE($V197,";",REPT(" ",99)),595,99)))+1,99)),0) + IFERROR(VLOOKUP(LEFT(TRIM(MID(SUBSTITUTE($V197,";",REPT(" ",99)),694,99)),FIND(":",TRIM(MID(SUBSTITUTE($V197,";",REPT(" ",99)),694,99)))-1),Materiales!$A$2:$E$502,5,FALSE)*VALUE(MID(TRIM(MID(SUBSTITUTE($V197,";",REPT(" ",99)),694,99)),FIND(":",TRIM(MID(SUBSTITUTE($V197,";",REPT(" ",99)),694,99)))+1,99)),0) + IFERROR(VLOOKUP(LEFT(TRIM(MID(SUBSTITUTE($V197,";",REPT(" ",99)),793,99)),FIND(":",TRIM(MID(SUBSTITUTE($V197,";",REPT(" ",99)),793,99)))-1),Materiales!$A$2:$E$502,5,FALSE)*VALUE(MID(TRIM(MID(SUBSTITUTE($V197,";",REPT(" ",99)),793,99)),FIND(":",TRIM(MID(SUBSTITUTE($V197,";",REPT(" ",99)),793,99)))+1,99)),0) + IFERROR(VLOOKUP(LEFT(TRIM(MID(SUBSTITUTE($V197,";",REPT(" ",99)),892,99)),FIND(":",TRIM(MID(SUBSTITUTE($V197,";",REPT(" ",99)),892,99)))-1),Materiales!$A$2:$E$502,5,FALSE)*VALUE(MID(TRIM(MID(SUBSTITUTE($V197,";",REPT(" ",99)),892,99)),FIND(":",TRIM(MID(SUBSTITUTE($V197,";",REPT(" ",99)),892,99)))+1,99)),0)))</f>
        <v/>
      </c>
      <c r="X197" s="39" t="str">
        <f t="shared" si="21"/>
        <v/>
      </c>
      <c r="Y197" s="64"/>
      <c r="Z197" s="67"/>
      <c r="AA197" s="65"/>
      <c r="AB197" s="14"/>
      <c r="AC197" s="66"/>
      <c r="AD197" s="65"/>
      <c r="AE197" s="44"/>
      <c r="AF197" s="45" t="str">
        <f t="shared" si="20"/>
        <v>#DIV/0!</v>
      </c>
    </row>
    <row r="198" ht="15.75" customHeight="1">
      <c r="A198" s="3"/>
      <c r="B198" s="3"/>
      <c r="C198" s="38"/>
      <c r="D198" s="38"/>
      <c r="E198" s="38"/>
      <c r="F198" s="14"/>
      <c r="G198" s="5" t="str">
        <f t="array" ref="G198">IF($A198="","",IFERROR($F198*(N($C198)*XLOOKUP($B198,Ceras!$A$2:$A$500,Ceras!$G$2:$G$500,0)+IF($D198="",0,N($E198)*XLOOKUP($D198,Ceras!$A$2:$A$500,Ceras!$G$2:$G$500,0))),"Revisar cera"))</f>
        <v/>
      </c>
      <c r="H198" s="5"/>
      <c r="I198" s="3"/>
      <c r="J198" s="14"/>
      <c r="K198" s="5" t="str">
        <f t="array" ref="K198">IF($A198="","",IFERROR($J198*XLOOKUP($I198,Pabilos!$A$2:$A$500,Pabilos!$H$2:$H$500,0),"Revisar pabilo"))</f>
        <v/>
      </c>
      <c r="L198" s="3"/>
      <c r="M198" s="14"/>
      <c r="N198" s="5" t="str">
        <f t="array" ref="N198">IF($A198="","",IFERROR($M198*XLOOKUP($L198,Esencias!$A$2:$A$501,Esencias!$G$2:$G$501,0),"Revisar esencia"))</f>
        <v/>
      </c>
      <c r="O198" s="3"/>
      <c r="P198" s="14"/>
      <c r="Q198" s="5" t="str">
        <f t="array" ref="Q198">IF($A198="","",IFERROR(IF($P198="",1,$P198)*XLOOKUP($O198,Colores!$A$2:$A$500,Colores!$H$2:$H$500,0),"Revisar color"))</f>
        <v/>
      </c>
      <c r="R198" s="3"/>
      <c r="S198" s="5" t="str">
        <f t="array" ref="S198">IF($A198="","",IF($R198="",0,IFERROR(VLOOKUP(LEFT(TRIM(MID(SUBSTITUTE($R198,";",REPT(" ",99)),1,99)),FIND(":",TRIM(MID(SUBSTITUTE($R198,";",REPT(" ",99)),1,99)))-1),Materiales!$A$2:$E$502,5,FALSE)*VALUE(MID(TRIM(MID(SUBSTITUTE($R198,";",REPT(" ",99)),1,99)),FIND(":",TRIM(MID(SUBSTITUTE($R198,";",REPT(" ",99)),1,99)))+1,99)),0) + IFERROR(VLOOKUP(LEFT(TRIM(MID(SUBSTITUTE($R198,";",REPT(" ",99)),100,99)),FIND(":",TRIM(MID(SUBSTITUTE($R198,";",REPT(" ",99)),100,99)))-1),Materiales!$A$2:$E$502,5,FALSE)*VALUE(MID(TRIM(MID(SUBSTITUTE($R198,";",REPT(" ",99)),100,99)),FIND(":",TRIM(MID(SUBSTITUTE($R198,";",REPT(" ",99)),100,99)))+1,99)),0) + IFERROR(VLOOKUP(LEFT(TRIM(MID(SUBSTITUTE($R198,";",REPT(" ",99)),199,99)),FIND(":",TRIM(MID(SUBSTITUTE($R198,";",REPT(" ",99)),199,99)))-1),Materiales!$A$2:$E$502,5,FALSE)*VALUE(MID(TRIM(MID(SUBSTITUTE($R198,";",REPT(" ",99)),199,99)),FIND(":",TRIM(MID(SUBSTITUTE($R198,";",REPT(" ",99)),199,99)))+1,99)),0) + IFERROR(VLOOKUP(LEFT(TRIM(MID(SUBSTITUTE($R198,";",REPT(" ",99)),298,99)),FIND(":",TRIM(MID(SUBSTITUTE($R198,";",REPT(" ",99)),298,99)))-1),Materiales!$A$2:$E$502,5,FALSE)*VALUE(MID(TRIM(MID(SUBSTITUTE($R198,";",REPT(" ",99)),298,99)),FIND(":",TRIM(MID(SUBSTITUTE($R198,";",REPT(" ",99)),298,99)))+1,99)),0) + IFERROR(VLOOKUP(LEFT(TRIM(MID(SUBSTITUTE($R198,";",REPT(" ",99)),397,99)),FIND(":",TRIM(MID(SUBSTITUTE($R198,";",REPT(" ",99)),397,99)))-1),Materiales!$A$2:$E$502,5,FALSE)*VALUE(MID(TRIM(MID(SUBSTITUTE($R198,";",REPT(" ",99)),397,99)),FIND(":",TRIM(MID(SUBSTITUTE($R198,";",REPT(" ",99)),397,99)))+1,99)),0) + IFERROR(VLOOKUP(LEFT(TRIM(MID(SUBSTITUTE($R198,";",REPT(" ",99)),496,99)),FIND(":",TRIM(MID(SUBSTITUTE($R198,";",REPT(" ",99)),496,99)))-1),Materiales!$A$2:$E$502,5,FALSE)*VALUE(MID(TRIM(MID(SUBSTITUTE($R198,";",REPT(" ",99)),496,99)),FIND(":",TRIM(MID(SUBSTITUTE($R198,";",REPT(" ",99)),496,99)))+1,99)),0) + IFERROR(VLOOKUP(LEFT(TRIM(MID(SUBSTITUTE($R198,";",REPT(" ",99)),595,99)),FIND(":",TRIM(MID(SUBSTITUTE($R198,";",REPT(" ",99)),595,99)))-1),Materiales!$A$2:$E$502,5,FALSE)*VALUE(MID(TRIM(MID(SUBSTITUTE($R198,";",REPT(" ",99)),595,99)),FIND(":",TRIM(MID(SUBSTITUTE($R198,";",REPT(" ",99)),595,99)))+1,99)),0) + IFERROR(VLOOKUP(LEFT(TRIM(MID(SUBSTITUTE($R198,";",REPT(" ",99)),694,99)),FIND(":",TRIM(MID(SUBSTITUTE($R198,";",REPT(" ",99)),694,99)))-1),Materiales!$A$2:$E$502,5,FALSE)*VALUE(MID(TRIM(MID(SUBSTITUTE($R198,";",REPT(" ",99)),694,99)),FIND(":",TRIM(MID(SUBSTITUTE($R198,";",REPT(" ",99)),694,99)))+1,99)),0) + IFERROR(VLOOKUP(LEFT(TRIM(MID(SUBSTITUTE($R198,";",REPT(" ",99)),793,99)),FIND(":",TRIM(MID(SUBSTITUTE($R198,";",REPT(" ",99)),793,99)))-1),Materiales!$A$2:$E$502,5,FALSE)*VALUE(MID(TRIM(MID(SUBSTITUTE($R198,";",REPT(" ",99)),793,99)),FIND(":",TRIM(MID(SUBSTITUTE($R198,";",REPT(" ",99)),793,99)))+1,99)),0) + IFERROR(VLOOKUP(LEFT(TRIM(MID(SUBSTITUTE($R198,";",REPT(" ",99)),892,99)),FIND(":",TRIM(MID(SUBSTITUTE($R198,";",REPT(" ",99)),892,99)))-1),Materiales!$A$2:$E$502,5,FALSE)*VALUE(MID(TRIM(MID(SUBSTITUTE($R198,";",REPT(" ",99)),892,99)),FIND(":",TRIM(MID(SUBSTITUTE($R198,";",REPT(" ",99)),892,99)))+1,99)),0)))</f>
        <v/>
      </c>
      <c r="T198" s="3"/>
      <c r="U198" s="5" t="str">
        <f t="array" ref="U198">IF($A198="","",IF($T198="",0,IFERROR(VLOOKUP(LEFT(TRIM(MID(SUBSTITUTE($T198,";",REPT(" ",99)),1,99)),FIND(":",TRIM(MID(SUBSTITUTE($T198,";",REPT(" ",99)),1,99)))-1),Materiales!$A$2:$E$502,5,FALSE)*VALUE(MID(TRIM(MID(SUBSTITUTE($T198,";",REPT(" ",99)),1,99)),FIND(":",TRIM(MID(SUBSTITUTE($T198,";",REPT(" ",99)),1,99)))+1,99)),0) + IFERROR(VLOOKUP(LEFT(TRIM(MID(SUBSTITUTE($T198,";",REPT(" ",99)),100,99)),FIND(":",TRIM(MID(SUBSTITUTE($T198,";",REPT(" ",99)),100,99)))-1),Materiales!$A$2:$E$502,5,FALSE)*VALUE(MID(TRIM(MID(SUBSTITUTE($T198,";",REPT(" ",99)),100,99)),FIND(":",TRIM(MID(SUBSTITUTE($T198,";",REPT(" ",99)),100,99)))+1,99)),0) + IFERROR(VLOOKUP(LEFT(TRIM(MID(SUBSTITUTE($T198,";",REPT(" ",99)),199,99)),FIND(":",TRIM(MID(SUBSTITUTE($T198,";",REPT(" ",99)),199,99)))-1),Materiales!$A$2:$E$502,5,FALSE)*VALUE(MID(TRIM(MID(SUBSTITUTE($T198,";",REPT(" ",99)),199,99)),FIND(":",TRIM(MID(SUBSTITUTE($T198,";",REPT(" ",99)),199,99)))+1,99)),0) + IFERROR(VLOOKUP(LEFT(TRIM(MID(SUBSTITUTE($T198,";",REPT(" ",99)),298,99)),FIND(":",TRIM(MID(SUBSTITUTE($T198,";",REPT(" ",99)),298,99)))-1),Materiales!$A$2:$E$502,5,FALSE)*VALUE(MID(TRIM(MID(SUBSTITUTE($T198,";",REPT(" ",99)),298,99)),FIND(":",TRIM(MID(SUBSTITUTE($T198,";",REPT(" ",99)),298,99)))+1,99)),0) + IFERROR(VLOOKUP(LEFT(TRIM(MID(SUBSTITUTE($T198,";",REPT(" ",99)),397,99)),FIND(":",TRIM(MID(SUBSTITUTE($T198,";",REPT(" ",99)),397,99)))-1),Materiales!$A$2:$E$502,5,FALSE)*VALUE(MID(TRIM(MID(SUBSTITUTE($T198,";",REPT(" ",99)),397,99)),FIND(":",TRIM(MID(SUBSTITUTE($T198,";",REPT(" ",99)),397,99)))+1,99)),0) + IFERROR(VLOOKUP(LEFT(TRIM(MID(SUBSTITUTE($T198,";",REPT(" ",99)),496,99)),FIND(":",TRIM(MID(SUBSTITUTE($T198,";",REPT(" ",99)),496,99)))-1),Materiales!$A$2:$E$502,5,FALSE)*VALUE(MID(TRIM(MID(SUBSTITUTE($T198,";",REPT(" ",99)),496,99)),FIND(":",TRIM(MID(SUBSTITUTE($T198,";",REPT(" ",99)),496,99)))+1,99)),0) + IFERROR(VLOOKUP(LEFT(TRIM(MID(SUBSTITUTE($T198,";",REPT(" ",99)),595,99)),FIND(":",TRIM(MID(SUBSTITUTE($T198,";",REPT(" ",99)),595,99)))-1),Materiales!$A$2:$E$502,5,FALSE)*VALUE(MID(TRIM(MID(SUBSTITUTE($T198,";",REPT(" ",99)),595,99)),FIND(":",TRIM(MID(SUBSTITUTE($T198,";",REPT(" ",99)),595,99)))+1,99)),0) + IFERROR(VLOOKUP(LEFT(TRIM(MID(SUBSTITUTE($T198,";",REPT(" ",99)),694,99)),FIND(":",TRIM(MID(SUBSTITUTE($T198,";",REPT(" ",99)),694,99)))-1),Materiales!$A$2:$E$502,5,FALSE)*VALUE(MID(TRIM(MID(SUBSTITUTE($T198,";",REPT(" ",99)),694,99)),FIND(":",TRIM(MID(SUBSTITUTE($T198,";",REPT(" ",99)),694,99)))+1,99)),0) + IFERROR(VLOOKUP(LEFT(TRIM(MID(SUBSTITUTE($T198,";",REPT(" ",99)),793,99)),FIND(":",TRIM(MID(SUBSTITUTE($T198,";",REPT(" ",99)),793,99)))-1),Materiales!$A$2:$E$502,5,FALSE)*VALUE(MID(TRIM(MID(SUBSTITUTE($T198,";",REPT(" ",99)),793,99)),FIND(":",TRIM(MID(SUBSTITUTE($T198,";",REPT(" ",99)),793,99)))+1,99)),0) + IFERROR(VLOOKUP(LEFT(TRIM(MID(SUBSTITUTE($T198,";",REPT(" ",99)),892,99)),FIND(":",TRIM(MID(SUBSTITUTE($T198,";",REPT(" ",99)),892,99)))-1),Materiales!$A$2:$E$502,5,FALSE)*VALUE(MID(TRIM(MID(SUBSTITUTE($T198,";",REPT(" ",99)),892,99)),FIND(":",TRIM(MID(SUBSTITUTE($T198,";",REPT(" ",99)),892,99)))+1,99)),0)))</f>
        <v/>
      </c>
      <c r="V198" s="3"/>
      <c r="W198" s="5" t="str">
        <f t="array" ref="W198">IF($A198="","",IF($V198="",0,IFERROR(VLOOKUP(LEFT(TRIM(MID(SUBSTITUTE($V198,";",REPT(" ",99)),1,99)),FIND(":",TRIM(MID(SUBSTITUTE($V198,";",REPT(" ",99)),1,99)))-1),Materiales!$A$2:$E$502,5,FALSE)*VALUE(MID(TRIM(MID(SUBSTITUTE($V198,";",REPT(" ",99)),1,99)),FIND(":",TRIM(MID(SUBSTITUTE($V198,";",REPT(" ",99)),1,99)))+1,99)),0) + IFERROR(VLOOKUP(LEFT(TRIM(MID(SUBSTITUTE($V198,";",REPT(" ",99)),100,99)),FIND(":",TRIM(MID(SUBSTITUTE($V198,";",REPT(" ",99)),100,99)))-1),Materiales!$A$2:$E$502,5,FALSE)*VALUE(MID(TRIM(MID(SUBSTITUTE($V198,";",REPT(" ",99)),100,99)),FIND(":",TRIM(MID(SUBSTITUTE($V198,";",REPT(" ",99)),100,99)))+1,99)),0) + IFERROR(VLOOKUP(LEFT(TRIM(MID(SUBSTITUTE($V198,";",REPT(" ",99)),199,99)),FIND(":",TRIM(MID(SUBSTITUTE($V198,";",REPT(" ",99)),199,99)))-1),Materiales!$A$2:$E$502,5,FALSE)*VALUE(MID(TRIM(MID(SUBSTITUTE($V198,";",REPT(" ",99)),199,99)),FIND(":",TRIM(MID(SUBSTITUTE($V198,";",REPT(" ",99)),199,99)))+1,99)),0) + IFERROR(VLOOKUP(LEFT(TRIM(MID(SUBSTITUTE($V198,";",REPT(" ",99)),298,99)),FIND(":",TRIM(MID(SUBSTITUTE($V198,";",REPT(" ",99)),298,99)))-1),Materiales!$A$2:$E$502,5,FALSE)*VALUE(MID(TRIM(MID(SUBSTITUTE($V198,";",REPT(" ",99)),298,99)),FIND(":",TRIM(MID(SUBSTITUTE($V198,";",REPT(" ",99)),298,99)))+1,99)),0) + IFERROR(VLOOKUP(LEFT(TRIM(MID(SUBSTITUTE($V198,";",REPT(" ",99)),397,99)),FIND(":",TRIM(MID(SUBSTITUTE($V198,";",REPT(" ",99)),397,99)))-1),Materiales!$A$2:$E$502,5,FALSE)*VALUE(MID(TRIM(MID(SUBSTITUTE($V198,";",REPT(" ",99)),397,99)),FIND(":",TRIM(MID(SUBSTITUTE($V198,";",REPT(" ",99)),397,99)))+1,99)),0) + IFERROR(VLOOKUP(LEFT(TRIM(MID(SUBSTITUTE($V198,";",REPT(" ",99)),496,99)),FIND(":",TRIM(MID(SUBSTITUTE($V198,";",REPT(" ",99)),496,99)))-1),Materiales!$A$2:$E$502,5,FALSE)*VALUE(MID(TRIM(MID(SUBSTITUTE($V198,";",REPT(" ",99)),496,99)),FIND(":",TRIM(MID(SUBSTITUTE($V198,";",REPT(" ",99)),496,99)))+1,99)),0) + IFERROR(VLOOKUP(LEFT(TRIM(MID(SUBSTITUTE($V198,";",REPT(" ",99)),595,99)),FIND(":",TRIM(MID(SUBSTITUTE($V198,";",REPT(" ",99)),595,99)))-1),Materiales!$A$2:$E$502,5,FALSE)*VALUE(MID(TRIM(MID(SUBSTITUTE($V198,";",REPT(" ",99)),595,99)),FIND(":",TRIM(MID(SUBSTITUTE($V198,";",REPT(" ",99)),595,99)))+1,99)),0) + IFERROR(VLOOKUP(LEFT(TRIM(MID(SUBSTITUTE($V198,";",REPT(" ",99)),694,99)),FIND(":",TRIM(MID(SUBSTITUTE($V198,";",REPT(" ",99)),694,99)))-1),Materiales!$A$2:$E$502,5,FALSE)*VALUE(MID(TRIM(MID(SUBSTITUTE($V198,";",REPT(" ",99)),694,99)),FIND(":",TRIM(MID(SUBSTITUTE($V198,";",REPT(" ",99)),694,99)))+1,99)),0) + IFERROR(VLOOKUP(LEFT(TRIM(MID(SUBSTITUTE($V198,";",REPT(" ",99)),793,99)),FIND(":",TRIM(MID(SUBSTITUTE($V198,";",REPT(" ",99)),793,99)))-1),Materiales!$A$2:$E$502,5,FALSE)*VALUE(MID(TRIM(MID(SUBSTITUTE($V198,";",REPT(" ",99)),793,99)),FIND(":",TRIM(MID(SUBSTITUTE($V198,";",REPT(" ",99)),793,99)))+1,99)),0) + IFERROR(VLOOKUP(LEFT(TRIM(MID(SUBSTITUTE($V198,";",REPT(" ",99)),892,99)),FIND(":",TRIM(MID(SUBSTITUTE($V198,";",REPT(" ",99)),892,99)))-1),Materiales!$A$2:$E$502,5,FALSE)*VALUE(MID(TRIM(MID(SUBSTITUTE($V198,";",REPT(" ",99)),892,99)),FIND(":",TRIM(MID(SUBSTITUTE($V198,";",REPT(" ",99)),892,99)))+1,99)),0)))</f>
        <v/>
      </c>
      <c r="X198" s="39" t="str">
        <f t="shared" si="21"/>
        <v/>
      </c>
      <c r="Y198" s="64"/>
      <c r="Z198" s="67"/>
      <c r="AA198" s="65"/>
      <c r="AB198" s="14"/>
      <c r="AC198" s="66"/>
      <c r="AD198" s="65"/>
      <c r="AE198" s="44"/>
      <c r="AF198" s="45" t="str">
        <f t="shared" si="20"/>
        <v>#DIV/0!</v>
      </c>
    </row>
    <row r="199" ht="15.75" customHeight="1">
      <c r="A199" s="3"/>
      <c r="B199" s="3"/>
      <c r="C199" s="38"/>
      <c r="D199" s="38"/>
      <c r="E199" s="38"/>
      <c r="F199" s="14"/>
      <c r="G199" s="5" t="str">
        <f t="array" ref="G199">IF($A199="","",IFERROR($F199*(N($C199)*XLOOKUP($B199,Ceras!$A$2:$A$500,Ceras!$G$2:$G$500,0)+IF($D199="",0,N($E199)*XLOOKUP($D199,Ceras!$A$2:$A$500,Ceras!$G$2:$G$500,0))),"Revisar cera"))</f>
        <v/>
      </c>
      <c r="H199" s="5"/>
      <c r="I199" s="3"/>
      <c r="J199" s="14"/>
      <c r="K199" s="5" t="str">
        <f t="array" ref="K199">IF($A199="","",IFERROR($J199*XLOOKUP($I199,Pabilos!$A$2:$A$500,Pabilos!$H$2:$H$500,0),"Revisar pabilo"))</f>
        <v/>
      </c>
      <c r="L199" s="3"/>
      <c r="M199" s="14"/>
      <c r="N199" s="5" t="str">
        <f t="array" ref="N199">IF($A199="","",IFERROR($M199*XLOOKUP($L199,Esencias!$A$2:$A$501,Esencias!$G$2:$G$501,0),"Revisar esencia"))</f>
        <v/>
      </c>
      <c r="O199" s="3"/>
      <c r="P199" s="14"/>
      <c r="Q199" s="5" t="str">
        <f t="array" ref="Q199">IF($A199="","",IFERROR(IF($P199="",1,$P199)*XLOOKUP($O199,Colores!$A$2:$A$500,Colores!$H$2:$H$500,0),"Revisar color"))</f>
        <v/>
      </c>
      <c r="R199" s="3"/>
      <c r="S199" s="5" t="str">
        <f t="array" ref="S199">IF($A199="","",IF($R199="",0,IFERROR(VLOOKUP(LEFT(TRIM(MID(SUBSTITUTE($R199,";",REPT(" ",99)),1,99)),FIND(":",TRIM(MID(SUBSTITUTE($R199,";",REPT(" ",99)),1,99)))-1),Materiales!$A$2:$E$502,5,FALSE)*VALUE(MID(TRIM(MID(SUBSTITUTE($R199,";",REPT(" ",99)),1,99)),FIND(":",TRIM(MID(SUBSTITUTE($R199,";",REPT(" ",99)),1,99)))+1,99)),0) + IFERROR(VLOOKUP(LEFT(TRIM(MID(SUBSTITUTE($R199,";",REPT(" ",99)),100,99)),FIND(":",TRIM(MID(SUBSTITUTE($R199,";",REPT(" ",99)),100,99)))-1),Materiales!$A$2:$E$502,5,FALSE)*VALUE(MID(TRIM(MID(SUBSTITUTE($R199,";",REPT(" ",99)),100,99)),FIND(":",TRIM(MID(SUBSTITUTE($R199,";",REPT(" ",99)),100,99)))+1,99)),0) + IFERROR(VLOOKUP(LEFT(TRIM(MID(SUBSTITUTE($R199,";",REPT(" ",99)),199,99)),FIND(":",TRIM(MID(SUBSTITUTE($R199,";",REPT(" ",99)),199,99)))-1),Materiales!$A$2:$E$502,5,FALSE)*VALUE(MID(TRIM(MID(SUBSTITUTE($R199,";",REPT(" ",99)),199,99)),FIND(":",TRIM(MID(SUBSTITUTE($R199,";",REPT(" ",99)),199,99)))+1,99)),0) + IFERROR(VLOOKUP(LEFT(TRIM(MID(SUBSTITUTE($R199,";",REPT(" ",99)),298,99)),FIND(":",TRIM(MID(SUBSTITUTE($R199,";",REPT(" ",99)),298,99)))-1),Materiales!$A$2:$E$502,5,FALSE)*VALUE(MID(TRIM(MID(SUBSTITUTE($R199,";",REPT(" ",99)),298,99)),FIND(":",TRIM(MID(SUBSTITUTE($R199,";",REPT(" ",99)),298,99)))+1,99)),0) + IFERROR(VLOOKUP(LEFT(TRIM(MID(SUBSTITUTE($R199,";",REPT(" ",99)),397,99)),FIND(":",TRIM(MID(SUBSTITUTE($R199,";",REPT(" ",99)),397,99)))-1),Materiales!$A$2:$E$502,5,FALSE)*VALUE(MID(TRIM(MID(SUBSTITUTE($R199,";",REPT(" ",99)),397,99)),FIND(":",TRIM(MID(SUBSTITUTE($R199,";",REPT(" ",99)),397,99)))+1,99)),0) + IFERROR(VLOOKUP(LEFT(TRIM(MID(SUBSTITUTE($R199,";",REPT(" ",99)),496,99)),FIND(":",TRIM(MID(SUBSTITUTE($R199,";",REPT(" ",99)),496,99)))-1),Materiales!$A$2:$E$502,5,FALSE)*VALUE(MID(TRIM(MID(SUBSTITUTE($R199,";",REPT(" ",99)),496,99)),FIND(":",TRIM(MID(SUBSTITUTE($R199,";",REPT(" ",99)),496,99)))+1,99)),0) + IFERROR(VLOOKUP(LEFT(TRIM(MID(SUBSTITUTE($R199,";",REPT(" ",99)),595,99)),FIND(":",TRIM(MID(SUBSTITUTE($R199,";",REPT(" ",99)),595,99)))-1),Materiales!$A$2:$E$502,5,FALSE)*VALUE(MID(TRIM(MID(SUBSTITUTE($R199,";",REPT(" ",99)),595,99)),FIND(":",TRIM(MID(SUBSTITUTE($R199,";",REPT(" ",99)),595,99)))+1,99)),0) + IFERROR(VLOOKUP(LEFT(TRIM(MID(SUBSTITUTE($R199,";",REPT(" ",99)),694,99)),FIND(":",TRIM(MID(SUBSTITUTE($R199,";",REPT(" ",99)),694,99)))-1),Materiales!$A$2:$E$502,5,FALSE)*VALUE(MID(TRIM(MID(SUBSTITUTE($R199,";",REPT(" ",99)),694,99)),FIND(":",TRIM(MID(SUBSTITUTE($R199,";",REPT(" ",99)),694,99)))+1,99)),0) + IFERROR(VLOOKUP(LEFT(TRIM(MID(SUBSTITUTE($R199,";",REPT(" ",99)),793,99)),FIND(":",TRIM(MID(SUBSTITUTE($R199,";",REPT(" ",99)),793,99)))-1),Materiales!$A$2:$E$502,5,FALSE)*VALUE(MID(TRIM(MID(SUBSTITUTE($R199,";",REPT(" ",99)),793,99)),FIND(":",TRIM(MID(SUBSTITUTE($R199,";",REPT(" ",99)),793,99)))+1,99)),0) + IFERROR(VLOOKUP(LEFT(TRIM(MID(SUBSTITUTE($R199,";",REPT(" ",99)),892,99)),FIND(":",TRIM(MID(SUBSTITUTE($R199,";",REPT(" ",99)),892,99)))-1),Materiales!$A$2:$E$502,5,FALSE)*VALUE(MID(TRIM(MID(SUBSTITUTE($R199,";",REPT(" ",99)),892,99)),FIND(":",TRIM(MID(SUBSTITUTE($R199,";",REPT(" ",99)),892,99)))+1,99)),0)))</f>
        <v/>
      </c>
      <c r="T199" s="3"/>
      <c r="U199" s="5" t="str">
        <f t="array" ref="U199">IF($A199="","",IF($T199="",0,IFERROR(VLOOKUP(LEFT(TRIM(MID(SUBSTITUTE($T199,";",REPT(" ",99)),1,99)),FIND(":",TRIM(MID(SUBSTITUTE($T199,";",REPT(" ",99)),1,99)))-1),Materiales!$A$2:$E$502,5,FALSE)*VALUE(MID(TRIM(MID(SUBSTITUTE($T199,";",REPT(" ",99)),1,99)),FIND(":",TRIM(MID(SUBSTITUTE($T199,";",REPT(" ",99)),1,99)))+1,99)),0) + IFERROR(VLOOKUP(LEFT(TRIM(MID(SUBSTITUTE($T199,";",REPT(" ",99)),100,99)),FIND(":",TRIM(MID(SUBSTITUTE($T199,";",REPT(" ",99)),100,99)))-1),Materiales!$A$2:$E$502,5,FALSE)*VALUE(MID(TRIM(MID(SUBSTITUTE($T199,";",REPT(" ",99)),100,99)),FIND(":",TRIM(MID(SUBSTITUTE($T199,";",REPT(" ",99)),100,99)))+1,99)),0) + IFERROR(VLOOKUP(LEFT(TRIM(MID(SUBSTITUTE($T199,";",REPT(" ",99)),199,99)),FIND(":",TRIM(MID(SUBSTITUTE($T199,";",REPT(" ",99)),199,99)))-1),Materiales!$A$2:$E$502,5,FALSE)*VALUE(MID(TRIM(MID(SUBSTITUTE($T199,";",REPT(" ",99)),199,99)),FIND(":",TRIM(MID(SUBSTITUTE($T199,";",REPT(" ",99)),199,99)))+1,99)),0) + IFERROR(VLOOKUP(LEFT(TRIM(MID(SUBSTITUTE($T199,";",REPT(" ",99)),298,99)),FIND(":",TRIM(MID(SUBSTITUTE($T199,";",REPT(" ",99)),298,99)))-1),Materiales!$A$2:$E$502,5,FALSE)*VALUE(MID(TRIM(MID(SUBSTITUTE($T199,";",REPT(" ",99)),298,99)),FIND(":",TRIM(MID(SUBSTITUTE($T199,";",REPT(" ",99)),298,99)))+1,99)),0) + IFERROR(VLOOKUP(LEFT(TRIM(MID(SUBSTITUTE($T199,";",REPT(" ",99)),397,99)),FIND(":",TRIM(MID(SUBSTITUTE($T199,";",REPT(" ",99)),397,99)))-1),Materiales!$A$2:$E$502,5,FALSE)*VALUE(MID(TRIM(MID(SUBSTITUTE($T199,";",REPT(" ",99)),397,99)),FIND(":",TRIM(MID(SUBSTITUTE($T199,";",REPT(" ",99)),397,99)))+1,99)),0) + IFERROR(VLOOKUP(LEFT(TRIM(MID(SUBSTITUTE($T199,";",REPT(" ",99)),496,99)),FIND(":",TRIM(MID(SUBSTITUTE($T199,";",REPT(" ",99)),496,99)))-1),Materiales!$A$2:$E$502,5,FALSE)*VALUE(MID(TRIM(MID(SUBSTITUTE($T199,";",REPT(" ",99)),496,99)),FIND(":",TRIM(MID(SUBSTITUTE($T199,";",REPT(" ",99)),496,99)))+1,99)),0) + IFERROR(VLOOKUP(LEFT(TRIM(MID(SUBSTITUTE($T199,";",REPT(" ",99)),595,99)),FIND(":",TRIM(MID(SUBSTITUTE($T199,";",REPT(" ",99)),595,99)))-1),Materiales!$A$2:$E$502,5,FALSE)*VALUE(MID(TRIM(MID(SUBSTITUTE($T199,";",REPT(" ",99)),595,99)),FIND(":",TRIM(MID(SUBSTITUTE($T199,";",REPT(" ",99)),595,99)))+1,99)),0) + IFERROR(VLOOKUP(LEFT(TRIM(MID(SUBSTITUTE($T199,";",REPT(" ",99)),694,99)),FIND(":",TRIM(MID(SUBSTITUTE($T199,";",REPT(" ",99)),694,99)))-1),Materiales!$A$2:$E$502,5,FALSE)*VALUE(MID(TRIM(MID(SUBSTITUTE($T199,";",REPT(" ",99)),694,99)),FIND(":",TRIM(MID(SUBSTITUTE($T199,";",REPT(" ",99)),694,99)))+1,99)),0) + IFERROR(VLOOKUP(LEFT(TRIM(MID(SUBSTITUTE($T199,";",REPT(" ",99)),793,99)),FIND(":",TRIM(MID(SUBSTITUTE($T199,";",REPT(" ",99)),793,99)))-1),Materiales!$A$2:$E$502,5,FALSE)*VALUE(MID(TRIM(MID(SUBSTITUTE($T199,";",REPT(" ",99)),793,99)),FIND(":",TRIM(MID(SUBSTITUTE($T199,";",REPT(" ",99)),793,99)))+1,99)),0) + IFERROR(VLOOKUP(LEFT(TRIM(MID(SUBSTITUTE($T199,";",REPT(" ",99)),892,99)),FIND(":",TRIM(MID(SUBSTITUTE($T199,";",REPT(" ",99)),892,99)))-1),Materiales!$A$2:$E$502,5,FALSE)*VALUE(MID(TRIM(MID(SUBSTITUTE($T199,";",REPT(" ",99)),892,99)),FIND(":",TRIM(MID(SUBSTITUTE($T199,";",REPT(" ",99)),892,99)))+1,99)),0)))</f>
        <v/>
      </c>
      <c r="V199" s="3"/>
      <c r="W199" s="5" t="str">
        <f t="array" ref="W199">IF($A199="","",IF($V199="",0,IFERROR(VLOOKUP(LEFT(TRIM(MID(SUBSTITUTE($V199,";",REPT(" ",99)),1,99)),FIND(":",TRIM(MID(SUBSTITUTE($V199,";",REPT(" ",99)),1,99)))-1),Materiales!$A$2:$E$502,5,FALSE)*VALUE(MID(TRIM(MID(SUBSTITUTE($V199,";",REPT(" ",99)),1,99)),FIND(":",TRIM(MID(SUBSTITUTE($V199,";",REPT(" ",99)),1,99)))+1,99)),0) + IFERROR(VLOOKUP(LEFT(TRIM(MID(SUBSTITUTE($V199,";",REPT(" ",99)),100,99)),FIND(":",TRIM(MID(SUBSTITUTE($V199,";",REPT(" ",99)),100,99)))-1),Materiales!$A$2:$E$502,5,FALSE)*VALUE(MID(TRIM(MID(SUBSTITUTE($V199,";",REPT(" ",99)),100,99)),FIND(":",TRIM(MID(SUBSTITUTE($V199,";",REPT(" ",99)),100,99)))+1,99)),0) + IFERROR(VLOOKUP(LEFT(TRIM(MID(SUBSTITUTE($V199,";",REPT(" ",99)),199,99)),FIND(":",TRIM(MID(SUBSTITUTE($V199,";",REPT(" ",99)),199,99)))-1),Materiales!$A$2:$E$502,5,FALSE)*VALUE(MID(TRIM(MID(SUBSTITUTE($V199,";",REPT(" ",99)),199,99)),FIND(":",TRIM(MID(SUBSTITUTE($V199,";",REPT(" ",99)),199,99)))+1,99)),0) + IFERROR(VLOOKUP(LEFT(TRIM(MID(SUBSTITUTE($V199,";",REPT(" ",99)),298,99)),FIND(":",TRIM(MID(SUBSTITUTE($V199,";",REPT(" ",99)),298,99)))-1),Materiales!$A$2:$E$502,5,FALSE)*VALUE(MID(TRIM(MID(SUBSTITUTE($V199,";",REPT(" ",99)),298,99)),FIND(":",TRIM(MID(SUBSTITUTE($V199,";",REPT(" ",99)),298,99)))+1,99)),0) + IFERROR(VLOOKUP(LEFT(TRIM(MID(SUBSTITUTE($V199,";",REPT(" ",99)),397,99)),FIND(":",TRIM(MID(SUBSTITUTE($V199,";",REPT(" ",99)),397,99)))-1),Materiales!$A$2:$E$502,5,FALSE)*VALUE(MID(TRIM(MID(SUBSTITUTE($V199,";",REPT(" ",99)),397,99)),FIND(":",TRIM(MID(SUBSTITUTE($V199,";",REPT(" ",99)),397,99)))+1,99)),0) + IFERROR(VLOOKUP(LEFT(TRIM(MID(SUBSTITUTE($V199,";",REPT(" ",99)),496,99)),FIND(":",TRIM(MID(SUBSTITUTE($V199,";",REPT(" ",99)),496,99)))-1),Materiales!$A$2:$E$502,5,FALSE)*VALUE(MID(TRIM(MID(SUBSTITUTE($V199,";",REPT(" ",99)),496,99)),FIND(":",TRIM(MID(SUBSTITUTE($V199,";",REPT(" ",99)),496,99)))+1,99)),0) + IFERROR(VLOOKUP(LEFT(TRIM(MID(SUBSTITUTE($V199,";",REPT(" ",99)),595,99)),FIND(":",TRIM(MID(SUBSTITUTE($V199,";",REPT(" ",99)),595,99)))-1),Materiales!$A$2:$E$502,5,FALSE)*VALUE(MID(TRIM(MID(SUBSTITUTE($V199,";",REPT(" ",99)),595,99)),FIND(":",TRIM(MID(SUBSTITUTE($V199,";",REPT(" ",99)),595,99)))+1,99)),0) + IFERROR(VLOOKUP(LEFT(TRIM(MID(SUBSTITUTE($V199,";",REPT(" ",99)),694,99)),FIND(":",TRIM(MID(SUBSTITUTE($V199,";",REPT(" ",99)),694,99)))-1),Materiales!$A$2:$E$502,5,FALSE)*VALUE(MID(TRIM(MID(SUBSTITUTE($V199,";",REPT(" ",99)),694,99)),FIND(":",TRIM(MID(SUBSTITUTE($V199,";",REPT(" ",99)),694,99)))+1,99)),0) + IFERROR(VLOOKUP(LEFT(TRIM(MID(SUBSTITUTE($V199,";",REPT(" ",99)),793,99)),FIND(":",TRIM(MID(SUBSTITUTE($V199,";",REPT(" ",99)),793,99)))-1),Materiales!$A$2:$E$502,5,FALSE)*VALUE(MID(TRIM(MID(SUBSTITUTE($V199,";",REPT(" ",99)),793,99)),FIND(":",TRIM(MID(SUBSTITUTE($V199,";",REPT(" ",99)),793,99)))+1,99)),0) + IFERROR(VLOOKUP(LEFT(TRIM(MID(SUBSTITUTE($V199,";",REPT(" ",99)),892,99)),FIND(":",TRIM(MID(SUBSTITUTE($V199,";",REPT(" ",99)),892,99)))-1),Materiales!$A$2:$E$502,5,FALSE)*VALUE(MID(TRIM(MID(SUBSTITUTE($V199,";",REPT(" ",99)),892,99)),FIND(":",TRIM(MID(SUBSTITUTE($V199,";",REPT(" ",99)),892,99)))+1,99)),0)))</f>
        <v/>
      </c>
      <c r="X199" s="39" t="str">
        <f t="shared" si="21"/>
        <v/>
      </c>
      <c r="Y199" s="64"/>
      <c r="Z199" s="67"/>
      <c r="AA199" s="65"/>
      <c r="AB199" s="14"/>
      <c r="AC199" s="66"/>
      <c r="AD199" s="65"/>
      <c r="AE199" s="44"/>
      <c r="AF199" s="45" t="str">
        <f t="shared" si="20"/>
        <v>#DIV/0!</v>
      </c>
    </row>
    <row r="200" ht="15.75" customHeight="1">
      <c r="A200" s="3"/>
      <c r="B200" s="3"/>
      <c r="C200" s="38"/>
      <c r="D200" s="38"/>
      <c r="E200" s="38"/>
      <c r="F200" s="14"/>
      <c r="G200" s="5" t="str">
        <f t="array" ref="G200">IF($A200="","",IFERROR($F200*(N($C200)*XLOOKUP($B200,Ceras!$A$2:$A$500,Ceras!$G$2:$G$500,0)+IF($D200="",0,N($E200)*XLOOKUP($D200,Ceras!$A$2:$A$500,Ceras!$G$2:$G$500,0))),"Revisar cera"))</f>
        <v/>
      </c>
      <c r="H200" s="5"/>
      <c r="I200" s="3"/>
      <c r="J200" s="14"/>
      <c r="K200" s="5" t="str">
        <f t="array" ref="K200">IF($A200="","",IFERROR($J200*XLOOKUP($I200,Pabilos!$A$2:$A$500,Pabilos!$H$2:$H$500,0),"Revisar pabilo"))</f>
        <v/>
      </c>
      <c r="L200" s="3"/>
      <c r="M200" s="14"/>
      <c r="N200" s="5" t="str">
        <f t="array" ref="N200">IF($A200="","",IFERROR($M200*XLOOKUP($L200,Esencias!$A$2:$A$501,Esencias!$G$2:$G$501,0),"Revisar esencia"))</f>
        <v/>
      </c>
      <c r="O200" s="3"/>
      <c r="P200" s="14"/>
      <c r="Q200" s="5" t="str">
        <f t="array" ref="Q200">IF($A200="","",IFERROR(IF($P200="",1,$P200)*XLOOKUP($O200,Colores!$A$2:$A$500,Colores!$H$2:$H$500,0),"Revisar color"))</f>
        <v/>
      </c>
      <c r="R200" s="3"/>
      <c r="S200" s="5" t="str">
        <f t="array" ref="S200">IF($A200="","",IF($R200="",0,IFERROR(VLOOKUP(LEFT(TRIM(MID(SUBSTITUTE($R200,";",REPT(" ",99)),1,99)),FIND(":",TRIM(MID(SUBSTITUTE($R200,";",REPT(" ",99)),1,99)))-1),Materiales!$A$2:$E$502,5,FALSE)*VALUE(MID(TRIM(MID(SUBSTITUTE($R200,";",REPT(" ",99)),1,99)),FIND(":",TRIM(MID(SUBSTITUTE($R200,";",REPT(" ",99)),1,99)))+1,99)),0) + IFERROR(VLOOKUP(LEFT(TRIM(MID(SUBSTITUTE($R200,";",REPT(" ",99)),100,99)),FIND(":",TRIM(MID(SUBSTITUTE($R200,";",REPT(" ",99)),100,99)))-1),Materiales!$A$2:$E$502,5,FALSE)*VALUE(MID(TRIM(MID(SUBSTITUTE($R200,";",REPT(" ",99)),100,99)),FIND(":",TRIM(MID(SUBSTITUTE($R200,";",REPT(" ",99)),100,99)))+1,99)),0) + IFERROR(VLOOKUP(LEFT(TRIM(MID(SUBSTITUTE($R200,";",REPT(" ",99)),199,99)),FIND(":",TRIM(MID(SUBSTITUTE($R200,";",REPT(" ",99)),199,99)))-1),Materiales!$A$2:$E$502,5,FALSE)*VALUE(MID(TRIM(MID(SUBSTITUTE($R200,";",REPT(" ",99)),199,99)),FIND(":",TRIM(MID(SUBSTITUTE($R200,";",REPT(" ",99)),199,99)))+1,99)),0) + IFERROR(VLOOKUP(LEFT(TRIM(MID(SUBSTITUTE($R200,";",REPT(" ",99)),298,99)),FIND(":",TRIM(MID(SUBSTITUTE($R200,";",REPT(" ",99)),298,99)))-1),Materiales!$A$2:$E$502,5,FALSE)*VALUE(MID(TRIM(MID(SUBSTITUTE($R200,";",REPT(" ",99)),298,99)),FIND(":",TRIM(MID(SUBSTITUTE($R200,";",REPT(" ",99)),298,99)))+1,99)),0) + IFERROR(VLOOKUP(LEFT(TRIM(MID(SUBSTITUTE($R200,";",REPT(" ",99)),397,99)),FIND(":",TRIM(MID(SUBSTITUTE($R200,";",REPT(" ",99)),397,99)))-1),Materiales!$A$2:$E$502,5,FALSE)*VALUE(MID(TRIM(MID(SUBSTITUTE($R200,";",REPT(" ",99)),397,99)),FIND(":",TRIM(MID(SUBSTITUTE($R200,";",REPT(" ",99)),397,99)))+1,99)),0) + IFERROR(VLOOKUP(LEFT(TRIM(MID(SUBSTITUTE($R200,";",REPT(" ",99)),496,99)),FIND(":",TRIM(MID(SUBSTITUTE($R200,";",REPT(" ",99)),496,99)))-1),Materiales!$A$2:$E$502,5,FALSE)*VALUE(MID(TRIM(MID(SUBSTITUTE($R200,";",REPT(" ",99)),496,99)),FIND(":",TRIM(MID(SUBSTITUTE($R200,";",REPT(" ",99)),496,99)))+1,99)),0) + IFERROR(VLOOKUP(LEFT(TRIM(MID(SUBSTITUTE($R200,";",REPT(" ",99)),595,99)),FIND(":",TRIM(MID(SUBSTITUTE($R200,";",REPT(" ",99)),595,99)))-1),Materiales!$A$2:$E$502,5,FALSE)*VALUE(MID(TRIM(MID(SUBSTITUTE($R200,";",REPT(" ",99)),595,99)),FIND(":",TRIM(MID(SUBSTITUTE($R200,";",REPT(" ",99)),595,99)))+1,99)),0) + IFERROR(VLOOKUP(LEFT(TRIM(MID(SUBSTITUTE($R200,";",REPT(" ",99)),694,99)),FIND(":",TRIM(MID(SUBSTITUTE($R200,";",REPT(" ",99)),694,99)))-1),Materiales!$A$2:$E$502,5,FALSE)*VALUE(MID(TRIM(MID(SUBSTITUTE($R200,";",REPT(" ",99)),694,99)),FIND(":",TRIM(MID(SUBSTITUTE($R200,";",REPT(" ",99)),694,99)))+1,99)),0) + IFERROR(VLOOKUP(LEFT(TRIM(MID(SUBSTITUTE($R200,";",REPT(" ",99)),793,99)),FIND(":",TRIM(MID(SUBSTITUTE($R200,";",REPT(" ",99)),793,99)))-1),Materiales!$A$2:$E$502,5,FALSE)*VALUE(MID(TRIM(MID(SUBSTITUTE($R200,";",REPT(" ",99)),793,99)),FIND(":",TRIM(MID(SUBSTITUTE($R200,";",REPT(" ",99)),793,99)))+1,99)),0) + IFERROR(VLOOKUP(LEFT(TRIM(MID(SUBSTITUTE($R200,";",REPT(" ",99)),892,99)),FIND(":",TRIM(MID(SUBSTITUTE($R200,";",REPT(" ",99)),892,99)))-1),Materiales!$A$2:$E$502,5,FALSE)*VALUE(MID(TRIM(MID(SUBSTITUTE($R200,";",REPT(" ",99)),892,99)),FIND(":",TRIM(MID(SUBSTITUTE($R200,";",REPT(" ",99)),892,99)))+1,99)),0)))</f>
        <v/>
      </c>
      <c r="T200" s="3"/>
      <c r="U200" s="5" t="str">
        <f t="array" ref="U200">IF($A200="","",IF($T200="",0,IFERROR(VLOOKUP(LEFT(TRIM(MID(SUBSTITUTE($T200,";",REPT(" ",99)),1,99)),FIND(":",TRIM(MID(SUBSTITUTE($T200,";",REPT(" ",99)),1,99)))-1),Materiales!$A$2:$E$502,5,FALSE)*VALUE(MID(TRIM(MID(SUBSTITUTE($T200,";",REPT(" ",99)),1,99)),FIND(":",TRIM(MID(SUBSTITUTE($T200,";",REPT(" ",99)),1,99)))+1,99)),0) + IFERROR(VLOOKUP(LEFT(TRIM(MID(SUBSTITUTE($T200,";",REPT(" ",99)),100,99)),FIND(":",TRIM(MID(SUBSTITUTE($T200,";",REPT(" ",99)),100,99)))-1),Materiales!$A$2:$E$502,5,FALSE)*VALUE(MID(TRIM(MID(SUBSTITUTE($T200,";",REPT(" ",99)),100,99)),FIND(":",TRIM(MID(SUBSTITUTE($T200,";",REPT(" ",99)),100,99)))+1,99)),0) + IFERROR(VLOOKUP(LEFT(TRIM(MID(SUBSTITUTE($T200,";",REPT(" ",99)),199,99)),FIND(":",TRIM(MID(SUBSTITUTE($T200,";",REPT(" ",99)),199,99)))-1),Materiales!$A$2:$E$502,5,FALSE)*VALUE(MID(TRIM(MID(SUBSTITUTE($T200,";",REPT(" ",99)),199,99)),FIND(":",TRIM(MID(SUBSTITUTE($T200,";",REPT(" ",99)),199,99)))+1,99)),0) + IFERROR(VLOOKUP(LEFT(TRIM(MID(SUBSTITUTE($T200,";",REPT(" ",99)),298,99)),FIND(":",TRIM(MID(SUBSTITUTE($T200,";",REPT(" ",99)),298,99)))-1),Materiales!$A$2:$E$502,5,FALSE)*VALUE(MID(TRIM(MID(SUBSTITUTE($T200,";",REPT(" ",99)),298,99)),FIND(":",TRIM(MID(SUBSTITUTE($T200,";",REPT(" ",99)),298,99)))+1,99)),0) + IFERROR(VLOOKUP(LEFT(TRIM(MID(SUBSTITUTE($T200,";",REPT(" ",99)),397,99)),FIND(":",TRIM(MID(SUBSTITUTE($T200,";",REPT(" ",99)),397,99)))-1),Materiales!$A$2:$E$502,5,FALSE)*VALUE(MID(TRIM(MID(SUBSTITUTE($T200,";",REPT(" ",99)),397,99)),FIND(":",TRIM(MID(SUBSTITUTE($T200,";",REPT(" ",99)),397,99)))+1,99)),0) + IFERROR(VLOOKUP(LEFT(TRIM(MID(SUBSTITUTE($T200,";",REPT(" ",99)),496,99)),FIND(":",TRIM(MID(SUBSTITUTE($T200,";",REPT(" ",99)),496,99)))-1),Materiales!$A$2:$E$502,5,FALSE)*VALUE(MID(TRIM(MID(SUBSTITUTE($T200,";",REPT(" ",99)),496,99)),FIND(":",TRIM(MID(SUBSTITUTE($T200,";",REPT(" ",99)),496,99)))+1,99)),0) + IFERROR(VLOOKUP(LEFT(TRIM(MID(SUBSTITUTE($T200,";",REPT(" ",99)),595,99)),FIND(":",TRIM(MID(SUBSTITUTE($T200,";",REPT(" ",99)),595,99)))-1),Materiales!$A$2:$E$502,5,FALSE)*VALUE(MID(TRIM(MID(SUBSTITUTE($T200,";",REPT(" ",99)),595,99)),FIND(":",TRIM(MID(SUBSTITUTE($T200,";",REPT(" ",99)),595,99)))+1,99)),0) + IFERROR(VLOOKUP(LEFT(TRIM(MID(SUBSTITUTE($T200,";",REPT(" ",99)),694,99)),FIND(":",TRIM(MID(SUBSTITUTE($T200,";",REPT(" ",99)),694,99)))-1),Materiales!$A$2:$E$502,5,FALSE)*VALUE(MID(TRIM(MID(SUBSTITUTE($T200,";",REPT(" ",99)),694,99)),FIND(":",TRIM(MID(SUBSTITUTE($T200,";",REPT(" ",99)),694,99)))+1,99)),0) + IFERROR(VLOOKUP(LEFT(TRIM(MID(SUBSTITUTE($T200,";",REPT(" ",99)),793,99)),FIND(":",TRIM(MID(SUBSTITUTE($T200,";",REPT(" ",99)),793,99)))-1),Materiales!$A$2:$E$502,5,FALSE)*VALUE(MID(TRIM(MID(SUBSTITUTE($T200,";",REPT(" ",99)),793,99)),FIND(":",TRIM(MID(SUBSTITUTE($T200,";",REPT(" ",99)),793,99)))+1,99)),0) + IFERROR(VLOOKUP(LEFT(TRIM(MID(SUBSTITUTE($T200,";",REPT(" ",99)),892,99)),FIND(":",TRIM(MID(SUBSTITUTE($T200,";",REPT(" ",99)),892,99)))-1),Materiales!$A$2:$E$502,5,FALSE)*VALUE(MID(TRIM(MID(SUBSTITUTE($T200,";",REPT(" ",99)),892,99)),FIND(":",TRIM(MID(SUBSTITUTE($T200,";",REPT(" ",99)),892,99)))+1,99)),0)))</f>
        <v/>
      </c>
      <c r="V200" s="3"/>
      <c r="W200" s="5" t="str">
        <f t="array" ref="W200">IF($A200="","",IF($V200="",0,IFERROR(VLOOKUP(LEFT(TRIM(MID(SUBSTITUTE($V200,";",REPT(" ",99)),1,99)),FIND(":",TRIM(MID(SUBSTITUTE($V200,";",REPT(" ",99)),1,99)))-1),Materiales!$A$2:$E$502,5,FALSE)*VALUE(MID(TRIM(MID(SUBSTITUTE($V200,";",REPT(" ",99)),1,99)),FIND(":",TRIM(MID(SUBSTITUTE($V200,";",REPT(" ",99)),1,99)))+1,99)),0) + IFERROR(VLOOKUP(LEFT(TRIM(MID(SUBSTITUTE($V200,";",REPT(" ",99)),100,99)),FIND(":",TRIM(MID(SUBSTITUTE($V200,";",REPT(" ",99)),100,99)))-1),Materiales!$A$2:$E$502,5,FALSE)*VALUE(MID(TRIM(MID(SUBSTITUTE($V200,";",REPT(" ",99)),100,99)),FIND(":",TRIM(MID(SUBSTITUTE($V200,";",REPT(" ",99)),100,99)))+1,99)),0) + IFERROR(VLOOKUP(LEFT(TRIM(MID(SUBSTITUTE($V200,";",REPT(" ",99)),199,99)),FIND(":",TRIM(MID(SUBSTITUTE($V200,";",REPT(" ",99)),199,99)))-1),Materiales!$A$2:$E$502,5,FALSE)*VALUE(MID(TRIM(MID(SUBSTITUTE($V200,";",REPT(" ",99)),199,99)),FIND(":",TRIM(MID(SUBSTITUTE($V200,";",REPT(" ",99)),199,99)))+1,99)),0) + IFERROR(VLOOKUP(LEFT(TRIM(MID(SUBSTITUTE($V200,";",REPT(" ",99)),298,99)),FIND(":",TRIM(MID(SUBSTITUTE($V200,";",REPT(" ",99)),298,99)))-1),Materiales!$A$2:$E$502,5,FALSE)*VALUE(MID(TRIM(MID(SUBSTITUTE($V200,";",REPT(" ",99)),298,99)),FIND(":",TRIM(MID(SUBSTITUTE($V200,";",REPT(" ",99)),298,99)))+1,99)),0) + IFERROR(VLOOKUP(LEFT(TRIM(MID(SUBSTITUTE($V200,";",REPT(" ",99)),397,99)),FIND(":",TRIM(MID(SUBSTITUTE($V200,";",REPT(" ",99)),397,99)))-1),Materiales!$A$2:$E$502,5,FALSE)*VALUE(MID(TRIM(MID(SUBSTITUTE($V200,";",REPT(" ",99)),397,99)),FIND(":",TRIM(MID(SUBSTITUTE($V200,";",REPT(" ",99)),397,99)))+1,99)),0) + IFERROR(VLOOKUP(LEFT(TRIM(MID(SUBSTITUTE($V200,";",REPT(" ",99)),496,99)),FIND(":",TRIM(MID(SUBSTITUTE($V200,";",REPT(" ",99)),496,99)))-1),Materiales!$A$2:$E$502,5,FALSE)*VALUE(MID(TRIM(MID(SUBSTITUTE($V200,";",REPT(" ",99)),496,99)),FIND(":",TRIM(MID(SUBSTITUTE($V200,";",REPT(" ",99)),496,99)))+1,99)),0) + IFERROR(VLOOKUP(LEFT(TRIM(MID(SUBSTITUTE($V200,";",REPT(" ",99)),595,99)),FIND(":",TRIM(MID(SUBSTITUTE($V200,";",REPT(" ",99)),595,99)))-1),Materiales!$A$2:$E$502,5,FALSE)*VALUE(MID(TRIM(MID(SUBSTITUTE($V200,";",REPT(" ",99)),595,99)),FIND(":",TRIM(MID(SUBSTITUTE($V200,";",REPT(" ",99)),595,99)))+1,99)),0) + IFERROR(VLOOKUP(LEFT(TRIM(MID(SUBSTITUTE($V200,";",REPT(" ",99)),694,99)),FIND(":",TRIM(MID(SUBSTITUTE($V200,";",REPT(" ",99)),694,99)))-1),Materiales!$A$2:$E$502,5,FALSE)*VALUE(MID(TRIM(MID(SUBSTITUTE($V200,";",REPT(" ",99)),694,99)),FIND(":",TRIM(MID(SUBSTITUTE($V200,";",REPT(" ",99)),694,99)))+1,99)),0) + IFERROR(VLOOKUP(LEFT(TRIM(MID(SUBSTITUTE($V200,";",REPT(" ",99)),793,99)),FIND(":",TRIM(MID(SUBSTITUTE($V200,";",REPT(" ",99)),793,99)))-1),Materiales!$A$2:$E$502,5,FALSE)*VALUE(MID(TRIM(MID(SUBSTITUTE($V200,";",REPT(" ",99)),793,99)),FIND(":",TRIM(MID(SUBSTITUTE($V200,";",REPT(" ",99)),793,99)))+1,99)),0) + IFERROR(VLOOKUP(LEFT(TRIM(MID(SUBSTITUTE($V200,";",REPT(" ",99)),892,99)),FIND(":",TRIM(MID(SUBSTITUTE($V200,";",REPT(" ",99)),892,99)))-1),Materiales!$A$2:$E$502,5,FALSE)*VALUE(MID(TRIM(MID(SUBSTITUTE($V200,";",REPT(" ",99)),892,99)),FIND(":",TRIM(MID(SUBSTITUTE($V200,";",REPT(" ",99)),892,99)))+1,99)),0)))</f>
        <v/>
      </c>
      <c r="X200" s="39" t="str">
        <f t="shared" si="21"/>
        <v/>
      </c>
      <c r="Y200" s="64"/>
      <c r="Z200" s="67"/>
      <c r="AA200" s="65"/>
      <c r="AB200" s="14"/>
      <c r="AC200" s="66"/>
      <c r="AD200" s="65"/>
      <c r="AE200" s="44"/>
      <c r="AF200" s="45" t="str">
        <f t="shared" si="20"/>
        <v>#DIV/0!</v>
      </c>
    </row>
    <row r="201" ht="15.75" customHeight="1">
      <c r="A201" s="3"/>
      <c r="B201" s="3"/>
      <c r="C201" s="38"/>
      <c r="D201" s="38"/>
      <c r="E201" s="38"/>
      <c r="F201" s="14"/>
      <c r="G201" s="5" t="str">
        <f t="array" ref="G201">IF($A201="","",IFERROR($F201*(N($C201)*XLOOKUP($B201,Ceras!$A$2:$A$500,Ceras!$G$2:$G$500,0)+IF($D201="",0,N($E201)*XLOOKUP($D201,Ceras!$A$2:$A$500,Ceras!$G$2:$G$500,0))),"Revisar cera"))</f>
        <v/>
      </c>
      <c r="H201" s="5"/>
      <c r="I201" s="3"/>
      <c r="J201" s="14"/>
      <c r="K201" s="5" t="str">
        <f t="array" ref="K201">IF($A201="","",IFERROR($J201*XLOOKUP($I201,Pabilos!$A$2:$A$500,Pabilos!$H$2:$H$500,0),"Revisar pabilo"))</f>
        <v/>
      </c>
      <c r="L201" s="3"/>
      <c r="M201" s="14"/>
      <c r="N201" s="5" t="str">
        <f t="array" ref="N201">IF($A201="","",IFERROR($M201*XLOOKUP($L201,Esencias!$A$2:$A$501,Esencias!$G$2:$G$501,0),"Revisar esencia"))</f>
        <v/>
      </c>
      <c r="O201" s="3"/>
      <c r="P201" s="14"/>
      <c r="Q201" s="5" t="str">
        <f t="array" ref="Q201">IF($A201="","",IFERROR(IF($P201="",1,$P201)*XLOOKUP($O201,Colores!$A$2:$A$500,Colores!$H$2:$H$500,0),"Revisar color"))</f>
        <v/>
      </c>
      <c r="R201" s="3"/>
      <c r="S201" s="5" t="str">
        <f t="array" ref="S201">IF($A201="","",IF($R201="",0,IFERROR(VLOOKUP(LEFT(TRIM(MID(SUBSTITUTE($R201,";",REPT(" ",99)),1,99)),FIND(":",TRIM(MID(SUBSTITUTE($R201,";",REPT(" ",99)),1,99)))-1),Materiales!$A$2:$E$502,5,FALSE)*VALUE(MID(TRIM(MID(SUBSTITUTE($R201,";",REPT(" ",99)),1,99)),FIND(":",TRIM(MID(SUBSTITUTE($R201,";",REPT(" ",99)),1,99)))+1,99)),0) + IFERROR(VLOOKUP(LEFT(TRIM(MID(SUBSTITUTE($R201,";",REPT(" ",99)),100,99)),FIND(":",TRIM(MID(SUBSTITUTE($R201,";",REPT(" ",99)),100,99)))-1),Materiales!$A$2:$E$502,5,FALSE)*VALUE(MID(TRIM(MID(SUBSTITUTE($R201,";",REPT(" ",99)),100,99)),FIND(":",TRIM(MID(SUBSTITUTE($R201,";",REPT(" ",99)),100,99)))+1,99)),0) + IFERROR(VLOOKUP(LEFT(TRIM(MID(SUBSTITUTE($R201,";",REPT(" ",99)),199,99)),FIND(":",TRIM(MID(SUBSTITUTE($R201,";",REPT(" ",99)),199,99)))-1),Materiales!$A$2:$E$502,5,FALSE)*VALUE(MID(TRIM(MID(SUBSTITUTE($R201,";",REPT(" ",99)),199,99)),FIND(":",TRIM(MID(SUBSTITUTE($R201,";",REPT(" ",99)),199,99)))+1,99)),0) + IFERROR(VLOOKUP(LEFT(TRIM(MID(SUBSTITUTE($R201,";",REPT(" ",99)),298,99)),FIND(":",TRIM(MID(SUBSTITUTE($R201,";",REPT(" ",99)),298,99)))-1),Materiales!$A$2:$E$502,5,FALSE)*VALUE(MID(TRIM(MID(SUBSTITUTE($R201,";",REPT(" ",99)),298,99)),FIND(":",TRIM(MID(SUBSTITUTE($R201,";",REPT(" ",99)),298,99)))+1,99)),0) + IFERROR(VLOOKUP(LEFT(TRIM(MID(SUBSTITUTE($R201,";",REPT(" ",99)),397,99)),FIND(":",TRIM(MID(SUBSTITUTE($R201,";",REPT(" ",99)),397,99)))-1),Materiales!$A$2:$E$502,5,FALSE)*VALUE(MID(TRIM(MID(SUBSTITUTE($R201,";",REPT(" ",99)),397,99)),FIND(":",TRIM(MID(SUBSTITUTE($R201,";",REPT(" ",99)),397,99)))+1,99)),0) + IFERROR(VLOOKUP(LEFT(TRIM(MID(SUBSTITUTE($R201,";",REPT(" ",99)),496,99)),FIND(":",TRIM(MID(SUBSTITUTE($R201,";",REPT(" ",99)),496,99)))-1),Materiales!$A$2:$E$502,5,FALSE)*VALUE(MID(TRIM(MID(SUBSTITUTE($R201,";",REPT(" ",99)),496,99)),FIND(":",TRIM(MID(SUBSTITUTE($R201,";",REPT(" ",99)),496,99)))+1,99)),0) + IFERROR(VLOOKUP(LEFT(TRIM(MID(SUBSTITUTE($R201,";",REPT(" ",99)),595,99)),FIND(":",TRIM(MID(SUBSTITUTE($R201,";",REPT(" ",99)),595,99)))-1),Materiales!$A$2:$E$502,5,FALSE)*VALUE(MID(TRIM(MID(SUBSTITUTE($R201,";",REPT(" ",99)),595,99)),FIND(":",TRIM(MID(SUBSTITUTE($R201,";",REPT(" ",99)),595,99)))+1,99)),0) + IFERROR(VLOOKUP(LEFT(TRIM(MID(SUBSTITUTE($R201,";",REPT(" ",99)),694,99)),FIND(":",TRIM(MID(SUBSTITUTE($R201,";",REPT(" ",99)),694,99)))-1),Materiales!$A$2:$E$502,5,FALSE)*VALUE(MID(TRIM(MID(SUBSTITUTE($R201,";",REPT(" ",99)),694,99)),FIND(":",TRIM(MID(SUBSTITUTE($R201,";",REPT(" ",99)),694,99)))+1,99)),0) + IFERROR(VLOOKUP(LEFT(TRIM(MID(SUBSTITUTE($R201,";",REPT(" ",99)),793,99)),FIND(":",TRIM(MID(SUBSTITUTE($R201,";",REPT(" ",99)),793,99)))-1),Materiales!$A$2:$E$502,5,FALSE)*VALUE(MID(TRIM(MID(SUBSTITUTE($R201,";",REPT(" ",99)),793,99)),FIND(":",TRIM(MID(SUBSTITUTE($R201,";",REPT(" ",99)),793,99)))+1,99)),0) + IFERROR(VLOOKUP(LEFT(TRIM(MID(SUBSTITUTE($R201,";",REPT(" ",99)),892,99)),FIND(":",TRIM(MID(SUBSTITUTE($R201,";",REPT(" ",99)),892,99)))-1),Materiales!$A$2:$E$502,5,FALSE)*VALUE(MID(TRIM(MID(SUBSTITUTE($R201,";",REPT(" ",99)),892,99)),FIND(":",TRIM(MID(SUBSTITUTE($R201,";",REPT(" ",99)),892,99)))+1,99)),0)))</f>
        <v/>
      </c>
      <c r="T201" s="3"/>
      <c r="U201" s="5" t="str">
        <f t="array" ref="U201">IF($A201="","",IF($T201="",0,IFERROR(VLOOKUP(LEFT(TRIM(MID(SUBSTITUTE($T201,";",REPT(" ",99)),1,99)),FIND(":",TRIM(MID(SUBSTITUTE($T201,";",REPT(" ",99)),1,99)))-1),Materiales!$A$2:$E$502,5,FALSE)*VALUE(MID(TRIM(MID(SUBSTITUTE($T201,";",REPT(" ",99)),1,99)),FIND(":",TRIM(MID(SUBSTITUTE($T201,";",REPT(" ",99)),1,99)))+1,99)),0) + IFERROR(VLOOKUP(LEFT(TRIM(MID(SUBSTITUTE($T201,";",REPT(" ",99)),100,99)),FIND(":",TRIM(MID(SUBSTITUTE($T201,";",REPT(" ",99)),100,99)))-1),Materiales!$A$2:$E$502,5,FALSE)*VALUE(MID(TRIM(MID(SUBSTITUTE($T201,";",REPT(" ",99)),100,99)),FIND(":",TRIM(MID(SUBSTITUTE($T201,";",REPT(" ",99)),100,99)))+1,99)),0) + IFERROR(VLOOKUP(LEFT(TRIM(MID(SUBSTITUTE($T201,";",REPT(" ",99)),199,99)),FIND(":",TRIM(MID(SUBSTITUTE($T201,";",REPT(" ",99)),199,99)))-1),Materiales!$A$2:$E$502,5,FALSE)*VALUE(MID(TRIM(MID(SUBSTITUTE($T201,";",REPT(" ",99)),199,99)),FIND(":",TRIM(MID(SUBSTITUTE($T201,";",REPT(" ",99)),199,99)))+1,99)),0) + IFERROR(VLOOKUP(LEFT(TRIM(MID(SUBSTITUTE($T201,";",REPT(" ",99)),298,99)),FIND(":",TRIM(MID(SUBSTITUTE($T201,";",REPT(" ",99)),298,99)))-1),Materiales!$A$2:$E$502,5,FALSE)*VALUE(MID(TRIM(MID(SUBSTITUTE($T201,";",REPT(" ",99)),298,99)),FIND(":",TRIM(MID(SUBSTITUTE($T201,";",REPT(" ",99)),298,99)))+1,99)),0) + IFERROR(VLOOKUP(LEFT(TRIM(MID(SUBSTITUTE($T201,";",REPT(" ",99)),397,99)),FIND(":",TRIM(MID(SUBSTITUTE($T201,";",REPT(" ",99)),397,99)))-1),Materiales!$A$2:$E$502,5,FALSE)*VALUE(MID(TRIM(MID(SUBSTITUTE($T201,";",REPT(" ",99)),397,99)),FIND(":",TRIM(MID(SUBSTITUTE($T201,";",REPT(" ",99)),397,99)))+1,99)),0) + IFERROR(VLOOKUP(LEFT(TRIM(MID(SUBSTITUTE($T201,";",REPT(" ",99)),496,99)),FIND(":",TRIM(MID(SUBSTITUTE($T201,";",REPT(" ",99)),496,99)))-1),Materiales!$A$2:$E$502,5,FALSE)*VALUE(MID(TRIM(MID(SUBSTITUTE($T201,";",REPT(" ",99)),496,99)),FIND(":",TRIM(MID(SUBSTITUTE($T201,";",REPT(" ",99)),496,99)))+1,99)),0) + IFERROR(VLOOKUP(LEFT(TRIM(MID(SUBSTITUTE($T201,";",REPT(" ",99)),595,99)),FIND(":",TRIM(MID(SUBSTITUTE($T201,";",REPT(" ",99)),595,99)))-1),Materiales!$A$2:$E$502,5,FALSE)*VALUE(MID(TRIM(MID(SUBSTITUTE($T201,";",REPT(" ",99)),595,99)),FIND(":",TRIM(MID(SUBSTITUTE($T201,";",REPT(" ",99)),595,99)))+1,99)),0) + IFERROR(VLOOKUP(LEFT(TRIM(MID(SUBSTITUTE($T201,";",REPT(" ",99)),694,99)),FIND(":",TRIM(MID(SUBSTITUTE($T201,";",REPT(" ",99)),694,99)))-1),Materiales!$A$2:$E$502,5,FALSE)*VALUE(MID(TRIM(MID(SUBSTITUTE($T201,";",REPT(" ",99)),694,99)),FIND(":",TRIM(MID(SUBSTITUTE($T201,";",REPT(" ",99)),694,99)))+1,99)),0) + IFERROR(VLOOKUP(LEFT(TRIM(MID(SUBSTITUTE($T201,";",REPT(" ",99)),793,99)),FIND(":",TRIM(MID(SUBSTITUTE($T201,";",REPT(" ",99)),793,99)))-1),Materiales!$A$2:$E$502,5,FALSE)*VALUE(MID(TRIM(MID(SUBSTITUTE($T201,";",REPT(" ",99)),793,99)),FIND(":",TRIM(MID(SUBSTITUTE($T201,";",REPT(" ",99)),793,99)))+1,99)),0) + IFERROR(VLOOKUP(LEFT(TRIM(MID(SUBSTITUTE($T201,";",REPT(" ",99)),892,99)),FIND(":",TRIM(MID(SUBSTITUTE($T201,";",REPT(" ",99)),892,99)))-1),Materiales!$A$2:$E$502,5,FALSE)*VALUE(MID(TRIM(MID(SUBSTITUTE($T201,";",REPT(" ",99)),892,99)),FIND(":",TRIM(MID(SUBSTITUTE($T201,";",REPT(" ",99)),892,99)))+1,99)),0)))</f>
        <v/>
      </c>
      <c r="V201" s="3"/>
      <c r="W201" s="5" t="str">
        <f t="array" ref="W201">IF($A201="","",IF($V201="",0,IFERROR(VLOOKUP(LEFT(TRIM(MID(SUBSTITUTE($V201,";",REPT(" ",99)),1,99)),FIND(":",TRIM(MID(SUBSTITUTE($V201,";",REPT(" ",99)),1,99)))-1),Materiales!$A$2:$E$502,5,FALSE)*VALUE(MID(TRIM(MID(SUBSTITUTE($V201,";",REPT(" ",99)),1,99)),FIND(":",TRIM(MID(SUBSTITUTE($V201,";",REPT(" ",99)),1,99)))+1,99)),0) + IFERROR(VLOOKUP(LEFT(TRIM(MID(SUBSTITUTE($V201,";",REPT(" ",99)),100,99)),FIND(":",TRIM(MID(SUBSTITUTE($V201,";",REPT(" ",99)),100,99)))-1),Materiales!$A$2:$E$502,5,FALSE)*VALUE(MID(TRIM(MID(SUBSTITUTE($V201,";",REPT(" ",99)),100,99)),FIND(":",TRIM(MID(SUBSTITUTE($V201,";",REPT(" ",99)),100,99)))+1,99)),0) + IFERROR(VLOOKUP(LEFT(TRIM(MID(SUBSTITUTE($V201,";",REPT(" ",99)),199,99)),FIND(":",TRIM(MID(SUBSTITUTE($V201,";",REPT(" ",99)),199,99)))-1),Materiales!$A$2:$E$502,5,FALSE)*VALUE(MID(TRIM(MID(SUBSTITUTE($V201,";",REPT(" ",99)),199,99)),FIND(":",TRIM(MID(SUBSTITUTE($V201,";",REPT(" ",99)),199,99)))+1,99)),0) + IFERROR(VLOOKUP(LEFT(TRIM(MID(SUBSTITUTE($V201,";",REPT(" ",99)),298,99)),FIND(":",TRIM(MID(SUBSTITUTE($V201,";",REPT(" ",99)),298,99)))-1),Materiales!$A$2:$E$502,5,FALSE)*VALUE(MID(TRIM(MID(SUBSTITUTE($V201,";",REPT(" ",99)),298,99)),FIND(":",TRIM(MID(SUBSTITUTE($V201,";",REPT(" ",99)),298,99)))+1,99)),0) + IFERROR(VLOOKUP(LEFT(TRIM(MID(SUBSTITUTE($V201,";",REPT(" ",99)),397,99)),FIND(":",TRIM(MID(SUBSTITUTE($V201,";",REPT(" ",99)),397,99)))-1),Materiales!$A$2:$E$502,5,FALSE)*VALUE(MID(TRIM(MID(SUBSTITUTE($V201,";",REPT(" ",99)),397,99)),FIND(":",TRIM(MID(SUBSTITUTE($V201,";",REPT(" ",99)),397,99)))+1,99)),0) + IFERROR(VLOOKUP(LEFT(TRIM(MID(SUBSTITUTE($V201,";",REPT(" ",99)),496,99)),FIND(":",TRIM(MID(SUBSTITUTE($V201,";",REPT(" ",99)),496,99)))-1),Materiales!$A$2:$E$502,5,FALSE)*VALUE(MID(TRIM(MID(SUBSTITUTE($V201,";",REPT(" ",99)),496,99)),FIND(":",TRIM(MID(SUBSTITUTE($V201,";",REPT(" ",99)),496,99)))+1,99)),0) + IFERROR(VLOOKUP(LEFT(TRIM(MID(SUBSTITUTE($V201,";",REPT(" ",99)),595,99)),FIND(":",TRIM(MID(SUBSTITUTE($V201,";",REPT(" ",99)),595,99)))-1),Materiales!$A$2:$E$502,5,FALSE)*VALUE(MID(TRIM(MID(SUBSTITUTE($V201,";",REPT(" ",99)),595,99)),FIND(":",TRIM(MID(SUBSTITUTE($V201,";",REPT(" ",99)),595,99)))+1,99)),0) + IFERROR(VLOOKUP(LEFT(TRIM(MID(SUBSTITUTE($V201,";",REPT(" ",99)),694,99)),FIND(":",TRIM(MID(SUBSTITUTE($V201,";",REPT(" ",99)),694,99)))-1),Materiales!$A$2:$E$502,5,FALSE)*VALUE(MID(TRIM(MID(SUBSTITUTE($V201,";",REPT(" ",99)),694,99)),FIND(":",TRIM(MID(SUBSTITUTE($V201,";",REPT(" ",99)),694,99)))+1,99)),0) + IFERROR(VLOOKUP(LEFT(TRIM(MID(SUBSTITUTE($V201,";",REPT(" ",99)),793,99)),FIND(":",TRIM(MID(SUBSTITUTE($V201,";",REPT(" ",99)),793,99)))-1),Materiales!$A$2:$E$502,5,FALSE)*VALUE(MID(TRIM(MID(SUBSTITUTE($V201,";",REPT(" ",99)),793,99)),FIND(":",TRIM(MID(SUBSTITUTE($V201,";",REPT(" ",99)),793,99)))+1,99)),0) + IFERROR(VLOOKUP(LEFT(TRIM(MID(SUBSTITUTE($V201,";",REPT(" ",99)),892,99)),FIND(":",TRIM(MID(SUBSTITUTE($V201,";",REPT(" ",99)),892,99)))-1),Materiales!$A$2:$E$502,5,FALSE)*VALUE(MID(TRIM(MID(SUBSTITUTE($V201,";",REPT(" ",99)),892,99)),FIND(":",TRIM(MID(SUBSTITUTE($V201,";",REPT(" ",99)),892,99)))+1,99)),0)))</f>
        <v/>
      </c>
      <c r="X201" s="39" t="str">
        <f t="shared" si="21"/>
        <v/>
      </c>
      <c r="Y201" s="64"/>
      <c r="Z201" s="67"/>
      <c r="AA201" s="65"/>
      <c r="AB201" s="14"/>
      <c r="AC201" s="66"/>
      <c r="AD201" s="65"/>
      <c r="AE201" s="44"/>
      <c r="AF201" s="45" t="str">
        <f t="shared" si="20"/>
        <v>#DIV/0!</v>
      </c>
    </row>
    <row r="202" ht="15.75" customHeight="1">
      <c r="A202" s="3"/>
      <c r="B202" s="3"/>
      <c r="C202" s="38"/>
      <c r="D202" s="38"/>
      <c r="E202" s="38"/>
      <c r="F202" s="14"/>
      <c r="G202" s="5" t="str">
        <f t="array" ref="G202">IF($A202="","",IFERROR($F202*(N($C202)*XLOOKUP($B202,Ceras!$A$2:$A$500,Ceras!$G$2:$G$500,0)+IF($D202="",0,N($E202)*XLOOKUP($D202,Ceras!$A$2:$A$500,Ceras!$G$2:$G$500,0))),"Revisar cera"))</f>
        <v/>
      </c>
      <c r="H202" s="5"/>
      <c r="I202" s="3"/>
      <c r="J202" s="14"/>
      <c r="K202" s="5" t="str">
        <f t="array" ref="K202">IF($A202="","",IFERROR($J202*XLOOKUP($I202,Pabilos!$A$2:$A$500,Pabilos!$H$2:$H$500,0),"Revisar pabilo"))</f>
        <v/>
      </c>
      <c r="L202" s="3"/>
      <c r="M202" s="14"/>
      <c r="N202" s="5" t="str">
        <f t="array" ref="N202">IF($A202="","",IFERROR($M202*XLOOKUP($L202,Esencias!$A$2:$A$501,Esencias!$G$2:$G$501,0),"Revisar esencia"))</f>
        <v/>
      </c>
      <c r="O202" s="3"/>
      <c r="P202" s="14"/>
      <c r="Q202" s="5" t="str">
        <f t="array" ref="Q202">IF($A202="","",IFERROR(IF($P202="",1,$P202)*XLOOKUP($O202,Colores!$A$2:$A$500,Colores!$H$2:$H$500,0),"Revisar color"))</f>
        <v/>
      </c>
      <c r="R202" s="3"/>
      <c r="S202" s="5" t="str">
        <f t="array" ref="S202">IF($A202="","",IF($R202="",0,IFERROR(VLOOKUP(LEFT(TRIM(MID(SUBSTITUTE($R202,";",REPT(" ",99)),1,99)),FIND(":",TRIM(MID(SUBSTITUTE($R202,";",REPT(" ",99)),1,99)))-1),Materiales!$A$2:$E$502,5,FALSE)*VALUE(MID(TRIM(MID(SUBSTITUTE($R202,";",REPT(" ",99)),1,99)),FIND(":",TRIM(MID(SUBSTITUTE($R202,";",REPT(" ",99)),1,99)))+1,99)),0) + IFERROR(VLOOKUP(LEFT(TRIM(MID(SUBSTITUTE($R202,";",REPT(" ",99)),100,99)),FIND(":",TRIM(MID(SUBSTITUTE($R202,";",REPT(" ",99)),100,99)))-1),Materiales!$A$2:$E$502,5,FALSE)*VALUE(MID(TRIM(MID(SUBSTITUTE($R202,";",REPT(" ",99)),100,99)),FIND(":",TRIM(MID(SUBSTITUTE($R202,";",REPT(" ",99)),100,99)))+1,99)),0) + IFERROR(VLOOKUP(LEFT(TRIM(MID(SUBSTITUTE($R202,";",REPT(" ",99)),199,99)),FIND(":",TRIM(MID(SUBSTITUTE($R202,";",REPT(" ",99)),199,99)))-1),Materiales!$A$2:$E$502,5,FALSE)*VALUE(MID(TRIM(MID(SUBSTITUTE($R202,";",REPT(" ",99)),199,99)),FIND(":",TRIM(MID(SUBSTITUTE($R202,";",REPT(" ",99)),199,99)))+1,99)),0) + IFERROR(VLOOKUP(LEFT(TRIM(MID(SUBSTITUTE($R202,";",REPT(" ",99)),298,99)),FIND(":",TRIM(MID(SUBSTITUTE($R202,";",REPT(" ",99)),298,99)))-1),Materiales!$A$2:$E$502,5,FALSE)*VALUE(MID(TRIM(MID(SUBSTITUTE($R202,";",REPT(" ",99)),298,99)),FIND(":",TRIM(MID(SUBSTITUTE($R202,";",REPT(" ",99)),298,99)))+1,99)),0) + IFERROR(VLOOKUP(LEFT(TRIM(MID(SUBSTITUTE($R202,";",REPT(" ",99)),397,99)),FIND(":",TRIM(MID(SUBSTITUTE($R202,";",REPT(" ",99)),397,99)))-1),Materiales!$A$2:$E$502,5,FALSE)*VALUE(MID(TRIM(MID(SUBSTITUTE($R202,";",REPT(" ",99)),397,99)),FIND(":",TRIM(MID(SUBSTITUTE($R202,";",REPT(" ",99)),397,99)))+1,99)),0) + IFERROR(VLOOKUP(LEFT(TRIM(MID(SUBSTITUTE($R202,";",REPT(" ",99)),496,99)),FIND(":",TRIM(MID(SUBSTITUTE($R202,";",REPT(" ",99)),496,99)))-1),Materiales!$A$2:$E$502,5,FALSE)*VALUE(MID(TRIM(MID(SUBSTITUTE($R202,";",REPT(" ",99)),496,99)),FIND(":",TRIM(MID(SUBSTITUTE($R202,";",REPT(" ",99)),496,99)))+1,99)),0) + IFERROR(VLOOKUP(LEFT(TRIM(MID(SUBSTITUTE($R202,";",REPT(" ",99)),595,99)),FIND(":",TRIM(MID(SUBSTITUTE($R202,";",REPT(" ",99)),595,99)))-1),Materiales!$A$2:$E$502,5,FALSE)*VALUE(MID(TRIM(MID(SUBSTITUTE($R202,";",REPT(" ",99)),595,99)),FIND(":",TRIM(MID(SUBSTITUTE($R202,";",REPT(" ",99)),595,99)))+1,99)),0) + IFERROR(VLOOKUP(LEFT(TRIM(MID(SUBSTITUTE($R202,";",REPT(" ",99)),694,99)),FIND(":",TRIM(MID(SUBSTITUTE($R202,";",REPT(" ",99)),694,99)))-1),Materiales!$A$2:$E$502,5,FALSE)*VALUE(MID(TRIM(MID(SUBSTITUTE($R202,";",REPT(" ",99)),694,99)),FIND(":",TRIM(MID(SUBSTITUTE($R202,";",REPT(" ",99)),694,99)))+1,99)),0) + IFERROR(VLOOKUP(LEFT(TRIM(MID(SUBSTITUTE($R202,";",REPT(" ",99)),793,99)),FIND(":",TRIM(MID(SUBSTITUTE($R202,";",REPT(" ",99)),793,99)))-1),Materiales!$A$2:$E$502,5,FALSE)*VALUE(MID(TRIM(MID(SUBSTITUTE($R202,";",REPT(" ",99)),793,99)),FIND(":",TRIM(MID(SUBSTITUTE($R202,";",REPT(" ",99)),793,99)))+1,99)),0) + IFERROR(VLOOKUP(LEFT(TRIM(MID(SUBSTITUTE($R202,";",REPT(" ",99)),892,99)),FIND(":",TRIM(MID(SUBSTITUTE($R202,";",REPT(" ",99)),892,99)))-1),Materiales!$A$2:$E$502,5,FALSE)*VALUE(MID(TRIM(MID(SUBSTITUTE($R202,";",REPT(" ",99)),892,99)),FIND(":",TRIM(MID(SUBSTITUTE($R202,";",REPT(" ",99)),892,99)))+1,99)),0)))</f>
        <v/>
      </c>
      <c r="T202" s="3"/>
      <c r="U202" s="5" t="str">
        <f t="array" ref="U202">IF($A202="","",IF($T202="",0,IFERROR(VLOOKUP(LEFT(TRIM(MID(SUBSTITUTE($T202,";",REPT(" ",99)),1,99)),FIND(":",TRIM(MID(SUBSTITUTE($T202,";",REPT(" ",99)),1,99)))-1),Materiales!$A$2:$E$502,5,FALSE)*VALUE(MID(TRIM(MID(SUBSTITUTE($T202,";",REPT(" ",99)),1,99)),FIND(":",TRIM(MID(SUBSTITUTE($T202,";",REPT(" ",99)),1,99)))+1,99)),0) + IFERROR(VLOOKUP(LEFT(TRIM(MID(SUBSTITUTE($T202,";",REPT(" ",99)),100,99)),FIND(":",TRIM(MID(SUBSTITUTE($T202,";",REPT(" ",99)),100,99)))-1),Materiales!$A$2:$E$502,5,FALSE)*VALUE(MID(TRIM(MID(SUBSTITUTE($T202,";",REPT(" ",99)),100,99)),FIND(":",TRIM(MID(SUBSTITUTE($T202,";",REPT(" ",99)),100,99)))+1,99)),0) + IFERROR(VLOOKUP(LEFT(TRIM(MID(SUBSTITUTE($T202,";",REPT(" ",99)),199,99)),FIND(":",TRIM(MID(SUBSTITUTE($T202,";",REPT(" ",99)),199,99)))-1),Materiales!$A$2:$E$502,5,FALSE)*VALUE(MID(TRIM(MID(SUBSTITUTE($T202,";",REPT(" ",99)),199,99)),FIND(":",TRIM(MID(SUBSTITUTE($T202,";",REPT(" ",99)),199,99)))+1,99)),0) + IFERROR(VLOOKUP(LEFT(TRIM(MID(SUBSTITUTE($T202,";",REPT(" ",99)),298,99)),FIND(":",TRIM(MID(SUBSTITUTE($T202,";",REPT(" ",99)),298,99)))-1),Materiales!$A$2:$E$502,5,FALSE)*VALUE(MID(TRIM(MID(SUBSTITUTE($T202,";",REPT(" ",99)),298,99)),FIND(":",TRIM(MID(SUBSTITUTE($T202,";",REPT(" ",99)),298,99)))+1,99)),0) + IFERROR(VLOOKUP(LEFT(TRIM(MID(SUBSTITUTE($T202,";",REPT(" ",99)),397,99)),FIND(":",TRIM(MID(SUBSTITUTE($T202,";",REPT(" ",99)),397,99)))-1),Materiales!$A$2:$E$502,5,FALSE)*VALUE(MID(TRIM(MID(SUBSTITUTE($T202,";",REPT(" ",99)),397,99)),FIND(":",TRIM(MID(SUBSTITUTE($T202,";",REPT(" ",99)),397,99)))+1,99)),0) + IFERROR(VLOOKUP(LEFT(TRIM(MID(SUBSTITUTE($T202,";",REPT(" ",99)),496,99)),FIND(":",TRIM(MID(SUBSTITUTE($T202,";",REPT(" ",99)),496,99)))-1),Materiales!$A$2:$E$502,5,FALSE)*VALUE(MID(TRIM(MID(SUBSTITUTE($T202,";",REPT(" ",99)),496,99)),FIND(":",TRIM(MID(SUBSTITUTE($T202,";",REPT(" ",99)),496,99)))+1,99)),0) + IFERROR(VLOOKUP(LEFT(TRIM(MID(SUBSTITUTE($T202,";",REPT(" ",99)),595,99)),FIND(":",TRIM(MID(SUBSTITUTE($T202,";",REPT(" ",99)),595,99)))-1),Materiales!$A$2:$E$502,5,FALSE)*VALUE(MID(TRIM(MID(SUBSTITUTE($T202,";",REPT(" ",99)),595,99)),FIND(":",TRIM(MID(SUBSTITUTE($T202,";",REPT(" ",99)),595,99)))+1,99)),0) + IFERROR(VLOOKUP(LEFT(TRIM(MID(SUBSTITUTE($T202,";",REPT(" ",99)),694,99)),FIND(":",TRIM(MID(SUBSTITUTE($T202,";",REPT(" ",99)),694,99)))-1),Materiales!$A$2:$E$502,5,FALSE)*VALUE(MID(TRIM(MID(SUBSTITUTE($T202,";",REPT(" ",99)),694,99)),FIND(":",TRIM(MID(SUBSTITUTE($T202,";",REPT(" ",99)),694,99)))+1,99)),0) + IFERROR(VLOOKUP(LEFT(TRIM(MID(SUBSTITUTE($T202,";",REPT(" ",99)),793,99)),FIND(":",TRIM(MID(SUBSTITUTE($T202,";",REPT(" ",99)),793,99)))-1),Materiales!$A$2:$E$502,5,FALSE)*VALUE(MID(TRIM(MID(SUBSTITUTE($T202,";",REPT(" ",99)),793,99)),FIND(":",TRIM(MID(SUBSTITUTE($T202,";",REPT(" ",99)),793,99)))+1,99)),0) + IFERROR(VLOOKUP(LEFT(TRIM(MID(SUBSTITUTE($T202,";",REPT(" ",99)),892,99)),FIND(":",TRIM(MID(SUBSTITUTE($T202,";",REPT(" ",99)),892,99)))-1),Materiales!$A$2:$E$502,5,FALSE)*VALUE(MID(TRIM(MID(SUBSTITUTE($T202,";",REPT(" ",99)),892,99)),FIND(":",TRIM(MID(SUBSTITUTE($T202,";",REPT(" ",99)),892,99)))+1,99)),0)))</f>
        <v/>
      </c>
      <c r="V202" s="3"/>
      <c r="W202" s="5" t="str">
        <f t="array" ref="W202">IF($A202="","",IF($V202="",0,IFERROR(VLOOKUP(LEFT(TRIM(MID(SUBSTITUTE($V202,";",REPT(" ",99)),1,99)),FIND(":",TRIM(MID(SUBSTITUTE($V202,";",REPT(" ",99)),1,99)))-1),Materiales!$A$2:$E$502,5,FALSE)*VALUE(MID(TRIM(MID(SUBSTITUTE($V202,";",REPT(" ",99)),1,99)),FIND(":",TRIM(MID(SUBSTITUTE($V202,";",REPT(" ",99)),1,99)))+1,99)),0) + IFERROR(VLOOKUP(LEFT(TRIM(MID(SUBSTITUTE($V202,";",REPT(" ",99)),100,99)),FIND(":",TRIM(MID(SUBSTITUTE($V202,";",REPT(" ",99)),100,99)))-1),Materiales!$A$2:$E$502,5,FALSE)*VALUE(MID(TRIM(MID(SUBSTITUTE($V202,";",REPT(" ",99)),100,99)),FIND(":",TRIM(MID(SUBSTITUTE($V202,";",REPT(" ",99)),100,99)))+1,99)),0) + IFERROR(VLOOKUP(LEFT(TRIM(MID(SUBSTITUTE($V202,";",REPT(" ",99)),199,99)),FIND(":",TRIM(MID(SUBSTITUTE($V202,";",REPT(" ",99)),199,99)))-1),Materiales!$A$2:$E$502,5,FALSE)*VALUE(MID(TRIM(MID(SUBSTITUTE($V202,";",REPT(" ",99)),199,99)),FIND(":",TRIM(MID(SUBSTITUTE($V202,";",REPT(" ",99)),199,99)))+1,99)),0) + IFERROR(VLOOKUP(LEFT(TRIM(MID(SUBSTITUTE($V202,";",REPT(" ",99)),298,99)),FIND(":",TRIM(MID(SUBSTITUTE($V202,";",REPT(" ",99)),298,99)))-1),Materiales!$A$2:$E$502,5,FALSE)*VALUE(MID(TRIM(MID(SUBSTITUTE($V202,";",REPT(" ",99)),298,99)),FIND(":",TRIM(MID(SUBSTITUTE($V202,";",REPT(" ",99)),298,99)))+1,99)),0) + IFERROR(VLOOKUP(LEFT(TRIM(MID(SUBSTITUTE($V202,";",REPT(" ",99)),397,99)),FIND(":",TRIM(MID(SUBSTITUTE($V202,";",REPT(" ",99)),397,99)))-1),Materiales!$A$2:$E$502,5,FALSE)*VALUE(MID(TRIM(MID(SUBSTITUTE($V202,";",REPT(" ",99)),397,99)),FIND(":",TRIM(MID(SUBSTITUTE($V202,";",REPT(" ",99)),397,99)))+1,99)),0) + IFERROR(VLOOKUP(LEFT(TRIM(MID(SUBSTITUTE($V202,";",REPT(" ",99)),496,99)),FIND(":",TRIM(MID(SUBSTITUTE($V202,";",REPT(" ",99)),496,99)))-1),Materiales!$A$2:$E$502,5,FALSE)*VALUE(MID(TRIM(MID(SUBSTITUTE($V202,";",REPT(" ",99)),496,99)),FIND(":",TRIM(MID(SUBSTITUTE($V202,";",REPT(" ",99)),496,99)))+1,99)),0) + IFERROR(VLOOKUP(LEFT(TRIM(MID(SUBSTITUTE($V202,";",REPT(" ",99)),595,99)),FIND(":",TRIM(MID(SUBSTITUTE($V202,";",REPT(" ",99)),595,99)))-1),Materiales!$A$2:$E$502,5,FALSE)*VALUE(MID(TRIM(MID(SUBSTITUTE($V202,";",REPT(" ",99)),595,99)),FIND(":",TRIM(MID(SUBSTITUTE($V202,";",REPT(" ",99)),595,99)))+1,99)),0) + IFERROR(VLOOKUP(LEFT(TRIM(MID(SUBSTITUTE($V202,";",REPT(" ",99)),694,99)),FIND(":",TRIM(MID(SUBSTITUTE($V202,";",REPT(" ",99)),694,99)))-1),Materiales!$A$2:$E$502,5,FALSE)*VALUE(MID(TRIM(MID(SUBSTITUTE($V202,";",REPT(" ",99)),694,99)),FIND(":",TRIM(MID(SUBSTITUTE($V202,";",REPT(" ",99)),694,99)))+1,99)),0) + IFERROR(VLOOKUP(LEFT(TRIM(MID(SUBSTITUTE($V202,";",REPT(" ",99)),793,99)),FIND(":",TRIM(MID(SUBSTITUTE($V202,";",REPT(" ",99)),793,99)))-1),Materiales!$A$2:$E$502,5,FALSE)*VALUE(MID(TRIM(MID(SUBSTITUTE($V202,";",REPT(" ",99)),793,99)),FIND(":",TRIM(MID(SUBSTITUTE($V202,";",REPT(" ",99)),793,99)))+1,99)),0) + IFERROR(VLOOKUP(LEFT(TRIM(MID(SUBSTITUTE($V202,";",REPT(" ",99)),892,99)),FIND(":",TRIM(MID(SUBSTITUTE($V202,";",REPT(" ",99)),892,99)))-1),Materiales!$A$2:$E$502,5,FALSE)*VALUE(MID(TRIM(MID(SUBSTITUTE($V202,";",REPT(" ",99)),892,99)),FIND(":",TRIM(MID(SUBSTITUTE($V202,";",REPT(" ",99)),892,99)))+1,99)),0)))</f>
        <v/>
      </c>
      <c r="X202" s="39" t="str">
        <f t="shared" si="21"/>
        <v/>
      </c>
      <c r="Y202" s="64"/>
      <c r="Z202" s="67"/>
      <c r="AA202" s="65"/>
      <c r="AB202" s="14"/>
      <c r="AC202" s="66"/>
      <c r="AD202" s="65"/>
      <c r="AE202" s="44"/>
      <c r="AF202" s="45" t="str">
        <f t="shared" si="20"/>
        <v>#DIV/0!</v>
      </c>
    </row>
    <row r="203" ht="15.75" customHeight="1">
      <c r="A203" s="3"/>
      <c r="B203" s="3"/>
      <c r="C203" s="38"/>
      <c r="D203" s="38"/>
      <c r="E203" s="38"/>
      <c r="F203" s="14"/>
      <c r="G203" s="5" t="str">
        <f t="array" ref="G203">IF($A203="","",IFERROR($F203*(N($C203)*XLOOKUP($B203,Ceras!$A$2:$A$500,Ceras!$G$2:$G$500,0)+IF($D203="",0,N($E203)*XLOOKUP($D203,Ceras!$A$2:$A$500,Ceras!$G$2:$G$500,0))),"Revisar cera"))</f>
        <v/>
      </c>
      <c r="H203" s="5"/>
      <c r="I203" s="3"/>
      <c r="J203" s="14"/>
      <c r="K203" s="5" t="str">
        <f t="array" ref="K203">IF($A203="","",IFERROR($J203*XLOOKUP($I203,Pabilos!$A$2:$A$500,Pabilos!$H$2:$H$500,0),"Revisar pabilo"))</f>
        <v/>
      </c>
      <c r="L203" s="3"/>
      <c r="M203" s="14"/>
      <c r="N203" s="5" t="str">
        <f t="array" ref="N203">IF($A203="","",IFERROR($M203*XLOOKUP($L203,Esencias!$A$2:$A$501,Esencias!$G$2:$G$501,0),"Revisar esencia"))</f>
        <v/>
      </c>
      <c r="O203" s="3"/>
      <c r="P203" s="14"/>
      <c r="Q203" s="5" t="str">
        <f t="array" ref="Q203">IF($A203="","",IFERROR(IF($P203="",1,$P203)*XLOOKUP($O203,Colores!$A$2:$A$500,Colores!$H$2:$H$500,0),"Revisar color"))</f>
        <v/>
      </c>
      <c r="R203" s="3"/>
      <c r="S203" s="5" t="str">
        <f t="array" ref="S203">IF($A203="","",IF($R203="",0,IFERROR(VLOOKUP(LEFT(TRIM(MID(SUBSTITUTE($R203,";",REPT(" ",99)),1,99)),FIND(":",TRIM(MID(SUBSTITUTE($R203,";",REPT(" ",99)),1,99)))-1),Materiales!$A$2:$E$502,5,FALSE)*VALUE(MID(TRIM(MID(SUBSTITUTE($R203,";",REPT(" ",99)),1,99)),FIND(":",TRIM(MID(SUBSTITUTE($R203,";",REPT(" ",99)),1,99)))+1,99)),0) + IFERROR(VLOOKUP(LEFT(TRIM(MID(SUBSTITUTE($R203,";",REPT(" ",99)),100,99)),FIND(":",TRIM(MID(SUBSTITUTE($R203,";",REPT(" ",99)),100,99)))-1),Materiales!$A$2:$E$502,5,FALSE)*VALUE(MID(TRIM(MID(SUBSTITUTE($R203,";",REPT(" ",99)),100,99)),FIND(":",TRIM(MID(SUBSTITUTE($R203,";",REPT(" ",99)),100,99)))+1,99)),0) + IFERROR(VLOOKUP(LEFT(TRIM(MID(SUBSTITUTE($R203,";",REPT(" ",99)),199,99)),FIND(":",TRIM(MID(SUBSTITUTE($R203,";",REPT(" ",99)),199,99)))-1),Materiales!$A$2:$E$502,5,FALSE)*VALUE(MID(TRIM(MID(SUBSTITUTE($R203,";",REPT(" ",99)),199,99)),FIND(":",TRIM(MID(SUBSTITUTE($R203,";",REPT(" ",99)),199,99)))+1,99)),0) + IFERROR(VLOOKUP(LEFT(TRIM(MID(SUBSTITUTE($R203,";",REPT(" ",99)),298,99)),FIND(":",TRIM(MID(SUBSTITUTE($R203,";",REPT(" ",99)),298,99)))-1),Materiales!$A$2:$E$502,5,FALSE)*VALUE(MID(TRIM(MID(SUBSTITUTE($R203,";",REPT(" ",99)),298,99)),FIND(":",TRIM(MID(SUBSTITUTE($R203,";",REPT(" ",99)),298,99)))+1,99)),0) + IFERROR(VLOOKUP(LEFT(TRIM(MID(SUBSTITUTE($R203,";",REPT(" ",99)),397,99)),FIND(":",TRIM(MID(SUBSTITUTE($R203,";",REPT(" ",99)),397,99)))-1),Materiales!$A$2:$E$502,5,FALSE)*VALUE(MID(TRIM(MID(SUBSTITUTE($R203,";",REPT(" ",99)),397,99)),FIND(":",TRIM(MID(SUBSTITUTE($R203,";",REPT(" ",99)),397,99)))+1,99)),0) + IFERROR(VLOOKUP(LEFT(TRIM(MID(SUBSTITUTE($R203,";",REPT(" ",99)),496,99)),FIND(":",TRIM(MID(SUBSTITUTE($R203,";",REPT(" ",99)),496,99)))-1),Materiales!$A$2:$E$502,5,FALSE)*VALUE(MID(TRIM(MID(SUBSTITUTE($R203,";",REPT(" ",99)),496,99)),FIND(":",TRIM(MID(SUBSTITUTE($R203,";",REPT(" ",99)),496,99)))+1,99)),0) + IFERROR(VLOOKUP(LEFT(TRIM(MID(SUBSTITUTE($R203,";",REPT(" ",99)),595,99)),FIND(":",TRIM(MID(SUBSTITUTE($R203,";",REPT(" ",99)),595,99)))-1),Materiales!$A$2:$E$502,5,FALSE)*VALUE(MID(TRIM(MID(SUBSTITUTE($R203,";",REPT(" ",99)),595,99)),FIND(":",TRIM(MID(SUBSTITUTE($R203,";",REPT(" ",99)),595,99)))+1,99)),0) + IFERROR(VLOOKUP(LEFT(TRIM(MID(SUBSTITUTE($R203,";",REPT(" ",99)),694,99)),FIND(":",TRIM(MID(SUBSTITUTE($R203,";",REPT(" ",99)),694,99)))-1),Materiales!$A$2:$E$502,5,FALSE)*VALUE(MID(TRIM(MID(SUBSTITUTE($R203,";",REPT(" ",99)),694,99)),FIND(":",TRIM(MID(SUBSTITUTE($R203,";",REPT(" ",99)),694,99)))+1,99)),0) + IFERROR(VLOOKUP(LEFT(TRIM(MID(SUBSTITUTE($R203,";",REPT(" ",99)),793,99)),FIND(":",TRIM(MID(SUBSTITUTE($R203,";",REPT(" ",99)),793,99)))-1),Materiales!$A$2:$E$502,5,FALSE)*VALUE(MID(TRIM(MID(SUBSTITUTE($R203,";",REPT(" ",99)),793,99)),FIND(":",TRIM(MID(SUBSTITUTE($R203,";",REPT(" ",99)),793,99)))+1,99)),0) + IFERROR(VLOOKUP(LEFT(TRIM(MID(SUBSTITUTE($R203,";",REPT(" ",99)),892,99)),FIND(":",TRIM(MID(SUBSTITUTE($R203,";",REPT(" ",99)),892,99)))-1),Materiales!$A$2:$E$502,5,FALSE)*VALUE(MID(TRIM(MID(SUBSTITUTE($R203,";",REPT(" ",99)),892,99)),FIND(":",TRIM(MID(SUBSTITUTE($R203,";",REPT(" ",99)),892,99)))+1,99)),0)))</f>
        <v/>
      </c>
      <c r="T203" s="3"/>
      <c r="U203" s="5" t="str">
        <f t="array" ref="U203">IF($A203="","",IF($T203="",0,IFERROR(VLOOKUP(LEFT(TRIM(MID(SUBSTITUTE($T203,";",REPT(" ",99)),1,99)),FIND(":",TRIM(MID(SUBSTITUTE($T203,";",REPT(" ",99)),1,99)))-1),Materiales!$A$2:$E$502,5,FALSE)*VALUE(MID(TRIM(MID(SUBSTITUTE($T203,";",REPT(" ",99)),1,99)),FIND(":",TRIM(MID(SUBSTITUTE($T203,";",REPT(" ",99)),1,99)))+1,99)),0) + IFERROR(VLOOKUP(LEFT(TRIM(MID(SUBSTITUTE($T203,";",REPT(" ",99)),100,99)),FIND(":",TRIM(MID(SUBSTITUTE($T203,";",REPT(" ",99)),100,99)))-1),Materiales!$A$2:$E$502,5,FALSE)*VALUE(MID(TRIM(MID(SUBSTITUTE($T203,";",REPT(" ",99)),100,99)),FIND(":",TRIM(MID(SUBSTITUTE($T203,";",REPT(" ",99)),100,99)))+1,99)),0) + IFERROR(VLOOKUP(LEFT(TRIM(MID(SUBSTITUTE($T203,";",REPT(" ",99)),199,99)),FIND(":",TRIM(MID(SUBSTITUTE($T203,";",REPT(" ",99)),199,99)))-1),Materiales!$A$2:$E$502,5,FALSE)*VALUE(MID(TRIM(MID(SUBSTITUTE($T203,";",REPT(" ",99)),199,99)),FIND(":",TRIM(MID(SUBSTITUTE($T203,";",REPT(" ",99)),199,99)))+1,99)),0) + IFERROR(VLOOKUP(LEFT(TRIM(MID(SUBSTITUTE($T203,";",REPT(" ",99)),298,99)),FIND(":",TRIM(MID(SUBSTITUTE($T203,";",REPT(" ",99)),298,99)))-1),Materiales!$A$2:$E$502,5,FALSE)*VALUE(MID(TRIM(MID(SUBSTITUTE($T203,";",REPT(" ",99)),298,99)),FIND(":",TRIM(MID(SUBSTITUTE($T203,";",REPT(" ",99)),298,99)))+1,99)),0) + IFERROR(VLOOKUP(LEFT(TRIM(MID(SUBSTITUTE($T203,";",REPT(" ",99)),397,99)),FIND(":",TRIM(MID(SUBSTITUTE($T203,";",REPT(" ",99)),397,99)))-1),Materiales!$A$2:$E$502,5,FALSE)*VALUE(MID(TRIM(MID(SUBSTITUTE($T203,";",REPT(" ",99)),397,99)),FIND(":",TRIM(MID(SUBSTITUTE($T203,";",REPT(" ",99)),397,99)))+1,99)),0) + IFERROR(VLOOKUP(LEFT(TRIM(MID(SUBSTITUTE($T203,";",REPT(" ",99)),496,99)),FIND(":",TRIM(MID(SUBSTITUTE($T203,";",REPT(" ",99)),496,99)))-1),Materiales!$A$2:$E$502,5,FALSE)*VALUE(MID(TRIM(MID(SUBSTITUTE($T203,";",REPT(" ",99)),496,99)),FIND(":",TRIM(MID(SUBSTITUTE($T203,";",REPT(" ",99)),496,99)))+1,99)),0) + IFERROR(VLOOKUP(LEFT(TRIM(MID(SUBSTITUTE($T203,";",REPT(" ",99)),595,99)),FIND(":",TRIM(MID(SUBSTITUTE($T203,";",REPT(" ",99)),595,99)))-1),Materiales!$A$2:$E$502,5,FALSE)*VALUE(MID(TRIM(MID(SUBSTITUTE($T203,";",REPT(" ",99)),595,99)),FIND(":",TRIM(MID(SUBSTITUTE($T203,";",REPT(" ",99)),595,99)))+1,99)),0) + IFERROR(VLOOKUP(LEFT(TRIM(MID(SUBSTITUTE($T203,";",REPT(" ",99)),694,99)),FIND(":",TRIM(MID(SUBSTITUTE($T203,";",REPT(" ",99)),694,99)))-1),Materiales!$A$2:$E$502,5,FALSE)*VALUE(MID(TRIM(MID(SUBSTITUTE($T203,";",REPT(" ",99)),694,99)),FIND(":",TRIM(MID(SUBSTITUTE($T203,";",REPT(" ",99)),694,99)))+1,99)),0) + IFERROR(VLOOKUP(LEFT(TRIM(MID(SUBSTITUTE($T203,";",REPT(" ",99)),793,99)),FIND(":",TRIM(MID(SUBSTITUTE($T203,";",REPT(" ",99)),793,99)))-1),Materiales!$A$2:$E$502,5,FALSE)*VALUE(MID(TRIM(MID(SUBSTITUTE($T203,";",REPT(" ",99)),793,99)),FIND(":",TRIM(MID(SUBSTITUTE($T203,";",REPT(" ",99)),793,99)))+1,99)),0) + IFERROR(VLOOKUP(LEFT(TRIM(MID(SUBSTITUTE($T203,";",REPT(" ",99)),892,99)),FIND(":",TRIM(MID(SUBSTITUTE($T203,";",REPT(" ",99)),892,99)))-1),Materiales!$A$2:$E$502,5,FALSE)*VALUE(MID(TRIM(MID(SUBSTITUTE($T203,";",REPT(" ",99)),892,99)),FIND(":",TRIM(MID(SUBSTITUTE($T203,";",REPT(" ",99)),892,99)))+1,99)),0)))</f>
        <v/>
      </c>
      <c r="V203" s="3"/>
      <c r="W203" s="5" t="str">
        <f t="array" ref="W203">IF($A203="","",IF($V203="",0,IFERROR(VLOOKUP(LEFT(TRIM(MID(SUBSTITUTE($V203,";",REPT(" ",99)),1,99)),FIND(":",TRIM(MID(SUBSTITUTE($V203,";",REPT(" ",99)),1,99)))-1),Materiales!$A$2:$E$502,5,FALSE)*VALUE(MID(TRIM(MID(SUBSTITUTE($V203,";",REPT(" ",99)),1,99)),FIND(":",TRIM(MID(SUBSTITUTE($V203,";",REPT(" ",99)),1,99)))+1,99)),0) + IFERROR(VLOOKUP(LEFT(TRIM(MID(SUBSTITUTE($V203,";",REPT(" ",99)),100,99)),FIND(":",TRIM(MID(SUBSTITUTE($V203,";",REPT(" ",99)),100,99)))-1),Materiales!$A$2:$E$502,5,FALSE)*VALUE(MID(TRIM(MID(SUBSTITUTE($V203,";",REPT(" ",99)),100,99)),FIND(":",TRIM(MID(SUBSTITUTE($V203,";",REPT(" ",99)),100,99)))+1,99)),0) + IFERROR(VLOOKUP(LEFT(TRIM(MID(SUBSTITUTE($V203,";",REPT(" ",99)),199,99)),FIND(":",TRIM(MID(SUBSTITUTE($V203,";",REPT(" ",99)),199,99)))-1),Materiales!$A$2:$E$502,5,FALSE)*VALUE(MID(TRIM(MID(SUBSTITUTE($V203,";",REPT(" ",99)),199,99)),FIND(":",TRIM(MID(SUBSTITUTE($V203,";",REPT(" ",99)),199,99)))+1,99)),0) + IFERROR(VLOOKUP(LEFT(TRIM(MID(SUBSTITUTE($V203,";",REPT(" ",99)),298,99)),FIND(":",TRIM(MID(SUBSTITUTE($V203,";",REPT(" ",99)),298,99)))-1),Materiales!$A$2:$E$502,5,FALSE)*VALUE(MID(TRIM(MID(SUBSTITUTE($V203,";",REPT(" ",99)),298,99)),FIND(":",TRIM(MID(SUBSTITUTE($V203,";",REPT(" ",99)),298,99)))+1,99)),0) + IFERROR(VLOOKUP(LEFT(TRIM(MID(SUBSTITUTE($V203,";",REPT(" ",99)),397,99)),FIND(":",TRIM(MID(SUBSTITUTE($V203,";",REPT(" ",99)),397,99)))-1),Materiales!$A$2:$E$502,5,FALSE)*VALUE(MID(TRIM(MID(SUBSTITUTE($V203,";",REPT(" ",99)),397,99)),FIND(":",TRIM(MID(SUBSTITUTE($V203,";",REPT(" ",99)),397,99)))+1,99)),0) + IFERROR(VLOOKUP(LEFT(TRIM(MID(SUBSTITUTE($V203,";",REPT(" ",99)),496,99)),FIND(":",TRIM(MID(SUBSTITUTE($V203,";",REPT(" ",99)),496,99)))-1),Materiales!$A$2:$E$502,5,FALSE)*VALUE(MID(TRIM(MID(SUBSTITUTE($V203,";",REPT(" ",99)),496,99)),FIND(":",TRIM(MID(SUBSTITUTE($V203,";",REPT(" ",99)),496,99)))+1,99)),0) + IFERROR(VLOOKUP(LEFT(TRIM(MID(SUBSTITUTE($V203,";",REPT(" ",99)),595,99)),FIND(":",TRIM(MID(SUBSTITUTE($V203,";",REPT(" ",99)),595,99)))-1),Materiales!$A$2:$E$502,5,FALSE)*VALUE(MID(TRIM(MID(SUBSTITUTE($V203,";",REPT(" ",99)),595,99)),FIND(":",TRIM(MID(SUBSTITUTE($V203,";",REPT(" ",99)),595,99)))+1,99)),0) + IFERROR(VLOOKUP(LEFT(TRIM(MID(SUBSTITUTE($V203,";",REPT(" ",99)),694,99)),FIND(":",TRIM(MID(SUBSTITUTE($V203,";",REPT(" ",99)),694,99)))-1),Materiales!$A$2:$E$502,5,FALSE)*VALUE(MID(TRIM(MID(SUBSTITUTE($V203,";",REPT(" ",99)),694,99)),FIND(":",TRIM(MID(SUBSTITUTE($V203,";",REPT(" ",99)),694,99)))+1,99)),0) + IFERROR(VLOOKUP(LEFT(TRIM(MID(SUBSTITUTE($V203,";",REPT(" ",99)),793,99)),FIND(":",TRIM(MID(SUBSTITUTE($V203,";",REPT(" ",99)),793,99)))-1),Materiales!$A$2:$E$502,5,FALSE)*VALUE(MID(TRIM(MID(SUBSTITUTE($V203,";",REPT(" ",99)),793,99)),FIND(":",TRIM(MID(SUBSTITUTE($V203,";",REPT(" ",99)),793,99)))+1,99)),0) + IFERROR(VLOOKUP(LEFT(TRIM(MID(SUBSTITUTE($V203,";",REPT(" ",99)),892,99)),FIND(":",TRIM(MID(SUBSTITUTE($V203,";",REPT(" ",99)),892,99)))-1),Materiales!$A$2:$E$502,5,FALSE)*VALUE(MID(TRIM(MID(SUBSTITUTE($V203,";",REPT(" ",99)),892,99)),FIND(":",TRIM(MID(SUBSTITUTE($V203,";",REPT(" ",99)),892,99)))+1,99)),0)))</f>
        <v/>
      </c>
      <c r="X203" s="39" t="str">
        <f t="shared" si="21"/>
        <v/>
      </c>
      <c r="Y203" s="64"/>
      <c r="Z203" s="67"/>
      <c r="AA203" s="65"/>
      <c r="AB203" s="14"/>
      <c r="AC203" s="66"/>
      <c r="AD203" s="65"/>
      <c r="AE203" s="44"/>
      <c r="AF203" s="45" t="str">
        <f t="shared" si="20"/>
        <v>#DIV/0!</v>
      </c>
    </row>
    <row r="204" ht="15.75" customHeight="1">
      <c r="A204" s="3"/>
      <c r="B204" s="3"/>
      <c r="C204" s="38"/>
      <c r="D204" s="38"/>
      <c r="E204" s="38"/>
      <c r="F204" s="14"/>
      <c r="G204" s="5" t="str">
        <f t="array" ref="G204">IF($A204="","",IFERROR($F204*(N($C204)*XLOOKUP($B204,Ceras!$A$2:$A$500,Ceras!$G$2:$G$500,0)+IF($D204="",0,N($E204)*XLOOKUP($D204,Ceras!$A$2:$A$500,Ceras!$G$2:$G$500,0))),"Revisar cera"))</f>
        <v/>
      </c>
      <c r="H204" s="5"/>
      <c r="I204" s="3"/>
      <c r="J204" s="14"/>
      <c r="K204" s="5" t="str">
        <f t="array" ref="K204">IF($A204="","",IFERROR($J204*XLOOKUP($I204,Pabilos!$A$2:$A$500,Pabilos!$H$2:$H$500,0),"Revisar pabilo"))</f>
        <v/>
      </c>
      <c r="L204" s="3"/>
      <c r="M204" s="14"/>
      <c r="N204" s="5" t="str">
        <f t="array" ref="N204">IF($A204="","",IFERROR($M204*XLOOKUP($L204,Esencias!$A$2:$A$501,Esencias!$G$2:$G$501,0),"Revisar esencia"))</f>
        <v/>
      </c>
      <c r="O204" s="3"/>
      <c r="P204" s="14"/>
      <c r="Q204" s="5" t="str">
        <f t="array" ref="Q204">IF($A204="","",IFERROR(IF($P204="",1,$P204)*XLOOKUP($O204,Colores!$A$2:$A$500,Colores!$H$2:$H$500,0),"Revisar color"))</f>
        <v/>
      </c>
      <c r="R204" s="3"/>
      <c r="S204" s="5" t="str">
        <f t="array" ref="S204">IF($A204="","",IF($R204="",0,IFERROR(VLOOKUP(LEFT(TRIM(MID(SUBSTITUTE($R204,";",REPT(" ",99)),1,99)),FIND(":",TRIM(MID(SUBSTITUTE($R204,";",REPT(" ",99)),1,99)))-1),Materiales!$A$2:$E$502,5,FALSE)*VALUE(MID(TRIM(MID(SUBSTITUTE($R204,";",REPT(" ",99)),1,99)),FIND(":",TRIM(MID(SUBSTITUTE($R204,";",REPT(" ",99)),1,99)))+1,99)),0) + IFERROR(VLOOKUP(LEFT(TRIM(MID(SUBSTITUTE($R204,";",REPT(" ",99)),100,99)),FIND(":",TRIM(MID(SUBSTITUTE($R204,";",REPT(" ",99)),100,99)))-1),Materiales!$A$2:$E$502,5,FALSE)*VALUE(MID(TRIM(MID(SUBSTITUTE($R204,";",REPT(" ",99)),100,99)),FIND(":",TRIM(MID(SUBSTITUTE($R204,";",REPT(" ",99)),100,99)))+1,99)),0) + IFERROR(VLOOKUP(LEFT(TRIM(MID(SUBSTITUTE($R204,";",REPT(" ",99)),199,99)),FIND(":",TRIM(MID(SUBSTITUTE($R204,";",REPT(" ",99)),199,99)))-1),Materiales!$A$2:$E$502,5,FALSE)*VALUE(MID(TRIM(MID(SUBSTITUTE($R204,";",REPT(" ",99)),199,99)),FIND(":",TRIM(MID(SUBSTITUTE($R204,";",REPT(" ",99)),199,99)))+1,99)),0) + IFERROR(VLOOKUP(LEFT(TRIM(MID(SUBSTITUTE($R204,";",REPT(" ",99)),298,99)),FIND(":",TRIM(MID(SUBSTITUTE($R204,";",REPT(" ",99)),298,99)))-1),Materiales!$A$2:$E$502,5,FALSE)*VALUE(MID(TRIM(MID(SUBSTITUTE($R204,";",REPT(" ",99)),298,99)),FIND(":",TRIM(MID(SUBSTITUTE($R204,";",REPT(" ",99)),298,99)))+1,99)),0) + IFERROR(VLOOKUP(LEFT(TRIM(MID(SUBSTITUTE($R204,";",REPT(" ",99)),397,99)),FIND(":",TRIM(MID(SUBSTITUTE($R204,";",REPT(" ",99)),397,99)))-1),Materiales!$A$2:$E$502,5,FALSE)*VALUE(MID(TRIM(MID(SUBSTITUTE($R204,";",REPT(" ",99)),397,99)),FIND(":",TRIM(MID(SUBSTITUTE($R204,";",REPT(" ",99)),397,99)))+1,99)),0) + IFERROR(VLOOKUP(LEFT(TRIM(MID(SUBSTITUTE($R204,";",REPT(" ",99)),496,99)),FIND(":",TRIM(MID(SUBSTITUTE($R204,";",REPT(" ",99)),496,99)))-1),Materiales!$A$2:$E$502,5,FALSE)*VALUE(MID(TRIM(MID(SUBSTITUTE($R204,";",REPT(" ",99)),496,99)),FIND(":",TRIM(MID(SUBSTITUTE($R204,";",REPT(" ",99)),496,99)))+1,99)),0) + IFERROR(VLOOKUP(LEFT(TRIM(MID(SUBSTITUTE($R204,";",REPT(" ",99)),595,99)),FIND(":",TRIM(MID(SUBSTITUTE($R204,";",REPT(" ",99)),595,99)))-1),Materiales!$A$2:$E$502,5,FALSE)*VALUE(MID(TRIM(MID(SUBSTITUTE($R204,";",REPT(" ",99)),595,99)),FIND(":",TRIM(MID(SUBSTITUTE($R204,";",REPT(" ",99)),595,99)))+1,99)),0) + IFERROR(VLOOKUP(LEFT(TRIM(MID(SUBSTITUTE($R204,";",REPT(" ",99)),694,99)),FIND(":",TRIM(MID(SUBSTITUTE($R204,";",REPT(" ",99)),694,99)))-1),Materiales!$A$2:$E$502,5,FALSE)*VALUE(MID(TRIM(MID(SUBSTITUTE($R204,";",REPT(" ",99)),694,99)),FIND(":",TRIM(MID(SUBSTITUTE($R204,";",REPT(" ",99)),694,99)))+1,99)),0) + IFERROR(VLOOKUP(LEFT(TRIM(MID(SUBSTITUTE($R204,";",REPT(" ",99)),793,99)),FIND(":",TRIM(MID(SUBSTITUTE($R204,";",REPT(" ",99)),793,99)))-1),Materiales!$A$2:$E$502,5,FALSE)*VALUE(MID(TRIM(MID(SUBSTITUTE($R204,";",REPT(" ",99)),793,99)),FIND(":",TRIM(MID(SUBSTITUTE($R204,";",REPT(" ",99)),793,99)))+1,99)),0) + IFERROR(VLOOKUP(LEFT(TRIM(MID(SUBSTITUTE($R204,";",REPT(" ",99)),892,99)),FIND(":",TRIM(MID(SUBSTITUTE($R204,";",REPT(" ",99)),892,99)))-1),Materiales!$A$2:$E$502,5,FALSE)*VALUE(MID(TRIM(MID(SUBSTITUTE($R204,";",REPT(" ",99)),892,99)),FIND(":",TRIM(MID(SUBSTITUTE($R204,";",REPT(" ",99)),892,99)))+1,99)),0)))</f>
        <v/>
      </c>
      <c r="T204" s="3"/>
      <c r="U204" s="5" t="str">
        <f t="array" ref="U204">IF($A204="","",IF($T204="",0,IFERROR(VLOOKUP(LEFT(TRIM(MID(SUBSTITUTE($T204,";",REPT(" ",99)),1,99)),FIND(":",TRIM(MID(SUBSTITUTE($T204,";",REPT(" ",99)),1,99)))-1),Materiales!$A$2:$E$502,5,FALSE)*VALUE(MID(TRIM(MID(SUBSTITUTE($T204,";",REPT(" ",99)),1,99)),FIND(":",TRIM(MID(SUBSTITUTE($T204,";",REPT(" ",99)),1,99)))+1,99)),0) + IFERROR(VLOOKUP(LEFT(TRIM(MID(SUBSTITUTE($T204,";",REPT(" ",99)),100,99)),FIND(":",TRIM(MID(SUBSTITUTE($T204,";",REPT(" ",99)),100,99)))-1),Materiales!$A$2:$E$502,5,FALSE)*VALUE(MID(TRIM(MID(SUBSTITUTE($T204,";",REPT(" ",99)),100,99)),FIND(":",TRIM(MID(SUBSTITUTE($T204,";",REPT(" ",99)),100,99)))+1,99)),0) + IFERROR(VLOOKUP(LEFT(TRIM(MID(SUBSTITUTE($T204,";",REPT(" ",99)),199,99)),FIND(":",TRIM(MID(SUBSTITUTE($T204,";",REPT(" ",99)),199,99)))-1),Materiales!$A$2:$E$502,5,FALSE)*VALUE(MID(TRIM(MID(SUBSTITUTE($T204,";",REPT(" ",99)),199,99)),FIND(":",TRIM(MID(SUBSTITUTE($T204,";",REPT(" ",99)),199,99)))+1,99)),0) + IFERROR(VLOOKUP(LEFT(TRIM(MID(SUBSTITUTE($T204,";",REPT(" ",99)),298,99)),FIND(":",TRIM(MID(SUBSTITUTE($T204,";",REPT(" ",99)),298,99)))-1),Materiales!$A$2:$E$502,5,FALSE)*VALUE(MID(TRIM(MID(SUBSTITUTE($T204,";",REPT(" ",99)),298,99)),FIND(":",TRIM(MID(SUBSTITUTE($T204,";",REPT(" ",99)),298,99)))+1,99)),0) + IFERROR(VLOOKUP(LEFT(TRIM(MID(SUBSTITUTE($T204,";",REPT(" ",99)),397,99)),FIND(":",TRIM(MID(SUBSTITUTE($T204,";",REPT(" ",99)),397,99)))-1),Materiales!$A$2:$E$502,5,FALSE)*VALUE(MID(TRIM(MID(SUBSTITUTE($T204,";",REPT(" ",99)),397,99)),FIND(":",TRIM(MID(SUBSTITUTE($T204,";",REPT(" ",99)),397,99)))+1,99)),0) + IFERROR(VLOOKUP(LEFT(TRIM(MID(SUBSTITUTE($T204,";",REPT(" ",99)),496,99)),FIND(":",TRIM(MID(SUBSTITUTE($T204,";",REPT(" ",99)),496,99)))-1),Materiales!$A$2:$E$502,5,FALSE)*VALUE(MID(TRIM(MID(SUBSTITUTE($T204,";",REPT(" ",99)),496,99)),FIND(":",TRIM(MID(SUBSTITUTE($T204,";",REPT(" ",99)),496,99)))+1,99)),0) + IFERROR(VLOOKUP(LEFT(TRIM(MID(SUBSTITUTE($T204,";",REPT(" ",99)),595,99)),FIND(":",TRIM(MID(SUBSTITUTE($T204,";",REPT(" ",99)),595,99)))-1),Materiales!$A$2:$E$502,5,FALSE)*VALUE(MID(TRIM(MID(SUBSTITUTE($T204,";",REPT(" ",99)),595,99)),FIND(":",TRIM(MID(SUBSTITUTE($T204,";",REPT(" ",99)),595,99)))+1,99)),0) + IFERROR(VLOOKUP(LEFT(TRIM(MID(SUBSTITUTE($T204,";",REPT(" ",99)),694,99)),FIND(":",TRIM(MID(SUBSTITUTE($T204,";",REPT(" ",99)),694,99)))-1),Materiales!$A$2:$E$502,5,FALSE)*VALUE(MID(TRIM(MID(SUBSTITUTE($T204,";",REPT(" ",99)),694,99)),FIND(":",TRIM(MID(SUBSTITUTE($T204,";",REPT(" ",99)),694,99)))+1,99)),0) + IFERROR(VLOOKUP(LEFT(TRIM(MID(SUBSTITUTE($T204,";",REPT(" ",99)),793,99)),FIND(":",TRIM(MID(SUBSTITUTE($T204,";",REPT(" ",99)),793,99)))-1),Materiales!$A$2:$E$502,5,FALSE)*VALUE(MID(TRIM(MID(SUBSTITUTE($T204,";",REPT(" ",99)),793,99)),FIND(":",TRIM(MID(SUBSTITUTE($T204,";",REPT(" ",99)),793,99)))+1,99)),0) + IFERROR(VLOOKUP(LEFT(TRIM(MID(SUBSTITUTE($T204,";",REPT(" ",99)),892,99)),FIND(":",TRIM(MID(SUBSTITUTE($T204,";",REPT(" ",99)),892,99)))-1),Materiales!$A$2:$E$502,5,FALSE)*VALUE(MID(TRIM(MID(SUBSTITUTE($T204,";",REPT(" ",99)),892,99)),FIND(":",TRIM(MID(SUBSTITUTE($T204,";",REPT(" ",99)),892,99)))+1,99)),0)))</f>
        <v/>
      </c>
      <c r="V204" s="3"/>
      <c r="W204" s="5" t="str">
        <f t="array" ref="W204">IF($A204="","",IF($V204="",0,IFERROR(VLOOKUP(LEFT(TRIM(MID(SUBSTITUTE($V204,";",REPT(" ",99)),1,99)),FIND(":",TRIM(MID(SUBSTITUTE($V204,";",REPT(" ",99)),1,99)))-1),Materiales!$A$2:$E$502,5,FALSE)*VALUE(MID(TRIM(MID(SUBSTITUTE($V204,";",REPT(" ",99)),1,99)),FIND(":",TRIM(MID(SUBSTITUTE($V204,";",REPT(" ",99)),1,99)))+1,99)),0) + IFERROR(VLOOKUP(LEFT(TRIM(MID(SUBSTITUTE($V204,";",REPT(" ",99)),100,99)),FIND(":",TRIM(MID(SUBSTITUTE($V204,";",REPT(" ",99)),100,99)))-1),Materiales!$A$2:$E$502,5,FALSE)*VALUE(MID(TRIM(MID(SUBSTITUTE($V204,";",REPT(" ",99)),100,99)),FIND(":",TRIM(MID(SUBSTITUTE($V204,";",REPT(" ",99)),100,99)))+1,99)),0) + IFERROR(VLOOKUP(LEFT(TRIM(MID(SUBSTITUTE($V204,";",REPT(" ",99)),199,99)),FIND(":",TRIM(MID(SUBSTITUTE($V204,";",REPT(" ",99)),199,99)))-1),Materiales!$A$2:$E$502,5,FALSE)*VALUE(MID(TRIM(MID(SUBSTITUTE($V204,";",REPT(" ",99)),199,99)),FIND(":",TRIM(MID(SUBSTITUTE($V204,";",REPT(" ",99)),199,99)))+1,99)),0) + IFERROR(VLOOKUP(LEFT(TRIM(MID(SUBSTITUTE($V204,";",REPT(" ",99)),298,99)),FIND(":",TRIM(MID(SUBSTITUTE($V204,";",REPT(" ",99)),298,99)))-1),Materiales!$A$2:$E$502,5,FALSE)*VALUE(MID(TRIM(MID(SUBSTITUTE($V204,";",REPT(" ",99)),298,99)),FIND(":",TRIM(MID(SUBSTITUTE($V204,";",REPT(" ",99)),298,99)))+1,99)),0) + IFERROR(VLOOKUP(LEFT(TRIM(MID(SUBSTITUTE($V204,";",REPT(" ",99)),397,99)),FIND(":",TRIM(MID(SUBSTITUTE($V204,";",REPT(" ",99)),397,99)))-1),Materiales!$A$2:$E$502,5,FALSE)*VALUE(MID(TRIM(MID(SUBSTITUTE($V204,";",REPT(" ",99)),397,99)),FIND(":",TRIM(MID(SUBSTITUTE($V204,";",REPT(" ",99)),397,99)))+1,99)),0) + IFERROR(VLOOKUP(LEFT(TRIM(MID(SUBSTITUTE($V204,";",REPT(" ",99)),496,99)),FIND(":",TRIM(MID(SUBSTITUTE($V204,";",REPT(" ",99)),496,99)))-1),Materiales!$A$2:$E$502,5,FALSE)*VALUE(MID(TRIM(MID(SUBSTITUTE($V204,";",REPT(" ",99)),496,99)),FIND(":",TRIM(MID(SUBSTITUTE($V204,";",REPT(" ",99)),496,99)))+1,99)),0) + IFERROR(VLOOKUP(LEFT(TRIM(MID(SUBSTITUTE($V204,";",REPT(" ",99)),595,99)),FIND(":",TRIM(MID(SUBSTITUTE($V204,";",REPT(" ",99)),595,99)))-1),Materiales!$A$2:$E$502,5,FALSE)*VALUE(MID(TRIM(MID(SUBSTITUTE($V204,";",REPT(" ",99)),595,99)),FIND(":",TRIM(MID(SUBSTITUTE($V204,";",REPT(" ",99)),595,99)))+1,99)),0) + IFERROR(VLOOKUP(LEFT(TRIM(MID(SUBSTITUTE($V204,";",REPT(" ",99)),694,99)),FIND(":",TRIM(MID(SUBSTITUTE($V204,";",REPT(" ",99)),694,99)))-1),Materiales!$A$2:$E$502,5,FALSE)*VALUE(MID(TRIM(MID(SUBSTITUTE($V204,";",REPT(" ",99)),694,99)),FIND(":",TRIM(MID(SUBSTITUTE($V204,";",REPT(" ",99)),694,99)))+1,99)),0) + IFERROR(VLOOKUP(LEFT(TRIM(MID(SUBSTITUTE($V204,";",REPT(" ",99)),793,99)),FIND(":",TRIM(MID(SUBSTITUTE($V204,";",REPT(" ",99)),793,99)))-1),Materiales!$A$2:$E$502,5,FALSE)*VALUE(MID(TRIM(MID(SUBSTITUTE($V204,";",REPT(" ",99)),793,99)),FIND(":",TRIM(MID(SUBSTITUTE($V204,";",REPT(" ",99)),793,99)))+1,99)),0) + IFERROR(VLOOKUP(LEFT(TRIM(MID(SUBSTITUTE($V204,";",REPT(" ",99)),892,99)),FIND(":",TRIM(MID(SUBSTITUTE($V204,";",REPT(" ",99)),892,99)))-1),Materiales!$A$2:$E$502,5,FALSE)*VALUE(MID(TRIM(MID(SUBSTITUTE($V204,";",REPT(" ",99)),892,99)),FIND(":",TRIM(MID(SUBSTITUTE($V204,";",REPT(" ",99)),892,99)))+1,99)),0)))</f>
        <v/>
      </c>
      <c r="X204" s="39" t="str">
        <f t="shared" si="21"/>
        <v/>
      </c>
      <c r="Y204" s="64"/>
      <c r="Z204" s="67"/>
      <c r="AA204" s="65"/>
      <c r="AB204" s="14"/>
      <c r="AC204" s="66"/>
      <c r="AD204" s="65"/>
      <c r="AE204" s="44"/>
      <c r="AF204" s="45" t="str">
        <f t="shared" si="20"/>
        <v>#DIV/0!</v>
      </c>
    </row>
    <row r="205" ht="15.75" customHeight="1">
      <c r="A205" s="3"/>
      <c r="B205" s="3"/>
      <c r="C205" s="38"/>
      <c r="D205" s="38"/>
      <c r="E205" s="38"/>
      <c r="F205" s="14"/>
      <c r="G205" s="5" t="str">
        <f t="array" ref="G205">IF($A205="","",IFERROR($F205*(N($C205)*XLOOKUP($B205,Ceras!$A$2:$A$500,Ceras!$G$2:$G$500,0)+IF($D205="",0,N($E205)*XLOOKUP($D205,Ceras!$A$2:$A$500,Ceras!$G$2:$G$500,0))),"Revisar cera"))</f>
        <v/>
      </c>
      <c r="H205" s="5"/>
      <c r="I205" s="3"/>
      <c r="J205" s="14"/>
      <c r="K205" s="5" t="str">
        <f t="array" ref="K205">IF($A205="","",IFERROR($J205*XLOOKUP($I205,Pabilos!$A$2:$A$500,Pabilos!$H$2:$H$500,0),"Revisar pabilo"))</f>
        <v/>
      </c>
      <c r="L205" s="3"/>
      <c r="M205" s="14"/>
      <c r="N205" s="5" t="str">
        <f t="array" ref="N205">IF($A205="","",IFERROR($M205*XLOOKUP($L205,Esencias!$A$2:$A$501,Esencias!$G$2:$G$501,0),"Revisar esencia"))</f>
        <v/>
      </c>
      <c r="O205" s="3"/>
      <c r="P205" s="14"/>
      <c r="Q205" s="5" t="str">
        <f t="array" ref="Q205">IF($A205="","",IFERROR(IF($P205="",1,$P205)*XLOOKUP($O205,Colores!$A$2:$A$500,Colores!$H$2:$H$500,0),"Revisar color"))</f>
        <v/>
      </c>
      <c r="R205" s="3"/>
      <c r="S205" s="5" t="str">
        <f t="array" ref="S205">IF($A205="","",IF($R205="",0,IFERROR(VLOOKUP(LEFT(TRIM(MID(SUBSTITUTE($R205,";",REPT(" ",99)),1,99)),FIND(":",TRIM(MID(SUBSTITUTE($R205,";",REPT(" ",99)),1,99)))-1),Materiales!$A$2:$E$502,5,FALSE)*VALUE(MID(TRIM(MID(SUBSTITUTE($R205,";",REPT(" ",99)),1,99)),FIND(":",TRIM(MID(SUBSTITUTE($R205,";",REPT(" ",99)),1,99)))+1,99)),0) + IFERROR(VLOOKUP(LEFT(TRIM(MID(SUBSTITUTE($R205,";",REPT(" ",99)),100,99)),FIND(":",TRIM(MID(SUBSTITUTE($R205,";",REPT(" ",99)),100,99)))-1),Materiales!$A$2:$E$502,5,FALSE)*VALUE(MID(TRIM(MID(SUBSTITUTE($R205,";",REPT(" ",99)),100,99)),FIND(":",TRIM(MID(SUBSTITUTE($R205,";",REPT(" ",99)),100,99)))+1,99)),0) + IFERROR(VLOOKUP(LEFT(TRIM(MID(SUBSTITUTE($R205,";",REPT(" ",99)),199,99)),FIND(":",TRIM(MID(SUBSTITUTE($R205,";",REPT(" ",99)),199,99)))-1),Materiales!$A$2:$E$502,5,FALSE)*VALUE(MID(TRIM(MID(SUBSTITUTE($R205,";",REPT(" ",99)),199,99)),FIND(":",TRIM(MID(SUBSTITUTE($R205,";",REPT(" ",99)),199,99)))+1,99)),0) + IFERROR(VLOOKUP(LEFT(TRIM(MID(SUBSTITUTE($R205,";",REPT(" ",99)),298,99)),FIND(":",TRIM(MID(SUBSTITUTE($R205,";",REPT(" ",99)),298,99)))-1),Materiales!$A$2:$E$502,5,FALSE)*VALUE(MID(TRIM(MID(SUBSTITUTE($R205,";",REPT(" ",99)),298,99)),FIND(":",TRIM(MID(SUBSTITUTE($R205,";",REPT(" ",99)),298,99)))+1,99)),0) + IFERROR(VLOOKUP(LEFT(TRIM(MID(SUBSTITUTE($R205,";",REPT(" ",99)),397,99)),FIND(":",TRIM(MID(SUBSTITUTE($R205,";",REPT(" ",99)),397,99)))-1),Materiales!$A$2:$E$502,5,FALSE)*VALUE(MID(TRIM(MID(SUBSTITUTE($R205,";",REPT(" ",99)),397,99)),FIND(":",TRIM(MID(SUBSTITUTE($R205,";",REPT(" ",99)),397,99)))+1,99)),0) + IFERROR(VLOOKUP(LEFT(TRIM(MID(SUBSTITUTE($R205,";",REPT(" ",99)),496,99)),FIND(":",TRIM(MID(SUBSTITUTE($R205,";",REPT(" ",99)),496,99)))-1),Materiales!$A$2:$E$502,5,FALSE)*VALUE(MID(TRIM(MID(SUBSTITUTE($R205,";",REPT(" ",99)),496,99)),FIND(":",TRIM(MID(SUBSTITUTE($R205,";",REPT(" ",99)),496,99)))+1,99)),0) + IFERROR(VLOOKUP(LEFT(TRIM(MID(SUBSTITUTE($R205,";",REPT(" ",99)),595,99)),FIND(":",TRIM(MID(SUBSTITUTE($R205,";",REPT(" ",99)),595,99)))-1),Materiales!$A$2:$E$502,5,FALSE)*VALUE(MID(TRIM(MID(SUBSTITUTE($R205,";",REPT(" ",99)),595,99)),FIND(":",TRIM(MID(SUBSTITUTE($R205,";",REPT(" ",99)),595,99)))+1,99)),0) + IFERROR(VLOOKUP(LEFT(TRIM(MID(SUBSTITUTE($R205,";",REPT(" ",99)),694,99)),FIND(":",TRIM(MID(SUBSTITUTE($R205,";",REPT(" ",99)),694,99)))-1),Materiales!$A$2:$E$502,5,FALSE)*VALUE(MID(TRIM(MID(SUBSTITUTE($R205,";",REPT(" ",99)),694,99)),FIND(":",TRIM(MID(SUBSTITUTE($R205,";",REPT(" ",99)),694,99)))+1,99)),0) + IFERROR(VLOOKUP(LEFT(TRIM(MID(SUBSTITUTE($R205,";",REPT(" ",99)),793,99)),FIND(":",TRIM(MID(SUBSTITUTE($R205,";",REPT(" ",99)),793,99)))-1),Materiales!$A$2:$E$502,5,FALSE)*VALUE(MID(TRIM(MID(SUBSTITUTE($R205,";",REPT(" ",99)),793,99)),FIND(":",TRIM(MID(SUBSTITUTE($R205,";",REPT(" ",99)),793,99)))+1,99)),0) + IFERROR(VLOOKUP(LEFT(TRIM(MID(SUBSTITUTE($R205,";",REPT(" ",99)),892,99)),FIND(":",TRIM(MID(SUBSTITUTE($R205,";",REPT(" ",99)),892,99)))-1),Materiales!$A$2:$E$502,5,FALSE)*VALUE(MID(TRIM(MID(SUBSTITUTE($R205,";",REPT(" ",99)),892,99)),FIND(":",TRIM(MID(SUBSTITUTE($R205,";",REPT(" ",99)),892,99)))+1,99)),0)))</f>
        <v/>
      </c>
      <c r="T205" s="3"/>
      <c r="U205" s="5" t="str">
        <f t="array" ref="U205">IF($A205="","",IF($T205="",0,IFERROR(VLOOKUP(LEFT(TRIM(MID(SUBSTITUTE($T205,";",REPT(" ",99)),1,99)),FIND(":",TRIM(MID(SUBSTITUTE($T205,";",REPT(" ",99)),1,99)))-1),Materiales!$A$2:$E$502,5,FALSE)*VALUE(MID(TRIM(MID(SUBSTITUTE($T205,";",REPT(" ",99)),1,99)),FIND(":",TRIM(MID(SUBSTITUTE($T205,";",REPT(" ",99)),1,99)))+1,99)),0) + IFERROR(VLOOKUP(LEFT(TRIM(MID(SUBSTITUTE($T205,";",REPT(" ",99)),100,99)),FIND(":",TRIM(MID(SUBSTITUTE($T205,";",REPT(" ",99)),100,99)))-1),Materiales!$A$2:$E$502,5,FALSE)*VALUE(MID(TRIM(MID(SUBSTITUTE($T205,";",REPT(" ",99)),100,99)),FIND(":",TRIM(MID(SUBSTITUTE($T205,";",REPT(" ",99)),100,99)))+1,99)),0) + IFERROR(VLOOKUP(LEFT(TRIM(MID(SUBSTITUTE($T205,";",REPT(" ",99)),199,99)),FIND(":",TRIM(MID(SUBSTITUTE($T205,";",REPT(" ",99)),199,99)))-1),Materiales!$A$2:$E$502,5,FALSE)*VALUE(MID(TRIM(MID(SUBSTITUTE($T205,";",REPT(" ",99)),199,99)),FIND(":",TRIM(MID(SUBSTITUTE($T205,";",REPT(" ",99)),199,99)))+1,99)),0) + IFERROR(VLOOKUP(LEFT(TRIM(MID(SUBSTITUTE($T205,";",REPT(" ",99)),298,99)),FIND(":",TRIM(MID(SUBSTITUTE($T205,";",REPT(" ",99)),298,99)))-1),Materiales!$A$2:$E$502,5,FALSE)*VALUE(MID(TRIM(MID(SUBSTITUTE($T205,";",REPT(" ",99)),298,99)),FIND(":",TRIM(MID(SUBSTITUTE($T205,";",REPT(" ",99)),298,99)))+1,99)),0) + IFERROR(VLOOKUP(LEFT(TRIM(MID(SUBSTITUTE($T205,";",REPT(" ",99)),397,99)),FIND(":",TRIM(MID(SUBSTITUTE($T205,";",REPT(" ",99)),397,99)))-1),Materiales!$A$2:$E$502,5,FALSE)*VALUE(MID(TRIM(MID(SUBSTITUTE($T205,";",REPT(" ",99)),397,99)),FIND(":",TRIM(MID(SUBSTITUTE($T205,";",REPT(" ",99)),397,99)))+1,99)),0) + IFERROR(VLOOKUP(LEFT(TRIM(MID(SUBSTITUTE($T205,";",REPT(" ",99)),496,99)),FIND(":",TRIM(MID(SUBSTITUTE($T205,";",REPT(" ",99)),496,99)))-1),Materiales!$A$2:$E$502,5,FALSE)*VALUE(MID(TRIM(MID(SUBSTITUTE($T205,";",REPT(" ",99)),496,99)),FIND(":",TRIM(MID(SUBSTITUTE($T205,";",REPT(" ",99)),496,99)))+1,99)),0) + IFERROR(VLOOKUP(LEFT(TRIM(MID(SUBSTITUTE($T205,";",REPT(" ",99)),595,99)),FIND(":",TRIM(MID(SUBSTITUTE($T205,";",REPT(" ",99)),595,99)))-1),Materiales!$A$2:$E$502,5,FALSE)*VALUE(MID(TRIM(MID(SUBSTITUTE($T205,";",REPT(" ",99)),595,99)),FIND(":",TRIM(MID(SUBSTITUTE($T205,";",REPT(" ",99)),595,99)))+1,99)),0) + IFERROR(VLOOKUP(LEFT(TRIM(MID(SUBSTITUTE($T205,";",REPT(" ",99)),694,99)),FIND(":",TRIM(MID(SUBSTITUTE($T205,";",REPT(" ",99)),694,99)))-1),Materiales!$A$2:$E$502,5,FALSE)*VALUE(MID(TRIM(MID(SUBSTITUTE($T205,";",REPT(" ",99)),694,99)),FIND(":",TRIM(MID(SUBSTITUTE($T205,";",REPT(" ",99)),694,99)))+1,99)),0) + IFERROR(VLOOKUP(LEFT(TRIM(MID(SUBSTITUTE($T205,";",REPT(" ",99)),793,99)),FIND(":",TRIM(MID(SUBSTITUTE($T205,";",REPT(" ",99)),793,99)))-1),Materiales!$A$2:$E$502,5,FALSE)*VALUE(MID(TRIM(MID(SUBSTITUTE($T205,";",REPT(" ",99)),793,99)),FIND(":",TRIM(MID(SUBSTITUTE($T205,";",REPT(" ",99)),793,99)))+1,99)),0) + IFERROR(VLOOKUP(LEFT(TRIM(MID(SUBSTITUTE($T205,";",REPT(" ",99)),892,99)),FIND(":",TRIM(MID(SUBSTITUTE($T205,";",REPT(" ",99)),892,99)))-1),Materiales!$A$2:$E$502,5,FALSE)*VALUE(MID(TRIM(MID(SUBSTITUTE($T205,";",REPT(" ",99)),892,99)),FIND(":",TRIM(MID(SUBSTITUTE($T205,";",REPT(" ",99)),892,99)))+1,99)),0)))</f>
        <v/>
      </c>
      <c r="V205" s="3"/>
      <c r="W205" s="5" t="str">
        <f t="array" ref="W205">IF($A205="","",IF($V205="",0,IFERROR(VLOOKUP(LEFT(TRIM(MID(SUBSTITUTE($V205,";",REPT(" ",99)),1,99)),FIND(":",TRIM(MID(SUBSTITUTE($V205,";",REPT(" ",99)),1,99)))-1),Materiales!$A$2:$E$502,5,FALSE)*VALUE(MID(TRIM(MID(SUBSTITUTE($V205,";",REPT(" ",99)),1,99)),FIND(":",TRIM(MID(SUBSTITUTE($V205,";",REPT(" ",99)),1,99)))+1,99)),0) + IFERROR(VLOOKUP(LEFT(TRIM(MID(SUBSTITUTE($V205,";",REPT(" ",99)),100,99)),FIND(":",TRIM(MID(SUBSTITUTE($V205,";",REPT(" ",99)),100,99)))-1),Materiales!$A$2:$E$502,5,FALSE)*VALUE(MID(TRIM(MID(SUBSTITUTE($V205,";",REPT(" ",99)),100,99)),FIND(":",TRIM(MID(SUBSTITUTE($V205,";",REPT(" ",99)),100,99)))+1,99)),0) + IFERROR(VLOOKUP(LEFT(TRIM(MID(SUBSTITUTE($V205,";",REPT(" ",99)),199,99)),FIND(":",TRIM(MID(SUBSTITUTE($V205,";",REPT(" ",99)),199,99)))-1),Materiales!$A$2:$E$502,5,FALSE)*VALUE(MID(TRIM(MID(SUBSTITUTE($V205,";",REPT(" ",99)),199,99)),FIND(":",TRIM(MID(SUBSTITUTE($V205,";",REPT(" ",99)),199,99)))+1,99)),0) + IFERROR(VLOOKUP(LEFT(TRIM(MID(SUBSTITUTE($V205,";",REPT(" ",99)),298,99)),FIND(":",TRIM(MID(SUBSTITUTE($V205,";",REPT(" ",99)),298,99)))-1),Materiales!$A$2:$E$502,5,FALSE)*VALUE(MID(TRIM(MID(SUBSTITUTE($V205,";",REPT(" ",99)),298,99)),FIND(":",TRIM(MID(SUBSTITUTE($V205,";",REPT(" ",99)),298,99)))+1,99)),0) + IFERROR(VLOOKUP(LEFT(TRIM(MID(SUBSTITUTE($V205,";",REPT(" ",99)),397,99)),FIND(":",TRIM(MID(SUBSTITUTE($V205,";",REPT(" ",99)),397,99)))-1),Materiales!$A$2:$E$502,5,FALSE)*VALUE(MID(TRIM(MID(SUBSTITUTE($V205,";",REPT(" ",99)),397,99)),FIND(":",TRIM(MID(SUBSTITUTE($V205,";",REPT(" ",99)),397,99)))+1,99)),0) + IFERROR(VLOOKUP(LEFT(TRIM(MID(SUBSTITUTE($V205,";",REPT(" ",99)),496,99)),FIND(":",TRIM(MID(SUBSTITUTE($V205,";",REPT(" ",99)),496,99)))-1),Materiales!$A$2:$E$502,5,FALSE)*VALUE(MID(TRIM(MID(SUBSTITUTE($V205,";",REPT(" ",99)),496,99)),FIND(":",TRIM(MID(SUBSTITUTE($V205,";",REPT(" ",99)),496,99)))+1,99)),0) + IFERROR(VLOOKUP(LEFT(TRIM(MID(SUBSTITUTE($V205,";",REPT(" ",99)),595,99)),FIND(":",TRIM(MID(SUBSTITUTE($V205,";",REPT(" ",99)),595,99)))-1),Materiales!$A$2:$E$502,5,FALSE)*VALUE(MID(TRIM(MID(SUBSTITUTE($V205,";",REPT(" ",99)),595,99)),FIND(":",TRIM(MID(SUBSTITUTE($V205,";",REPT(" ",99)),595,99)))+1,99)),0) + IFERROR(VLOOKUP(LEFT(TRIM(MID(SUBSTITUTE($V205,";",REPT(" ",99)),694,99)),FIND(":",TRIM(MID(SUBSTITUTE($V205,";",REPT(" ",99)),694,99)))-1),Materiales!$A$2:$E$502,5,FALSE)*VALUE(MID(TRIM(MID(SUBSTITUTE($V205,";",REPT(" ",99)),694,99)),FIND(":",TRIM(MID(SUBSTITUTE($V205,";",REPT(" ",99)),694,99)))+1,99)),0) + IFERROR(VLOOKUP(LEFT(TRIM(MID(SUBSTITUTE($V205,";",REPT(" ",99)),793,99)),FIND(":",TRIM(MID(SUBSTITUTE($V205,";",REPT(" ",99)),793,99)))-1),Materiales!$A$2:$E$502,5,FALSE)*VALUE(MID(TRIM(MID(SUBSTITUTE($V205,";",REPT(" ",99)),793,99)),FIND(":",TRIM(MID(SUBSTITUTE($V205,";",REPT(" ",99)),793,99)))+1,99)),0) + IFERROR(VLOOKUP(LEFT(TRIM(MID(SUBSTITUTE($V205,";",REPT(" ",99)),892,99)),FIND(":",TRIM(MID(SUBSTITUTE($V205,";",REPT(" ",99)),892,99)))-1),Materiales!$A$2:$E$502,5,FALSE)*VALUE(MID(TRIM(MID(SUBSTITUTE($V205,";",REPT(" ",99)),892,99)),FIND(":",TRIM(MID(SUBSTITUTE($V205,";",REPT(" ",99)),892,99)))+1,99)),0)))</f>
        <v/>
      </c>
      <c r="X205" s="39" t="str">
        <f t="shared" si="21"/>
        <v/>
      </c>
      <c r="Y205" s="64"/>
      <c r="Z205" s="67"/>
      <c r="AA205" s="65"/>
      <c r="AB205" s="14"/>
      <c r="AC205" s="66"/>
      <c r="AD205" s="65"/>
      <c r="AE205" s="44"/>
      <c r="AF205" s="45" t="str">
        <f t="shared" si="20"/>
        <v>#DIV/0!</v>
      </c>
    </row>
    <row r="206" ht="15.75" customHeight="1">
      <c r="G206" s="5" t="str">
        <f t="array" ref="G206">IF($A206="","",IFERROR($F206*(N($C206)*XLOOKUP($B206,Ceras!$A$2:$A$500,Ceras!$G$2:$G$500,0)+IF($D206="",0,N($E206)*XLOOKUP($D206,Ceras!$A$2:$A$500,Ceras!$G$2:$G$500,0))),"Revisar cera"))</f>
        <v/>
      </c>
      <c r="H206" s="5"/>
      <c r="X206" s="39" t="str">
        <f t="shared" si="21"/>
        <v/>
      </c>
      <c r="Y206" s="68"/>
      <c r="Z206" s="69"/>
      <c r="AA206" s="65"/>
      <c r="AB206" s="29"/>
      <c r="AC206" s="70"/>
      <c r="AD206" s="30"/>
      <c r="AE206" s="44"/>
      <c r="AF206" s="45" t="str">
        <f t="shared" si="20"/>
        <v>#DIV/0!</v>
      </c>
    </row>
    <row r="207" ht="15.75" customHeight="1">
      <c r="G207" s="5" t="str">
        <f t="array" ref="G207">IF($A207="","",IFERROR($F207*(N($C207)*XLOOKUP($B207,Ceras!$A$2:$A$500,Ceras!$G$2:$G$500,0)+IF($D207="",0,N($E207)*XLOOKUP($D207,Ceras!$A$2:$A$500,Ceras!$G$2:$G$500,0))),"Revisar cera"))</f>
        <v/>
      </c>
      <c r="H207" s="5"/>
      <c r="X207" s="39" t="str">
        <f t="shared" si="21"/>
        <v/>
      </c>
      <c r="Y207" s="68"/>
      <c r="Z207" s="69"/>
      <c r="AA207" s="65"/>
      <c r="AB207" s="29"/>
      <c r="AC207" s="70"/>
      <c r="AD207" s="30"/>
      <c r="AE207" s="44"/>
      <c r="AF207" s="45" t="str">
        <f t="shared" si="20"/>
        <v>#DIV/0!</v>
      </c>
    </row>
    <row r="208" ht="15.75" customHeight="1">
      <c r="G208" s="5" t="str">
        <f t="array" ref="G208">IF($A208="","",IFERROR($F208*(N($C208)*XLOOKUP($B208,Ceras!$A$2:$A$500,Ceras!$G$2:$G$500,0)+IF($D208="",0,N($E208)*XLOOKUP($D208,Ceras!$A$2:$A$500,Ceras!$G$2:$G$500,0))),"Revisar cera"))</f>
        <v/>
      </c>
      <c r="H208" s="5"/>
      <c r="X208" s="39" t="str">
        <f t="shared" si="21"/>
        <v/>
      </c>
      <c r="Y208" s="68"/>
      <c r="Z208" s="69"/>
      <c r="AA208" s="65"/>
      <c r="AB208" s="29"/>
      <c r="AC208" s="70"/>
      <c r="AD208" s="30"/>
      <c r="AE208" s="44"/>
      <c r="AF208" s="45" t="str">
        <f t="shared" si="20"/>
        <v>#DIV/0!</v>
      </c>
    </row>
    <row r="209" ht="15.75" customHeight="1">
      <c r="G209" s="5" t="str">
        <f t="array" ref="G209">IF($A209="","",IFERROR($F209*(N($C209)*XLOOKUP($B209,Ceras!$A$2:$A$500,Ceras!$G$2:$G$500,0)+IF($D209="",0,N($E209)*XLOOKUP($D209,Ceras!$A$2:$A$500,Ceras!$G$2:$G$500,0))),"Revisar cera"))</f>
        <v/>
      </c>
      <c r="H209" s="5"/>
      <c r="X209" s="39" t="str">
        <f t="shared" si="21"/>
        <v/>
      </c>
      <c r="Y209" s="68"/>
      <c r="Z209" s="69"/>
      <c r="AA209" s="65"/>
      <c r="AB209" s="29"/>
      <c r="AC209" s="70"/>
      <c r="AD209" s="30"/>
      <c r="AE209" s="44"/>
      <c r="AF209" s="45" t="str">
        <f t="shared" si="20"/>
        <v>#DIV/0!</v>
      </c>
    </row>
    <row r="210" ht="15.75" customHeight="1">
      <c r="G210" s="5" t="str">
        <f t="array" ref="G210">IF($A210="","",IFERROR($F210*(N($C210)*XLOOKUP($B210,Ceras!$A$2:$A$500,Ceras!$G$2:$G$500,0)+IF($D210="",0,N($E210)*XLOOKUP($D210,Ceras!$A$2:$A$500,Ceras!$G$2:$G$500,0))),"Revisar cera"))</f>
        <v/>
      </c>
      <c r="H210" s="5"/>
      <c r="X210" s="39" t="str">
        <f t="shared" si="21"/>
        <v/>
      </c>
      <c r="Y210" s="68"/>
      <c r="Z210" s="69"/>
      <c r="AA210" s="65"/>
      <c r="AB210" s="29"/>
      <c r="AC210" s="70"/>
      <c r="AD210" s="30"/>
      <c r="AE210" s="44"/>
      <c r="AF210" s="45" t="str">
        <f t="shared" si="20"/>
        <v>#DIV/0!</v>
      </c>
    </row>
    <row r="211" ht="15.75" customHeight="1">
      <c r="G211" s="5" t="str">
        <f t="array" ref="G211">IF($A211="","",IFERROR($F211*(N($C211)*XLOOKUP($B211,Ceras!$A$2:$A$500,Ceras!$G$2:$G$500,0)+IF($D211="",0,N($E211)*XLOOKUP($D211,Ceras!$A$2:$A$500,Ceras!$G$2:$G$500,0))),"Revisar cera"))</f>
        <v/>
      </c>
      <c r="H211" s="5"/>
      <c r="X211" s="39" t="str">
        <f t="shared" si="21"/>
        <v/>
      </c>
      <c r="Y211" s="68"/>
      <c r="Z211" s="69"/>
      <c r="AA211" s="65"/>
      <c r="AB211" s="29"/>
      <c r="AC211" s="70"/>
      <c r="AD211" s="30"/>
      <c r="AE211" s="44"/>
      <c r="AF211" s="45" t="str">
        <f t="shared" si="20"/>
        <v>#DIV/0!</v>
      </c>
    </row>
    <row r="212" ht="15.75" customHeight="1">
      <c r="G212" s="5" t="str">
        <f t="array" ref="G212">IF($A212="","",IFERROR($F212*(N($C212)*XLOOKUP($B212,Ceras!$A$2:$A$500,Ceras!$G$2:$G$500,0)+IF($D212="",0,N($E212)*XLOOKUP($D212,Ceras!$A$2:$A$500,Ceras!$G$2:$G$500,0))),"Revisar cera"))</f>
        <v/>
      </c>
      <c r="H212" s="5"/>
      <c r="X212" s="39" t="str">
        <f t="shared" si="21"/>
        <v/>
      </c>
      <c r="Y212" s="68"/>
      <c r="Z212" s="69"/>
      <c r="AA212" s="65"/>
      <c r="AB212" s="29"/>
      <c r="AC212" s="70"/>
      <c r="AD212" s="30"/>
      <c r="AE212" s="71"/>
      <c r="AF212" s="45" t="str">
        <f t="shared" si="20"/>
        <v>#DIV/0!</v>
      </c>
    </row>
    <row r="213" ht="15.75" customHeight="1">
      <c r="G213" s="5" t="str">
        <f t="array" ref="G213">IF($A213="","",IFERROR($F213*(N($C213)*XLOOKUP($B213,Ceras!$A$2:$A$500,Ceras!$G$2:$G$500,0)+IF($D213="",0,N($E213)*XLOOKUP($D213,Ceras!$A$2:$A$500,Ceras!$G$2:$G$500,0))),"Revisar cera"))</f>
        <v/>
      </c>
      <c r="H213" s="5"/>
      <c r="X213" s="39" t="str">
        <f t="shared" si="21"/>
        <v/>
      </c>
      <c r="Y213" s="68"/>
      <c r="Z213" s="69"/>
      <c r="AA213" s="65"/>
      <c r="AB213" s="29"/>
      <c r="AC213" s="70"/>
      <c r="AD213" s="30"/>
      <c r="AE213" s="71"/>
      <c r="AF213" s="45" t="str">
        <f t="shared" si="20"/>
        <v>#DIV/0!</v>
      </c>
    </row>
    <row r="214" ht="15.75" customHeight="1">
      <c r="G214" s="5" t="str">
        <f t="array" ref="G214">IF($A214="","",IFERROR($F214*(N($C214)*XLOOKUP($B214,Ceras!$A$2:$A$500,Ceras!$G$2:$G$500,0)+IF($D214="",0,N($E214)*XLOOKUP($D214,Ceras!$A$2:$A$500,Ceras!$G$2:$G$500,0))),"Revisar cera"))</f>
        <v/>
      </c>
      <c r="H214" s="5"/>
      <c r="X214" s="39" t="str">
        <f t="shared" si="21"/>
        <v/>
      </c>
      <c r="Y214" s="68"/>
      <c r="Z214" s="69"/>
      <c r="AA214" s="65"/>
      <c r="AB214" s="29"/>
      <c r="AC214" s="70"/>
      <c r="AD214" s="30"/>
      <c r="AE214" s="71"/>
      <c r="AF214" s="45" t="str">
        <f t="shared" si="20"/>
        <v>#DIV/0!</v>
      </c>
    </row>
    <row r="215" ht="15.75" customHeight="1">
      <c r="G215" s="5" t="str">
        <f t="array" ref="G215">IF($A215="","",IFERROR($F215*(N($C215)*XLOOKUP($B215,Ceras!$A$2:$A$500,Ceras!$G$2:$G$500,0)+IF($D215="",0,N($E215)*XLOOKUP($D215,Ceras!$A$2:$A$500,Ceras!$G$2:$G$500,0))),"Revisar cera"))</f>
        <v/>
      </c>
      <c r="H215" s="5"/>
      <c r="X215" s="39" t="str">
        <f t="shared" si="21"/>
        <v/>
      </c>
      <c r="Y215" s="68"/>
      <c r="Z215" s="69"/>
      <c r="AA215" s="65"/>
      <c r="AB215" s="29"/>
      <c r="AC215" s="70"/>
      <c r="AD215" s="30"/>
      <c r="AE215" s="71"/>
      <c r="AF215" s="45" t="str">
        <f t="shared" si="20"/>
        <v>#DIV/0!</v>
      </c>
    </row>
    <row r="216" ht="15.75" customHeight="1">
      <c r="G216" s="5" t="str">
        <f t="array" ref="G216">IF($A216="","",IFERROR($F216*(N($C216)*XLOOKUP($B216,Ceras!$A$2:$A$500,Ceras!$G$2:$G$500,0)+IF($D216="",0,N($E216)*XLOOKUP($D216,Ceras!$A$2:$A$500,Ceras!$G$2:$G$500,0))),"Revisar cera"))</f>
        <v/>
      </c>
      <c r="H216" s="5"/>
      <c r="X216" s="39" t="str">
        <f t="shared" si="21"/>
        <v/>
      </c>
      <c r="Y216" s="68"/>
      <c r="Z216" s="69"/>
      <c r="AA216" s="65"/>
      <c r="AB216" s="29"/>
      <c r="AC216" s="70"/>
      <c r="AD216" s="30"/>
      <c r="AE216" s="71"/>
      <c r="AF216" s="45" t="str">
        <f t="shared" si="20"/>
        <v>#DIV/0!</v>
      </c>
    </row>
    <row r="217" ht="15.75" customHeight="1">
      <c r="G217" s="5" t="str">
        <f t="array" ref="G217">IF($A217="","",IFERROR($F217*(N($C217)*XLOOKUP($B217,Ceras!$A$2:$A$500,Ceras!$G$2:$G$500,0)+IF($D217="",0,N($E217)*XLOOKUP($D217,Ceras!$A$2:$A$500,Ceras!$G$2:$G$500,0))),"Revisar cera"))</f>
        <v/>
      </c>
      <c r="H217" s="5"/>
      <c r="X217" s="39" t="str">
        <f t="shared" si="21"/>
        <v/>
      </c>
      <c r="Y217" s="68"/>
      <c r="Z217" s="69"/>
      <c r="AA217" s="65"/>
      <c r="AB217" s="29"/>
      <c r="AC217" s="70"/>
      <c r="AD217" s="30"/>
      <c r="AE217" s="71"/>
      <c r="AF217" s="45" t="str">
        <f t="shared" si="20"/>
        <v>#DIV/0!</v>
      </c>
    </row>
    <row r="218" ht="15.75" customHeight="1">
      <c r="G218" s="5" t="str">
        <f t="array" ref="G218">IF($A218="","",IFERROR($F218*(N($C218)*XLOOKUP($B218,Ceras!$A$2:$A$500,Ceras!$G$2:$G$500,0)+IF($D218="",0,N($E218)*XLOOKUP($D218,Ceras!$A$2:$A$500,Ceras!$G$2:$G$500,0))),"Revisar cera"))</f>
        <v/>
      </c>
      <c r="H218" s="5"/>
      <c r="X218" s="39" t="str">
        <f t="shared" si="21"/>
        <v/>
      </c>
      <c r="Y218" s="68"/>
      <c r="Z218" s="69"/>
      <c r="AA218" s="65"/>
      <c r="AB218" s="29"/>
      <c r="AC218" s="70"/>
      <c r="AD218" s="30"/>
      <c r="AE218" s="71"/>
      <c r="AF218" s="45" t="str">
        <f t="shared" si="20"/>
        <v>#DIV/0!</v>
      </c>
    </row>
    <row r="219" ht="15.75" customHeight="1">
      <c r="G219" s="5" t="str">
        <f t="array" ref="G219">IF($A219="","",IFERROR($F219*(N($C219)*XLOOKUP($B219,Ceras!$A$2:$A$500,Ceras!$G$2:$G$500,0)+IF($D219="",0,N($E219)*XLOOKUP($D219,Ceras!$A$2:$A$500,Ceras!$G$2:$G$500,0))),"Revisar cera"))</f>
        <v/>
      </c>
      <c r="H219" s="5"/>
      <c r="X219" s="39" t="str">
        <f t="shared" si="21"/>
        <v/>
      </c>
      <c r="Y219" s="68"/>
      <c r="Z219" s="69"/>
      <c r="AA219" s="65"/>
      <c r="AB219" s="29"/>
      <c r="AC219" s="70"/>
      <c r="AD219" s="30"/>
      <c r="AE219" s="71"/>
      <c r="AF219" s="45" t="str">
        <f t="shared" si="20"/>
        <v>#DIV/0!</v>
      </c>
    </row>
    <row r="220" ht="15.75" customHeight="1">
      <c r="G220" s="5" t="str">
        <f t="array" ref="G220">IF($A220="","",IFERROR($F220*(N($C220)*XLOOKUP($B220,Ceras!$A$2:$A$500,Ceras!$G$2:$G$500,0)+IF($D220="",0,N($E220)*XLOOKUP($D220,Ceras!$A$2:$A$500,Ceras!$G$2:$G$500,0))),"Revisar cera"))</f>
        <v/>
      </c>
      <c r="H220" s="5"/>
      <c r="X220" s="39" t="str">
        <f t="shared" si="21"/>
        <v/>
      </c>
      <c r="Y220" s="68"/>
      <c r="Z220" s="69"/>
      <c r="AA220" s="65"/>
      <c r="AB220" s="29"/>
      <c r="AC220" s="70"/>
      <c r="AD220" s="30"/>
      <c r="AE220" s="71"/>
      <c r="AF220" s="45" t="str">
        <f t="shared" si="20"/>
        <v>#DIV/0!</v>
      </c>
    </row>
    <row r="221" ht="15.75" customHeight="1">
      <c r="G221" s="5" t="str">
        <f t="array" ref="G221">IF($A221="","",IFERROR($F221*(N($C221)*XLOOKUP($B221,Ceras!$A$2:$A$500,Ceras!$G$2:$G$500,0)+IF($D221="",0,N($E221)*XLOOKUP($D221,Ceras!$A$2:$A$500,Ceras!$G$2:$G$500,0))),"Revisar cera"))</f>
        <v/>
      </c>
      <c r="H221" s="5"/>
      <c r="X221" s="39" t="str">
        <f t="shared" si="21"/>
        <v/>
      </c>
      <c r="Y221" s="68"/>
      <c r="Z221" s="69"/>
      <c r="AA221" s="65"/>
      <c r="AB221" s="29"/>
      <c r="AC221" s="70"/>
      <c r="AD221" s="30"/>
      <c r="AE221" s="71"/>
      <c r="AF221" s="45" t="str">
        <f t="shared" si="20"/>
        <v>#DIV/0!</v>
      </c>
    </row>
    <row r="222" ht="15.75" customHeight="1">
      <c r="G222" s="5" t="str">
        <f t="array" ref="G222">IF($A222="","",IFERROR($F222*(N($C222)*XLOOKUP($B222,Ceras!$A$2:$A$500,Ceras!$G$2:$G$500,0)+IF($D222="",0,N($E222)*XLOOKUP($D222,Ceras!$A$2:$A$500,Ceras!$G$2:$G$500,0))),"Revisar cera"))</f>
        <v/>
      </c>
      <c r="H222" s="5"/>
      <c r="X222" s="39" t="str">
        <f t="shared" si="21"/>
        <v/>
      </c>
      <c r="Y222" s="68"/>
      <c r="Z222" s="69"/>
      <c r="AA222" s="65"/>
      <c r="AB222" s="29"/>
      <c r="AC222" s="70"/>
      <c r="AD222" s="30"/>
      <c r="AE222" s="71"/>
      <c r="AF222" s="45" t="str">
        <f t="shared" si="20"/>
        <v>#DIV/0!</v>
      </c>
    </row>
    <row r="223" ht="15.75" customHeight="1">
      <c r="G223" s="5" t="str">
        <f t="array" ref="G223">IF($A223="","",IFERROR($F223*(N($C223)*XLOOKUP($B223,Ceras!$A$2:$A$500,Ceras!$G$2:$G$500,0)+IF($D223="",0,N($E223)*XLOOKUP($D223,Ceras!$A$2:$A$500,Ceras!$G$2:$G$500,0))),"Revisar cera"))</f>
        <v/>
      </c>
      <c r="H223" s="5"/>
      <c r="X223" s="39" t="str">
        <f t="shared" si="21"/>
        <v/>
      </c>
      <c r="Y223" s="68"/>
      <c r="Z223" s="69"/>
      <c r="AA223" s="65"/>
      <c r="AB223" s="29"/>
      <c r="AC223" s="70"/>
      <c r="AD223" s="30"/>
      <c r="AE223" s="71"/>
      <c r="AF223" s="45" t="str">
        <f t="shared" si="20"/>
        <v>#DIV/0!</v>
      </c>
    </row>
    <row r="224" ht="15.75" customHeight="1">
      <c r="G224" s="5" t="str">
        <f t="array" ref="G224">IF($A224="","",IFERROR($F224*(N($C224)*XLOOKUP($B224,Ceras!$A$2:$A$500,Ceras!$G$2:$G$500,0)+IF($D224="",0,N($E224)*XLOOKUP($D224,Ceras!$A$2:$A$500,Ceras!$G$2:$G$500,0))),"Revisar cera"))</f>
        <v/>
      </c>
      <c r="H224" s="5"/>
      <c r="X224" s="39" t="str">
        <f t="shared" si="21"/>
        <v/>
      </c>
      <c r="Y224" s="68"/>
      <c r="Z224" s="69"/>
      <c r="AA224" s="65"/>
      <c r="AB224" s="29"/>
      <c r="AC224" s="70"/>
      <c r="AD224" s="30"/>
      <c r="AE224" s="71"/>
      <c r="AF224" s="45" t="str">
        <f t="shared" si="20"/>
        <v>#DIV/0!</v>
      </c>
    </row>
    <row r="225" ht="15.75" customHeight="1">
      <c r="G225" s="5" t="str">
        <f t="array" ref="G225">IF($A225="","",IFERROR($F225*(N($C225)*XLOOKUP($B225,Ceras!$A$2:$A$500,Ceras!$G$2:$G$500,0)+IF($D225="",0,N($E225)*XLOOKUP($D225,Ceras!$A$2:$A$500,Ceras!$G$2:$G$500,0))),"Revisar cera"))</f>
        <v/>
      </c>
      <c r="H225" s="5"/>
      <c r="X225" s="72"/>
      <c r="Y225" s="68"/>
      <c r="Z225" s="69"/>
      <c r="AA225" s="65"/>
      <c r="AB225" s="29"/>
      <c r="AC225" s="70"/>
      <c r="AD225" s="30"/>
      <c r="AE225" s="71"/>
      <c r="AF225" s="45" t="str">
        <f t="shared" si="20"/>
        <v>#DIV/0!</v>
      </c>
    </row>
    <row r="226" ht="15.75" customHeight="1">
      <c r="G226" s="5" t="str">
        <f t="array" ref="G226">IF($A226="","",IFERROR($F226*(N($C226)*XLOOKUP($B226,Ceras!$A$2:$A$500,Ceras!$G$2:$G$500,0)+IF($D226="",0,N($E226)*XLOOKUP($D226,Ceras!$A$2:$A$500,Ceras!$G$2:$G$500,0))),"Revisar cera"))</f>
        <v/>
      </c>
      <c r="H226" s="5"/>
      <c r="X226" s="72"/>
      <c r="Y226" s="68"/>
      <c r="Z226" s="69"/>
      <c r="AA226" s="65"/>
      <c r="AB226" s="29"/>
      <c r="AC226" s="70"/>
      <c r="AD226" s="30"/>
      <c r="AE226" s="71"/>
      <c r="AF226" s="45" t="str">
        <f t="shared" si="20"/>
        <v>#DIV/0!</v>
      </c>
    </row>
    <row r="227" ht="15.75" customHeight="1">
      <c r="G227" s="5" t="str">
        <f t="array" ref="G227">IF($A227="","",IFERROR($F227*(N($C227)*XLOOKUP($B227,Ceras!$A$2:$A$500,Ceras!$G$2:$G$500,0)+IF($D227="",0,N($E227)*XLOOKUP($D227,Ceras!$A$2:$A$500,Ceras!$G$2:$G$500,0))),"Revisar cera"))</f>
        <v/>
      </c>
      <c r="H227" s="5"/>
      <c r="X227" s="72"/>
      <c r="Y227" s="68"/>
      <c r="Z227" s="69"/>
      <c r="AA227" s="65"/>
      <c r="AB227" s="29"/>
      <c r="AC227" s="70"/>
      <c r="AD227" s="30"/>
      <c r="AE227" s="71"/>
      <c r="AF227" s="45" t="str">
        <f t="shared" si="20"/>
        <v>#DIV/0!</v>
      </c>
    </row>
    <row r="228" ht="15.75" customHeight="1">
      <c r="G228" s="5" t="str">
        <f t="array" ref="G228">IF($A228="","",IFERROR($F228*(N($C228)*XLOOKUP($B228,Ceras!$A$2:$A$500,Ceras!$G$2:$G$500,0)+IF($D228="",0,N($E228)*XLOOKUP($D228,Ceras!$A$2:$A$500,Ceras!$G$2:$G$500,0))),"Revisar cera"))</f>
        <v/>
      </c>
      <c r="H228" s="5"/>
      <c r="X228" s="72"/>
      <c r="Y228" s="68"/>
      <c r="Z228" s="69"/>
      <c r="AA228" s="65"/>
      <c r="AB228" s="29"/>
      <c r="AC228" s="70"/>
      <c r="AD228" s="30"/>
      <c r="AE228" s="71"/>
      <c r="AF228" s="45" t="str">
        <f t="shared" si="20"/>
        <v>#DIV/0!</v>
      </c>
    </row>
    <row r="229" ht="15.75" customHeight="1">
      <c r="G229" s="5" t="str">
        <f t="array" ref="G229">IF($A229="","",IFERROR($F229*(N($C229)*XLOOKUP($B229,Ceras!$A$2:$A$500,Ceras!$G$2:$G$500,0)+IF($D229="",0,N($E229)*XLOOKUP($D229,Ceras!$A$2:$A$500,Ceras!$G$2:$G$500,0))),"Revisar cera"))</f>
        <v/>
      </c>
      <c r="H229" s="5"/>
      <c r="X229" s="72"/>
      <c r="Y229" s="68"/>
      <c r="Z229" s="69"/>
      <c r="AA229" s="65"/>
      <c r="AB229" s="29"/>
      <c r="AC229" s="70"/>
      <c r="AD229" s="30"/>
      <c r="AE229" s="71"/>
      <c r="AF229" s="45" t="str">
        <f t="shared" si="20"/>
        <v>#DIV/0!</v>
      </c>
    </row>
    <row r="230" ht="15.75" customHeight="1">
      <c r="G230" s="5" t="str">
        <f t="array" ref="G230">IF($A230="","",IFERROR($F230*(N($C230)*XLOOKUP($B230,Ceras!$A$2:$A$500,Ceras!$G$2:$G$500,0)+IF($D230="",0,N($E230)*XLOOKUP($D230,Ceras!$A$2:$A$500,Ceras!$G$2:$G$500,0))),"Revisar cera"))</f>
        <v/>
      </c>
      <c r="H230" s="5"/>
      <c r="X230" s="72"/>
      <c r="Y230" s="68"/>
      <c r="Z230" s="69"/>
      <c r="AA230" s="65"/>
      <c r="AB230" s="29"/>
      <c r="AC230" s="70"/>
      <c r="AD230" s="30"/>
      <c r="AE230" s="71"/>
      <c r="AF230" s="45" t="str">
        <f t="shared" si="20"/>
        <v>#DIV/0!</v>
      </c>
    </row>
    <row r="231" ht="15.75" customHeight="1">
      <c r="G231" s="5" t="str">
        <f t="array" ref="G231">IF($A231="","",IFERROR($F231*(N($C231)*XLOOKUP($B231,Ceras!$A$2:$A$500,Ceras!$G$2:$G$500,0)+IF($D231="",0,N($E231)*XLOOKUP($D231,Ceras!$A$2:$A$500,Ceras!$G$2:$G$500,0))),"Revisar cera"))</f>
        <v/>
      </c>
      <c r="H231" s="5"/>
      <c r="X231" s="72"/>
      <c r="Y231" s="68"/>
      <c r="Z231" s="69"/>
      <c r="AA231" s="65"/>
      <c r="AB231" s="29"/>
      <c r="AC231" s="70"/>
      <c r="AD231" s="30"/>
      <c r="AE231" s="71"/>
      <c r="AF231" s="45" t="str">
        <f t="shared" si="20"/>
        <v>#DIV/0!</v>
      </c>
    </row>
    <row r="232" ht="15.75" customHeight="1">
      <c r="G232" s="5" t="str">
        <f t="array" ref="G232">IF($A232="","",IFERROR($F232*(N($C232)*XLOOKUP($B232,Ceras!$A$2:$A$500,Ceras!$G$2:$G$500,0)+IF($D232="",0,N($E232)*XLOOKUP($D232,Ceras!$A$2:$A$500,Ceras!$G$2:$G$500,0))),"Revisar cera"))</f>
        <v/>
      </c>
      <c r="H232" s="5"/>
      <c r="X232" s="72"/>
      <c r="Y232" s="68"/>
      <c r="Z232" s="69"/>
      <c r="AA232" s="65"/>
      <c r="AB232" s="29"/>
      <c r="AC232" s="70"/>
      <c r="AD232" s="30"/>
      <c r="AE232" s="71"/>
      <c r="AF232" s="45" t="str">
        <f t="shared" si="20"/>
        <v>#DIV/0!</v>
      </c>
    </row>
    <row r="233" ht="15.75" customHeight="1">
      <c r="G233" s="5" t="str">
        <f t="array" ref="G233">IF($A233="","",IFERROR($F233*(N($C233)*XLOOKUP($B233,Ceras!$A$2:$A$500,Ceras!$G$2:$G$500,0)+IF($D233="",0,N($E233)*XLOOKUP($D233,Ceras!$A$2:$A$500,Ceras!$G$2:$G$500,0))),"Revisar cera"))</f>
        <v/>
      </c>
      <c r="H233" s="5"/>
      <c r="X233" s="72"/>
      <c r="Y233" s="68"/>
      <c r="Z233" s="69"/>
      <c r="AA233" s="65"/>
      <c r="AB233" s="29"/>
      <c r="AC233" s="70"/>
      <c r="AD233" s="30"/>
      <c r="AE233" s="71"/>
      <c r="AF233" s="45" t="str">
        <f t="shared" si="20"/>
        <v>#DIV/0!</v>
      </c>
    </row>
    <row r="234" ht="15.75" customHeight="1">
      <c r="G234" s="5" t="str">
        <f t="array" ref="G234">IF($A234="","",IFERROR($F234*(N($C234)*XLOOKUP($B234,Ceras!$A$2:$A$500,Ceras!$G$2:$G$500,0)+IF($D234="",0,N($E234)*XLOOKUP($D234,Ceras!$A$2:$A$500,Ceras!$G$2:$G$500,0))),"Revisar cera"))</f>
        <v/>
      </c>
      <c r="H234" s="5"/>
      <c r="X234" s="72"/>
      <c r="Y234" s="68"/>
      <c r="Z234" s="69"/>
      <c r="AA234" s="65"/>
      <c r="AB234" s="29"/>
      <c r="AC234" s="70"/>
      <c r="AD234" s="30"/>
      <c r="AE234" s="71"/>
      <c r="AF234" s="45" t="str">
        <f t="shared" si="20"/>
        <v>#DIV/0!</v>
      </c>
    </row>
    <row r="235" ht="15.75" customHeight="1">
      <c r="G235" s="5" t="str">
        <f t="array" ref="G235">IF($A235="","",IFERROR($F235*(N($C235)*XLOOKUP($B235,Ceras!$A$2:$A$500,Ceras!$G$2:$G$500,0)+IF($D235="",0,N($E235)*XLOOKUP($D235,Ceras!$A$2:$A$500,Ceras!$G$2:$G$500,0))),"Revisar cera"))</f>
        <v/>
      </c>
      <c r="H235" s="5"/>
      <c r="X235" s="72"/>
      <c r="Y235" s="68"/>
      <c r="Z235" s="69"/>
      <c r="AA235" s="65"/>
      <c r="AB235" s="29"/>
      <c r="AC235" s="70"/>
      <c r="AD235" s="30"/>
      <c r="AE235" s="71"/>
      <c r="AF235" s="45" t="str">
        <f t="shared" si="20"/>
        <v>#DIV/0!</v>
      </c>
    </row>
    <row r="236" ht="15.75" customHeight="1">
      <c r="G236" s="5" t="str">
        <f t="array" ref="G236">IF($A236="","",IFERROR($F236*(N($C236)*XLOOKUP($B236,Ceras!$A$2:$A$500,Ceras!$G$2:$G$500,0)+IF($D236="",0,N($E236)*XLOOKUP($D236,Ceras!$A$2:$A$500,Ceras!$G$2:$G$500,0))),"Revisar cera"))</f>
        <v/>
      </c>
      <c r="H236" s="5"/>
      <c r="X236" s="72"/>
      <c r="Y236" s="68"/>
      <c r="Z236" s="69"/>
      <c r="AA236" s="65"/>
      <c r="AB236" s="29"/>
      <c r="AC236" s="70"/>
      <c r="AD236" s="30"/>
      <c r="AE236" s="71"/>
      <c r="AF236" s="45" t="str">
        <f t="shared" si="20"/>
        <v>#DIV/0!</v>
      </c>
    </row>
    <row r="237" ht="15.75" customHeight="1">
      <c r="G237" s="5" t="str">
        <f t="array" ref="G237">IF($A237="","",IFERROR($F237*(N($C237)*XLOOKUP($B237,Ceras!$A$2:$A$500,Ceras!$G$2:$G$500,0)+IF($D237="",0,N($E237)*XLOOKUP($D237,Ceras!$A$2:$A$500,Ceras!$G$2:$G$500,0))),"Revisar cera"))</f>
        <v/>
      </c>
      <c r="H237" s="5"/>
      <c r="X237" s="72"/>
      <c r="Y237" s="68"/>
      <c r="Z237" s="69"/>
      <c r="AA237" s="65"/>
      <c r="AB237" s="29"/>
      <c r="AC237" s="70"/>
      <c r="AD237" s="30"/>
      <c r="AE237" s="71"/>
      <c r="AF237" s="45" t="str">
        <f t="shared" si="20"/>
        <v>#DIV/0!</v>
      </c>
    </row>
    <row r="238" ht="15.75" customHeight="1">
      <c r="G238" s="5" t="str">
        <f t="array" ref="G238">IF($A238="","",IFERROR($F238*(N($C238)*XLOOKUP($B238,Ceras!$A$2:$A$500,Ceras!$G$2:$G$500,0)+IF($D238="",0,N($E238)*XLOOKUP($D238,Ceras!$A$2:$A$500,Ceras!$G$2:$G$500,0))),"Revisar cera"))</f>
        <v/>
      </c>
      <c r="H238" s="5"/>
      <c r="X238" s="72"/>
      <c r="Y238" s="68"/>
      <c r="Z238" s="69"/>
      <c r="AA238" s="65"/>
      <c r="AB238" s="29"/>
      <c r="AC238" s="70"/>
      <c r="AD238" s="30"/>
      <c r="AE238" s="71"/>
      <c r="AF238" s="45" t="str">
        <f t="shared" si="20"/>
        <v>#DIV/0!</v>
      </c>
    </row>
    <row r="239" ht="15.75" customHeight="1">
      <c r="G239" s="5" t="str">
        <f t="array" ref="G239">IF($A239="","",IFERROR($F239*(N($C239)*XLOOKUP($B239,Ceras!$A$2:$A$500,Ceras!$G$2:$G$500,0)+IF($D239="",0,N($E239)*XLOOKUP($D239,Ceras!$A$2:$A$500,Ceras!$G$2:$G$500,0))),"Revisar cera"))</f>
        <v/>
      </c>
      <c r="H239" s="5"/>
      <c r="X239" s="72"/>
      <c r="Y239" s="68"/>
      <c r="Z239" s="69"/>
      <c r="AA239" s="65"/>
      <c r="AB239" s="29"/>
      <c r="AC239" s="70"/>
      <c r="AD239" s="30"/>
      <c r="AE239" s="71"/>
      <c r="AF239" s="45" t="str">
        <f t="shared" si="20"/>
        <v>#DIV/0!</v>
      </c>
    </row>
    <row r="240" ht="15.75" customHeight="1">
      <c r="G240" s="5" t="str">
        <f t="array" ref="G240">IF($A240="","",IFERROR($F240*(N($C240)*XLOOKUP($B240,Ceras!$A$2:$A$500,Ceras!$G$2:$G$500,0)+IF($D240="",0,N($E240)*XLOOKUP($D240,Ceras!$A$2:$A$500,Ceras!$G$2:$G$500,0))),"Revisar cera"))</f>
        <v/>
      </c>
      <c r="H240" s="5"/>
      <c r="X240" s="72"/>
      <c r="Y240" s="68"/>
      <c r="Z240" s="69"/>
      <c r="AA240" s="65"/>
      <c r="AB240" s="29"/>
      <c r="AC240" s="70"/>
      <c r="AD240" s="30"/>
      <c r="AE240" s="71"/>
      <c r="AF240" s="45" t="str">
        <f t="shared" si="20"/>
        <v>#DIV/0!</v>
      </c>
    </row>
    <row r="241" ht="15.75" customHeight="1">
      <c r="G241" s="5" t="str">
        <f t="array" ref="G241">IF($A241="","",IFERROR($F241*(N($C241)*XLOOKUP($B241,Ceras!$A$2:$A$500,Ceras!$G$2:$G$500,0)+IF($D241="",0,N($E241)*XLOOKUP($D241,Ceras!$A$2:$A$500,Ceras!$G$2:$G$500,0))),"Revisar cera"))</f>
        <v/>
      </c>
      <c r="H241" s="5"/>
      <c r="X241" s="72"/>
      <c r="Y241" s="68"/>
      <c r="Z241" s="69"/>
      <c r="AA241" s="65"/>
      <c r="AB241" s="29"/>
      <c r="AC241" s="70"/>
      <c r="AD241" s="30"/>
      <c r="AE241" s="71"/>
      <c r="AF241" s="45" t="str">
        <f t="shared" si="20"/>
        <v>#DIV/0!</v>
      </c>
    </row>
    <row r="242" ht="15.75" customHeight="1">
      <c r="G242" s="5" t="str">
        <f t="array" ref="G242">IF($A242="","",IFERROR($F242*(N($C242)*XLOOKUP($B242,Ceras!$A$2:$A$500,Ceras!$G$2:$G$500,0)+IF($D242="",0,N($E242)*XLOOKUP($D242,Ceras!$A$2:$A$500,Ceras!$G$2:$G$500,0))),"Revisar cera"))</f>
        <v/>
      </c>
      <c r="H242" s="5"/>
      <c r="X242" s="72"/>
      <c r="Y242" s="68"/>
      <c r="Z242" s="69"/>
      <c r="AA242" s="65"/>
      <c r="AB242" s="29"/>
      <c r="AC242" s="70"/>
      <c r="AD242" s="30"/>
      <c r="AE242" s="71"/>
      <c r="AF242" s="45" t="str">
        <f t="shared" si="20"/>
        <v>#DIV/0!</v>
      </c>
    </row>
    <row r="243" ht="15.75" customHeight="1">
      <c r="G243" s="5" t="str">
        <f t="array" ref="G243">IF($A243="","",IFERROR($F243*(N($C243)*XLOOKUP($B243,Ceras!$A$2:$A$500,Ceras!$G$2:$G$500,0)+IF($D243="",0,N($E243)*XLOOKUP($D243,Ceras!$A$2:$A$500,Ceras!$G$2:$G$500,0))),"Revisar cera"))</f>
        <v/>
      </c>
      <c r="H243" s="5"/>
      <c r="X243" s="72"/>
      <c r="Y243" s="68"/>
      <c r="Z243" s="69"/>
      <c r="AA243" s="65"/>
      <c r="AB243" s="29"/>
      <c r="AC243" s="70"/>
      <c r="AD243" s="30"/>
      <c r="AE243" s="71"/>
      <c r="AF243" s="45" t="str">
        <f t="shared" si="20"/>
        <v>#DIV/0!</v>
      </c>
    </row>
    <row r="244" ht="15.75" customHeight="1">
      <c r="G244" s="5" t="str">
        <f t="array" ref="G244">IF($A244="","",IFERROR($F244*(N($C244)*XLOOKUP($B244,Ceras!$A$2:$A$500,Ceras!$G$2:$G$500,0)+IF($D244="",0,N($E244)*XLOOKUP($D244,Ceras!$A$2:$A$500,Ceras!$G$2:$G$500,0))),"Revisar cera"))</f>
        <v/>
      </c>
      <c r="H244" s="5"/>
      <c r="X244" s="72"/>
      <c r="Y244" s="68"/>
      <c r="Z244" s="69"/>
      <c r="AA244" s="65"/>
      <c r="AB244" s="29"/>
      <c r="AC244" s="70"/>
      <c r="AD244" s="30"/>
      <c r="AE244" s="71"/>
      <c r="AF244" s="45" t="str">
        <f t="shared" si="20"/>
        <v>#DIV/0!</v>
      </c>
    </row>
    <row r="245" ht="15.75" customHeight="1">
      <c r="G245" s="5" t="str">
        <f t="array" ref="G245">IF($A245="","",IFERROR($F245*(N($C245)*XLOOKUP($B245,Ceras!$A$2:$A$500,Ceras!$G$2:$G$500,0)+IF($D245="",0,N($E245)*XLOOKUP($D245,Ceras!$A$2:$A$500,Ceras!$G$2:$G$500,0))),"Revisar cera"))</f>
        <v/>
      </c>
      <c r="H245" s="5"/>
      <c r="X245" s="72"/>
      <c r="Y245" s="68"/>
      <c r="Z245" s="69"/>
      <c r="AA245" s="65"/>
      <c r="AB245" s="29"/>
      <c r="AC245" s="70"/>
      <c r="AD245" s="30"/>
      <c r="AE245" s="71"/>
      <c r="AF245" s="45" t="str">
        <f t="shared" si="20"/>
        <v>#DIV/0!</v>
      </c>
    </row>
    <row r="246" ht="15.75" customHeight="1">
      <c r="G246" s="5" t="str">
        <f t="array" ref="G246">IF($A246="","",IFERROR($F246*(N($C246)*XLOOKUP($B246,Ceras!$A$2:$A$500,Ceras!$G$2:$G$500,0)+IF($D246="",0,N($E246)*XLOOKUP($D246,Ceras!$A$2:$A$500,Ceras!$G$2:$G$500,0))),"Revisar cera"))</f>
        <v/>
      </c>
      <c r="H246" s="5"/>
      <c r="X246" s="72"/>
      <c r="Y246" s="68"/>
      <c r="Z246" s="69"/>
      <c r="AA246" s="65"/>
      <c r="AB246" s="29"/>
      <c r="AC246" s="70"/>
      <c r="AD246" s="30"/>
      <c r="AE246" s="71"/>
      <c r="AF246" s="45" t="str">
        <f t="shared" si="20"/>
        <v>#DIV/0!</v>
      </c>
    </row>
    <row r="247" ht="15.75" customHeight="1">
      <c r="G247" s="5" t="str">
        <f t="array" ref="G247">IF($A247="","",IFERROR($F247*(N($C247)*XLOOKUP($B247,Ceras!$A$2:$A$500,Ceras!$G$2:$G$500,0)+IF($D247="",0,N($E247)*XLOOKUP($D247,Ceras!$A$2:$A$500,Ceras!$G$2:$G$500,0))),"Revisar cera"))</f>
        <v/>
      </c>
      <c r="H247" s="5"/>
      <c r="X247" s="72"/>
      <c r="Y247" s="68"/>
      <c r="Z247" s="69"/>
      <c r="AA247" s="65"/>
      <c r="AB247" s="29"/>
      <c r="AC247" s="70"/>
      <c r="AD247" s="30"/>
      <c r="AE247" s="71"/>
      <c r="AF247" s="45" t="str">
        <f t="shared" si="20"/>
        <v>#DIV/0!</v>
      </c>
    </row>
    <row r="248" ht="15.75" customHeight="1">
      <c r="G248" s="5" t="str">
        <f t="array" ref="G248">IF($A248="","",IFERROR($F248*(N($C248)*XLOOKUP($B248,Ceras!$A$2:$A$500,Ceras!$G$2:$G$500,0)+IF($D248="",0,N($E248)*XLOOKUP($D248,Ceras!$A$2:$A$500,Ceras!$G$2:$G$500,0))),"Revisar cera"))</f>
        <v/>
      </c>
      <c r="H248" s="5"/>
      <c r="X248" s="72"/>
      <c r="Y248" s="68"/>
      <c r="Z248" s="69"/>
      <c r="AA248" s="65"/>
      <c r="AB248" s="29"/>
      <c r="AC248" s="70"/>
      <c r="AD248" s="30"/>
      <c r="AE248" s="71"/>
      <c r="AF248" s="45" t="str">
        <f t="shared" si="20"/>
        <v>#DIV/0!</v>
      </c>
    </row>
    <row r="249" ht="15.75" customHeight="1">
      <c r="G249" s="5" t="str">
        <f t="array" ref="G249">IF($A249="","",IFERROR($F249*(N($C249)*XLOOKUP($B249,Ceras!$A$2:$A$500,Ceras!$G$2:$G$500,0)+IF($D249="",0,N($E249)*XLOOKUP($D249,Ceras!$A$2:$A$500,Ceras!$G$2:$G$500,0))),"Revisar cera"))</f>
        <v/>
      </c>
      <c r="H249" s="5"/>
      <c r="X249" s="72"/>
      <c r="Y249" s="68"/>
      <c r="Z249" s="69"/>
      <c r="AA249" s="65"/>
      <c r="AB249" s="29"/>
      <c r="AC249" s="70"/>
      <c r="AD249" s="30"/>
      <c r="AE249" s="71"/>
      <c r="AF249" s="45" t="str">
        <f t="shared" si="20"/>
        <v>#DIV/0!</v>
      </c>
    </row>
    <row r="250" ht="15.75" customHeight="1">
      <c r="G250" s="5" t="str">
        <f t="array" ref="G250">IF($A250="","",IFERROR($F250*(N($C250)*XLOOKUP($B250,Ceras!$A$2:$A$500,Ceras!$G$2:$G$500,0)+IF($D250="",0,N($E250)*XLOOKUP($D250,Ceras!$A$2:$A$500,Ceras!$G$2:$G$500,0))),"Revisar cera"))</f>
        <v/>
      </c>
      <c r="H250" s="5"/>
      <c r="X250" s="72"/>
      <c r="Y250" s="68"/>
      <c r="Z250" s="69"/>
      <c r="AA250" s="65"/>
      <c r="AB250" s="29"/>
      <c r="AC250" s="70"/>
      <c r="AD250" s="30"/>
      <c r="AE250" s="71"/>
      <c r="AF250" s="45" t="str">
        <f t="shared" si="20"/>
        <v>#DIV/0!</v>
      </c>
    </row>
    <row r="251" ht="15.75" customHeight="1">
      <c r="G251" s="5" t="str">
        <f t="array" ref="G251">IF($A251="","",IFERROR($F251*(N($C251)*XLOOKUP($B251,Ceras!$A$2:$A$500,Ceras!$G$2:$G$500,0)+IF($D251="",0,N($E251)*XLOOKUP($D251,Ceras!$A$2:$A$500,Ceras!$G$2:$G$500,0))),"Revisar cera"))</f>
        <v/>
      </c>
      <c r="H251" s="5"/>
      <c r="X251" s="72"/>
      <c r="Y251" s="68"/>
      <c r="Z251" s="69"/>
      <c r="AA251" s="65"/>
      <c r="AB251" s="29"/>
      <c r="AC251" s="70"/>
      <c r="AD251" s="30"/>
      <c r="AE251" s="71"/>
      <c r="AF251" s="45" t="str">
        <f t="shared" si="20"/>
        <v>#DIV/0!</v>
      </c>
    </row>
    <row r="252" ht="15.75" customHeight="1">
      <c r="G252" s="5" t="str">
        <f t="array" ref="G252">IF($A252="","",IFERROR($F252*(N($C252)*XLOOKUP($B252,Ceras!$A$2:$A$500,Ceras!$G$2:$G$500,0)+IF($D252="",0,N($E252)*XLOOKUP($D252,Ceras!$A$2:$A$500,Ceras!$G$2:$G$500,0))),"Revisar cera"))</f>
        <v/>
      </c>
      <c r="H252" s="5"/>
      <c r="X252" s="72"/>
      <c r="Y252" s="68"/>
      <c r="Z252" s="69"/>
      <c r="AA252" s="65"/>
      <c r="AB252" s="29"/>
      <c r="AC252" s="70"/>
      <c r="AD252" s="30"/>
      <c r="AE252" s="71"/>
      <c r="AF252" s="45" t="str">
        <f t="shared" si="20"/>
        <v>#DIV/0!</v>
      </c>
    </row>
    <row r="253" ht="15.75" customHeight="1">
      <c r="G253" s="5" t="str">
        <f t="array" ref="G253">IF($A253="","",IFERROR($F253*(N($C253)*XLOOKUP($B253,Ceras!$A$2:$A$500,Ceras!$G$2:$G$500,0)+IF($D253="",0,N($E253)*XLOOKUP($D253,Ceras!$A$2:$A$500,Ceras!$G$2:$G$500,0))),"Revisar cera"))</f>
        <v/>
      </c>
      <c r="H253" s="5"/>
      <c r="X253" s="72"/>
      <c r="Y253" s="68"/>
      <c r="Z253" s="69"/>
      <c r="AA253" s="65"/>
      <c r="AB253" s="29"/>
      <c r="AC253" s="70"/>
      <c r="AD253" s="30"/>
      <c r="AE253" s="71"/>
      <c r="AF253" s="45" t="str">
        <f t="shared" si="20"/>
        <v>#DIV/0!</v>
      </c>
    </row>
    <row r="254" ht="15.75" customHeight="1">
      <c r="G254" s="5" t="str">
        <f t="array" ref="G254">IF($A254="","",IFERROR($F254*(N($C254)*XLOOKUP($B254,Ceras!$A$2:$A$500,Ceras!$G$2:$G$500,0)+IF($D254="",0,N($E254)*XLOOKUP($D254,Ceras!$A$2:$A$500,Ceras!$G$2:$G$500,0))),"Revisar cera"))</f>
        <v/>
      </c>
      <c r="H254" s="5"/>
      <c r="X254" s="72"/>
      <c r="Y254" s="68"/>
      <c r="Z254" s="69"/>
      <c r="AA254" s="65"/>
      <c r="AB254" s="29"/>
      <c r="AC254" s="70"/>
      <c r="AD254" s="30"/>
      <c r="AE254" s="71"/>
      <c r="AF254" s="45" t="str">
        <f t="shared" si="20"/>
        <v>#DIV/0!</v>
      </c>
    </row>
    <row r="255" ht="15.75" customHeight="1">
      <c r="G255" s="5" t="str">
        <f t="array" ref="G255">IF($A255="","",IFERROR($F255*(N($C255)*XLOOKUP($B255,Ceras!$A$2:$A$500,Ceras!$G$2:$G$500,0)+IF($D255="",0,N($E255)*XLOOKUP($D255,Ceras!$A$2:$A$500,Ceras!$G$2:$G$500,0))),"Revisar cera"))</f>
        <v/>
      </c>
      <c r="H255" s="5"/>
      <c r="X255" s="72"/>
      <c r="Y255" s="68"/>
      <c r="Z255" s="69"/>
      <c r="AA255" s="65"/>
      <c r="AB255" s="29"/>
      <c r="AC255" s="70"/>
      <c r="AD255" s="30"/>
      <c r="AE255" s="71"/>
      <c r="AF255" s="45" t="str">
        <f t="shared" si="20"/>
        <v>#DIV/0!</v>
      </c>
    </row>
    <row r="256" ht="15.75" customHeight="1">
      <c r="G256" s="5" t="str">
        <f t="array" ref="G256">IF($A256="","",IFERROR($F256*(N($C256)*XLOOKUP($B256,Ceras!$A$2:$A$500,Ceras!$G$2:$G$500,0)+IF($D256="",0,N($E256)*XLOOKUP($D256,Ceras!$A$2:$A$500,Ceras!$G$2:$G$500,0))),"Revisar cera"))</f>
        <v/>
      </c>
      <c r="H256" s="5"/>
      <c r="X256" s="72"/>
      <c r="Y256" s="68"/>
      <c r="Z256" s="69"/>
      <c r="AA256" s="65"/>
      <c r="AB256" s="29"/>
      <c r="AC256" s="70"/>
      <c r="AD256" s="30"/>
      <c r="AE256" s="71"/>
      <c r="AF256" s="45" t="str">
        <f t="shared" si="20"/>
        <v>#DIV/0!</v>
      </c>
    </row>
    <row r="257" ht="15.75" customHeight="1">
      <c r="G257" s="5" t="str">
        <f t="array" ref="G257">IF($A257="","",IFERROR($F257*(N($C257)*XLOOKUP($B257,Ceras!$A$2:$A$500,Ceras!$G$2:$G$500,0)+IF($D257="",0,N($E257)*XLOOKUP($D257,Ceras!$A$2:$A$500,Ceras!$G$2:$G$500,0))),"Revisar cera"))</f>
        <v/>
      </c>
      <c r="H257" s="5"/>
      <c r="X257" s="72"/>
      <c r="Y257" s="68"/>
      <c r="Z257" s="69"/>
      <c r="AA257" s="65"/>
      <c r="AB257" s="29"/>
      <c r="AC257" s="70"/>
      <c r="AD257" s="30"/>
      <c r="AE257" s="71"/>
      <c r="AF257" s="45" t="str">
        <f t="shared" si="20"/>
        <v>#DIV/0!</v>
      </c>
    </row>
    <row r="258" ht="15.75" customHeight="1">
      <c r="G258" s="5" t="str">
        <f t="array" ref="G258">IF($A258="","",IFERROR($F258*(N($C258)*XLOOKUP($B258,Ceras!$A$2:$A$500,Ceras!$G$2:$G$500,0)+IF($D258="",0,N($E258)*XLOOKUP($D258,Ceras!$A$2:$A$500,Ceras!$G$2:$G$500,0))),"Revisar cera"))</f>
        <v/>
      </c>
      <c r="H258" s="5"/>
      <c r="X258" s="72"/>
      <c r="Y258" s="68"/>
      <c r="Z258" s="69"/>
      <c r="AA258" s="65"/>
      <c r="AB258" s="29"/>
      <c r="AC258" s="70"/>
      <c r="AD258" s="30"/>
      <c r="AE258" s="71"/>
      <c r="AF258" s="45" t="str">
        <f t="shared" si="20"/>
        <v>#DIV/0!</v>
      </c>
    </row>
    <row r="259" ht="15.75" customHeight="1">
      <c r="G259" s="5" t="str">
        <f t="array" ref="G259">IF($A259="","",IFERROR($F259*(N($C259)*XLOOKUP($B259,Ceras!$A$2:$A$500,Ceras!$G$2:$G$500,0)+IF($D259="",0,N($E259)*XLOOKUP($D259,Ceras!$A$2:$A$500,Ceras!$G$2:$G$500,0))),"Revisar cera"))</f>
        <v/>
      </c>
      <c r="H259" s="5"/>
      <c r="X259" s="72"/>
      <c r="Y259" s="68"/>
      <c r="Z259" s="69"/>
      <c r="AA259" s="65"/>
      <c r="AB259" s="29"/>
      <c r="AC259" s="70"/>
      <c r="AD259" s="30"/>
      <c r="AE259" s="71"/>
      <c r="AF259" s="45" t="str">
        <f t="shared" si="20"/>
        <v>#DIV/0!</v>
      </c>
    </row>
    <row r="260" ht="15.75" customHeight="1">
      <c r="G260" s="5" t="str">
        <f t="array" ref="G260">IF($A260="","",IFERROR($F260*(N($C260)*XLOOKUP($B260,Ceras!$A$2:$A$500,Ceras!$G$2:$G$500,0)+IF($D260="",0,N($E260)*XLOOKUP($D260,Ceras!$A$2:$A$500,Ceras!$G$2:$G$500,0))),"Revisar cera"))</f>
        <v/>
      </c>
      <c r="H260" s="5"/>
      <c r="X260" s="72"/>
      <c r="Y260" s="68"/>
      <c r="Z260" s="69"/>
      <c r="AA260" s="65"/>
      <c r="AB260" s="29"/>
      <c r="AC260" s="70"/>
      <c r="AD260" s="30"/>
      <c r="AE260" s="71"/>
      <c r="AF260" s="45" t="str">
        <f t="shared" si="20"/>
        <v>#DIV/0!</v>
      </c>
    </row>
    <row r="261" ht="15.75" customHeight="1">
      <c r="G261" s="5" t="str">
        <f t="array" ref="G261">IF($A261="","",IFERROR($F261*(N($C261)*XLOOKUP($B261,Ceras!$A$2:$A$500,Ceras!$G$2:$G$500,0)+IF($D261="",0,N($E261)*XLOOKUP($D261,Ceras!$A$2:$A$500,Ceras!$G$2:$G$500,0))),"Revisar cera"))</f>
        <v/>
      </c>
      <c r="H261" s="5"/>
      <c r="X261" s="72"/>
      <c r="Y261" s="68"/>
      <c r="Z261" s="69"/>
      <c r="AA261" s="65"/>
      <c r="AB261" s="29"/>
      <c r="AC261" s="70"/>
      <c r="AD261" s="30"/>
      <c r="AE261" s="71"/>
      <c r="AF261" s="45" t="str">
        <f t="shared" si="20"/>
        <v>#DIV/0!</v>
      </c>
    </row>
    <row r="262" ht="15.75" customHeight="1">
      <c r="G262" s="5" t="str">
        <f t="array" ref="G262">IF($A262="","",IFERROR($F262*(N($C262)*XLOOKUP($B262,Ceras!$A$2:$A$500,Ceras!$G$2:$G$500,0)+IF($D262="",0,N($E262)*XLOOKUP($D262,Ceras!$A$2:$A$500,Ceras!$G$2:$G$500,0))),"Revisar cera"))</f>
        <v/>
      </c>
      <c r="H262" s="5"/>
      <c r="X262" s="72"/>
      <c r="Y262" s="68"/>
      <c r="Z262" s="69"/>
      <c r="AA262" s="65"/>
      <c r="AB262" s="29"/>
      <c r="AC262" s="70"/>
      <c r="AD262" s="30"/>
      <c r="AE262" s="71"/>
      <c r="AF262" s="45" t="str">
        <f t="shared" si="20"/>
        <v>#DIV/0!</v>
      </c>
    </row>
    <row r="263" ht="15.75" customHeight="1">
      <c r="G263" s="5" t="str">
        <f t="array" ref="G263">IF($A263="","",IFERROR($F263*(N($C263)*XLOOKUP($B263,Ceras!$A$2:$A$500,Ceras!$G$2:$G$500,0)+IF($D263="",0,N($E263)*XLOOKUP($D263,Ceras!$A$2:$A$500,Ceras!$G$2:$G$500,0))),"Revisar cera"))</f>
        <v/>
      </c>
      <c r="H263" s="5"/>
      <c r="X263" s="72"/>
      <c r="Y263" s="68"/>
      <c r="Z263" s="69"/>
      <c r="AA263" s="65"/>
      <c r="AB263" s="29"/>
      <c r="AC263" s="70"/>
      <c r="AD263" s="30"/>
      <c r="AE263" s="71"/>
      <c r="AF263" s="45" t="str">
        <f t="shared" si="20"/>
        <v>#DIV/0!</v>
      </c>
    </row>
    <row r="264" ht="15.75" customHeight="1">
      <c r="G264" s="5" t="str">
        <f t="array" ref="G264">IF($A264="","",IFERROR($F264*(N($C264)*XLOOKUP($B264,Ceras!$A$2:$A$500,Ceras!$G$2:$G$500,0)+IF($D264="",0,N($E264)*XLOOKUP($D264,Ceras!$A$2:$A$500,Ceras!$G$2:$G$500,0))),"Revisar cera"))</f>
        <v/>
      </c>
      <c r="H264" s="5"/>
      <c r="X264" s="72"/>
      <c r="Y264" s="68"/>
      <c r="Z264" s="69"/>
      <c r="AA264" s="65"/>
      <c r="AB264" s="29"/>
      <c r="AC264" s="70"/>
      <c r="AD264" s="30"/>
      <c r="AE264" s="71"/>
      <c r="AF264" s="45" t="str">
        <f t="shared" si="20"/>
        <v>#DIV/0!</v>
      </c>
    </row>
    <row r="265" ht="15.75" customHeight="1">
      <c r="G265" s="5" t="str">
        <f t="array" ref="G265">IF($A265="","",IFERROR($F265*(N($C265)*XLOOKUP($B265,Ceras!$A$2:$A$500,Ceras!$G$2:$G$500,0)+IF($D265="",0,N($E265)*XLOOKUP($D265,Ceras!$A$2:$A$500,Ceras!$G$2:$G$500,0))),"Revisar cera"))</f>
        <v/>
      </c>
      <c r="H265" s="5"/>
      <c r="X265" s="72"/>
      <c r="Y265" s="68"/>
      <c r="Z265" s="69"/>
      <c r="AA265" s="65"/>
      <c r="AB265" s="29"/>
      <c r="AC265" s="70"/>
      <c r="AD265" s="30"/>
      <c r="AE265" s="71"/>
      <c r="AF265" s="45" t="str">
        <f t="shared" si="20"/>
        <v>#DIV/0!</v>
      </c>
    </row>
    <row r="266" ht="15.75" customHeight="1">
      <c r="G266" s="5" t="str">
        <f t="array" ref="G266">IF($A266="","",IFERROR($F266*(N($C266)*XLOOKUP($B266,Ceras!$A$2:$A$500,Ceras!$G$2:$G$500,0)+IF($D266="",0,N($E266)*XLOOKUP($D266,Ceras!$A$2:$A$500,Ceras!$G$2:$G$500,0))),"Revisar cera"))</f>
        <v/>
      </c>
      <c r="H266" s="5"/>
      <c r="X266" s="72"/>
      <c r="Y266" s="68"/>
      <c r="Z266" s="69"/>
      <c r="AA266" s="65"/>
      <c r="AB266" s="29"/>
      <c r="AC266" s="70"/>
      <c r="AD266" s="30"/>
      <c r="AE266" s="71"/>
      <c r="AF266" s="45" t="str">
        <f t="shared" si="20"/>
        <v>#DIV/0!</v>
      </c>
    </row>
    <row r="267" ht="15.75" customHeight="1">
      <c r="G267" s="5" t="str">
        <f t="array" ref="G267">IF($A267="","",IFERROR($F267*(N($C267)*XLOOKUP($B267,Ceras!$A$2:$A$500,Ceras!$G$2:$G$500,0)+IF($D267="",0,N($E267)*XLOOKUP($D267,Ceras!$A$2:$A$500,Ceras!$G$2:$G$500,0))),"Revisar cera"))</f>
        <v/>
      </c>
      <c r="H267" s="5"/>
      <c r="X267" s="72"/>
      <c r="Y267" s="68"/>
      <c r="Z267" s="69"/>
      <c r="AA267" s="65"/>
      <c r="AB267" s="29"/>
      <c r="AC267" s="70"/>
      <c r="AD267" s="30"/>
      <c r="AE267" s="71"/>
      <c r="AF267" s="45" t="str">
        <f t="shared" si="20"/>
        <v>#DIV/0!</v>
      </c>
    </row>
    <row r="268" ht="15.75" customHeight="1">
      <c r="G268" s="5" t="str">
        <f t="array" ref="G268">IF($A268="","",IFERROR($F268*(N($C268)*XLOOKUP($B268,Ceras!$A$2:$A$500,Ceras!$G$2:$G$500,0)+IF($D268="",0,N($E268)*XLOOKUP($D268,Ceras!$A$2:$A$500,Ceras!$G$2:$G$500,0))),"Revisar cera"))</f>
        <v/>
      </c>
      <c r="H268" s="5"/>
      <c r="X268" s="72"/>
      <c r="Y268" s="68"/>
      <c r="Z268" s="69"/>
      <c r="AA268" s="65"/>
      <c r="AB268" s="29"/>
      <c r="AC268" s="70"/>
      <c r="AD268" s="30"/>
      <c r="AE268" s="71"/>
      <c r="AF268" s="73"/>
    </row>
    <row r="269" ht="15.75" customHeight="1">
      <c r="G269" s="5" t="str">
        <f t="array" ref="G269">IF($A269="","",IFERROR($F269*(N($C269)*XLOOKUP($B269,Ceras!$A$2:$A$500,Ceras!$G$2:$G$500,0)+IF($D269="",0,N($E269)*XLOOKUP($D269,Ceras!$A$2:$A$500,Ceras!$G$2:$G$500,0))),"Revisar cera"))</f>
        <v/>
      </c>
      <c r="H269" s="5"/>
      <c r="X269" s="72"/>
      <c r="Y269" s="68"/>
      <c r="Z269" s="69"/>
      <c r="AA269" s="30"/>
      <c r="AB269" s="29"/>
      <c r="AC269" s="70"/>
      <c r="AD269" s="30"/>
      <c r="AE269" s="71"/>
      <c r="AF269" s="73"/>
    </row>
    <row r="270" ht="15.75" customHeight="1">
      <c r="G270" s="5" t="str">
        <f t="array" ref="G270">IF($A270="","",IFERROR($F270*(N($C270)*XLOOKUP($B270,Ceras!$A$2:$A$500,Ceras!$G$2:$G$500,0)+IF($D270="",0,N($E270)*XLOOKUP($D270,Ceras!$A$2:$A$500,Ceras!$G$2:$G$500,0))),"Revisar cera"))</f>
        <v/>
      </c>
      <c r="H270" s="5"/>
      <c r="X270" s="72"/>
      <c r="Y270" s="68"/>
      <c r="Z270" s="69"/>
      <c r="AA270" s="30"/>
      <c r="AB270" s="29"/>
      <c r="AC270" s="70"/>
      <c r="AD270" s="30"/>
      <c r="AE270" s="71"/>
      <c r="AF270" s="73"/>
    </row>
    <row r="271" ht="15.75" customHeight="1">
      <c r="G271" s="5" t="str">
        <f t="array" ref="G271">IF($A271="","",IFERROR($F271*(N($C271)*XLOOKUP($B271,Ceras!$A$2:$A$500,Ceras!$G$2:$G$500,0)+IF($D271="",0,N($E271)*XLOOKUP($D271,Ceras!$A$2:$A$500,Ceras!$G$2:$G$500,0))),"Revisar cera"))</f>
        <v/>
      </c>
      <c r="H271" s="5"/>
      <c r="X271" s="72"/>
      <c r="Y271" s="68"/>
      <c r="Z271" s="69"/>
      <c r="AA271" s="30"/>
      <c r="AB271" s="29"/>
      <c r="AC271" s="70"/>
      <c r="AD271" s="30"/>
      <c r="AE271" s="71"/>
      <c r="AF271" s="73"/>
    </row>
    <row r="272" ht="15.75" customHeight="1">
      <c r="G272" s="5" t="str">
        <f t="array" ref="G272">IF($A272="","",IFERROR($F272*(N($C272)*XLOOKUP($B272,Ceras!$A$2:$A$500,Ceras!$G$2:$G$500,0)+IF($D272="",0,N($E272)*XLOOKUP($D272,Ceras!$A$2:$A$500,Ceras!$G$2:$G$500,0))),"Revisar cera"))</f>
        <v/>
      </c>
      <c r="H272" s="5"/>
      <c r="X272" s="72"/>
      <c r="Y272" s="68"/>
      <c r="Z272" s="69"/>
      <c r="AA272" s="30"/>
      <c r="AB272" s="29"/>
      <c r="AC272" s="70"/>
      <c r="AD272" s="30"/>
      <c r="AE272" s="71"/>
      <c r="AF272" s="73"/>
    </row>
    <row r="273" ht="15.75" customHeight="1">
      <c r="G273" s="5" t="str">
        <f t="array" ref="G273">IF($A273="","",IFERROR($F273*(N($C273)*XLOOKUP($B273,Ceras!$A$2:$A$500,Ceras!$G$2:$G$500,0)+IF($D273="",0,N($E273)*XLOOKUP($D273,Ceras!$A$2:$A$500,Ceras!$G$2:$G$500,0))),"Revisar cera"))</f>
        <v/>
      </c>
      <c r="H273" s="5"/>
      <c r="X273" s="72"/>
      <c r="Y273" s="68"/>
      <c r="Z273" s="69"/>
      <c r="AA273" s="30"/>
      <c r="AB273" s="29"/>
      <c r="AC273" s="70"/>
      <c r="AD273" s="30"/>
      <c r="AE273" s="71"/>
      <c r="AF273" s="73"/>
    </row>
    <row r="274" ht="15.75" customHeight="1">
      <c r="G274" s="5" t="str">
        <f t="array" ref="G274">IF($A274="","",IFERROR($F274*(N($C274)*XLOOKUP($B274,Ceras!$A$2:$A$500,Ceras!$G$2:$G$500,0)+IF($D274="",0,N($E274)*XLOOKUP($D274,Ceras!$A$2:$A$500,Ceras!$G$2:$G$500,0))),"Revisar cera"))</f>
        <v/>
      </c>
      <c r="H274" s="5"/>
      <c r="X274" s="72"/>
      <c r="Y274" s="68"/>
      <c r="Z274" s="69"/>
      <c r="AA274" s="30"/>
      <c r="AB274" s="29"/>
      <c r="AC274" s="70"/>
      <c r="AD274" s="30"/>
      <c r="AE274" s="71"/>
      <c r="AF274" s="73"/>
    </row>
    <row r="275" ht="15.75" customHeight="1">
      <c r="G275" s="5" t="str">
        <f t="array" ref="G275">IF($A275="","",IFERROR($F275*(N($C275)*XLOOKUP($B275,Ceras!$A$2:$A$500,Ceras!$G$2:$G$500,0)+IF($D275="",0,N($E275)*XLOOKUP($D275,Ceras!$A$2:$A$500,Ceras!$G$2:$G$500,0))),"Revisar cera"))</f>
        <v/>
      </c>
      <c r="H275" s="5"/>
      <c r="X275" s="72"/>
      <c r="Y275" s="68"/>
      <c r="Z275" s="69"/>
      <c r="AA275" s="30"/>
      <c r="AB275" s="29"/>
      <c r="AC275" s="70"/>
      <c r="AD275" s="30"/>
      <c r="AE275" s="71"/>
      <c r="AF275" s="73"/>
    </row>
    <row r="276" ht="15.75" customHeight="1">
      <c r="G276" s="5" t="str">
        <f t="array" ref="G276">IF($A276="","",IFERROR($F276*(N($C276)*XLOOKUP($B276,Ceras!$A$2:$A$500,Ceras!$G$2:$G$500,0)+IF($D276="",0,N($E276)*XLOOKUP($D276,Ceras!$A$2:$A$500,Ceras!$G$2:$G$500,0))),"Revisar cera"))</f>
        <v/>
      </c>
      <c r="H276" s="5"/>
      <c r="X276" s="72"/>
      <c r="Y276" s="68"/>
      <c r="Z276" s="69"/>
      <c r="AA276" s="30"/>
      <c r="AB276" s="29"/>
      <c r="AC276" s="70"/>
      <c r="AD276" s="30"/>
      <c r="AE276" s="71"/>
      <c r="AF276" s="73"/>
    </row>
    <row r="277" ht="15.75" customHeight="1">
      <c r="G277" s="5" t="str">
        <f t="array" ref="G277">IF($A277="","",IFERROR($F277*(N($C277)*XLOOKUP($B277,Ceras!$A$2:$A$500,Ceras!$G$2:$G$500,0)+IF($D277="",0,N($E277)*XLOOKUP($D277,Ceras!$A$2:$A$500,Ceras!$G$2:$G$500,0))),"Revisar cera"))</f>
        <v/>
      </c>
      <c r="H277" s="5"/>
      <c r="X277" s="72"/>
      <c r="Y277" s="68"/>
      <c r="Z277" s="69"/>
      <c r="AA277" s="30"/>
      <c r="AB277" s="29"/>
      <c r="AC277" s="70"/>
      <c r="AD277" s="30"/>
      <c r="AE277" s="71"/>
      <c r="AF277" s="73"/>
    </row>
    <row r="278" ht="15.75" customHeight="1">
      <c r="G278" s="5" t="str">
        <f t="array" ref="G278">IF($A278="","",IFERROR($F278*(N($C278)*XLOOKUP($B278,Ceras!$A$2:$A$500,Ceras!$G$2:$G$500,0)+IF($D278="",0,N($E278)*XLOOKUP($D278,Ceras!$A$2:$A$500,Ceras!$G$2:$G$500,0))),"Revisar cera"))</f>
        <v/>
      </c>
      <c r="H278" s="5"/>
      <c r="X278" s="72"/>
      <c r="Y278" s="68"/>
      <c r="Z278" s="69"/>
      <c r="AA278" s="30"/>
      <c r="AB278" s="29"/>
      <c r="AC278" s="70"/>
      <c r="AD278" s="30"/>
      <c r="AE278" s="71"/>
      <c r="AF278" s="73"/>
    </row>
    <row r="279" ht="15.75" customHeight="1">
      <c r="G279" s="5" t="str">
        <f t="array" ref="G279">IF($A279="","",IFERROR($F279*(N($C279)*XLOOKUP($B279,Ceras!$A$2:$A$500,Ceras!$G$2:$G$500,0)+IF($D279="",0,N($E279)*XLOOKUP($D279,Ceras!$A$2:$A$500,Ceras!$G$2:$G$500,0))),"Revisar cera"))</f>
        <v/>
      </c>
      <c r="H279" s="5"/>
      <c r="X279" s="72"/>
      <c r="Y279" s="68"/>
      <c r="Z279" s="69"/>
      <c r="AA279" s="30"/>
      <c r="AB279" s="29"/>
      <c r="AC279" s="70"/>
      <c r="AD279" s="30"/>
      <c r="AE279" s="71"/>
      <c r="AF279" s="73"/>
    </row>
    <row r="280" ht="15.75" customHeight="1">
      <c r="G280" s="5" t="str">
        <f t="array" ref="G280">IF($A280="","",IFERROR($F280*(N($C280)*XLOOKUP($B280,Ceras!$A$2:$A$500,Ceras!$G$2:$G$500,0)+IF($D280="",0,N($E280)*XLOOKUP($D280,Ceras!$A$2:$A$500,Ceras!$G$2:$G$500,0))),"Revisar cera"))</f>
        <v/>
      </c>
      <c r="H280" s="5"/>
      <c r="X280" s="72"/>
      <c r="Y280" s="68"/>
      <c r="Z280" s="69"/>
      <c r="AA280" s="30"/>
      <c r="AB280" s="29"/>
      <c r="AC280" s="70"/>
      <c r="AD280" s="30"/>
      <c r="AE280" s="71"/>
      <c r="AF280" s="73"/>
    </row>
    <row r="281" ht="15.75" customHeight="1">
      <c r="G281" s="5" t="str">
        <f t="array" ref="G281">IF($A281="","",IFERROR($F281*(N($C281)*XLOOKUP($B281,Ceras!$A$2:$A$500,Ceras!$G$2:$G$500,0)+IF($D281="",0,N($E281)*XLOOKUP($D281,Ceras!$A$2:$A$500,Ceras!$G$2:$G$500,0))),"Revisar cera"))</f>
        <v/>
      </c>
      <c r="H281" s="5"/>
      <c r="X281" s="72"/>
      <c r="Y281" s="68"/>
      <c r="Z281" s="69"/>
      <c r="AA281" s="30"/>
      <c r="AB281" s="29"/>
      <c r="AC281" s="70"/>
      <c r="AD281" s="30"/>
      <c r="AE281" s="71"/>
      <c r="AF281" s="73"/>
    </row>
    <row r="282" ht="15.75" customHeight="1">
      <c r="G282" s="5" t="str">
        <f t="array" ref="G282">IF($A282="","",IFERROR($F282*(N($C282)*XLOOKUP($B282,Ceras!$A$2:$A$500,Ceras!$G$2:$G$500,0)+IF($D282="",0,N($E282)*XLOOKUP($D282,Ceras!$A$2:$A$500,Ceras!$G$2:$G$500,0))),"Revisar cera"))</f>
        <v/>
      </c>
      <c r="H282" s="5"/>
      <c r="X282" s="72"/>
      <c r="Y282" s="68"/>
      <c r="Z282" s="69"/>
      <c r="AA282" s="30"/>
      <c r="AB282" s="29"/>
      <c r="AC282" s="70"/>
      <c r="AD282" s="30"/>
      <c r="AE282" s="71"/>
      <c r="AF282" s="73"/>
    </row>
    <row r="283" ht="15.75" customHeight="1">
      <c r="G283" s="5" t="str">
        <f t="array" ref="G283">IF($A283="","",IFERROR($F283*(N($C283)*XLOOKUP($B283,Ceras!$A$2:$A$500,Ceras!$G$2:$G$500,0)+IF($D283="",0,N($E283)*XLOOKUP($D283,Ceras!$A$2:$A$500,Ceras!$G$2:$G$500,0))),"Revisar cera"))</f>
        <v/>
      </c>
      <c r="H283" s="5"/>
      <c r="X283" s="72"/>
      <c r="Y283" s="68"/>
      <c r="Z283" s="69"/>
      <c r="AA283" s="30"/>
      <c r="AB283" s="29"/>
      <c r="AC283" s="70"/>
      <c r="AD283" s="30"/>
      <c r="AE283" s="71"/>
      <c r="AF283" s="73"/>
    </row>
    <row r="284" ht="15.75" customHeight="1">
      <c r="G284" s="5" t="str">
        <f t="array" ref="G284">IF($A284="","",IFERROR($F284*(N($C284)*XLOOKUP($B284,Ceras!$A$2:$A$500,Ceras!$G$2:$G$500,0)+IF($D284="",0,N($E284)*XLOOKUP($D284,Ceras!$A$2:$A$500,Ceras!$G$2:$G$500,0))),"Revisar cera"))</f>
        <v/>
      </c>
      <c r="H284" s="5"/>
      <c r="X284" s="72"/>
      <c r="Y284" s="68"/>
      <c r="Z284" s="69"/>
      <c r="AA284" s="30"/>
      <c r="AB284" s="29"/>
      <c r="AC284" s="70"/>
      <c r="AD284" s="30"/>
      <c r="AE284" s="71"/>
      <c r="AF284" s="73"/>
    </row>
    <row r="285" ht="15.75" customHeight="1">
      <c r="G285" s="5" t="str">
        <f t="array" ref="G285">IF($A285="","",IFERROR($F285*(N($C285)*XLOOKUP($B285,Ceras!$A$2:$A$500,Ceras!$G$2:$G$500,0)+IF($D285="",0,N($E285)*XLOOKUP($D285,Ceras!$A$2:$A$500,Ceras!$G$2:$G$500,0))),"Revisar cera"))</f>
        <v/>
      </c>
      <c r="H285" s="5"/>
      <c r="X285" s="72"/>
      <c r="Y285" s="68"/>
      <c r="Z285" s="69"/>
      <c r="AA285" s="30"/>
      <c r="AB285" s="29"/>
      <c r="AC285" s="70"/>
      <c r="AD285" s="30"/>
      <c r="AE285" s="71"/>
      <c r="AF285" s="73"/>
    </row>
    <row r="286" ht="15.75" customHeight="1">
      <c r="G286" s="5" t="str">
        <f t="array" ref="G286">IF($A286="","",IFERROR($F286*(N($C286)*XLOOKUP($B286,Ceras!$A$2:$A$500,Ceras!$G$2:$G$500,0)+IF($D286="",0,N($E286)*XLOOKUP($D286,Ceras!$A$2:$A$500,Ceras!$G$2:$G$500,0))),"Revisar cera"))</f>
        <v/>
      </c>
      <c r="H286" s="5"/>
      <c r="X286" s="72"/>
      <c r="Y286" s="68"/>
      <c r="Z286" s="69"/>
      <c r="AA286" s="30"/>
      <c r="AB286" s="29"/>
      <c r="AC286" s="70"/>
      <c r="AD286" s="30"/>
      <c r="AE286" s="71"/>
      <c r="AF286" s="73"/>
    </row>
    <row r="287" ht="15.75" customHeight="1">
      <c r="G287" s="5" t="str">
        <f t="array" ref="G287">IF($A287="","",IFERROR($F287*(N($C287)*XLOOKUP($B287,Ceras!$A$2:$A$500,Ceras!$G$2:$G$500,0)+IF($D287="",0,N($E287)*XLOOKUP($D287,Ceras!$A$2:$A$500,Ceras!$G$2:$G$500,0))),"Revisar cera"))</f>
        <v/>
      </c>
      <c r="H287" s="5"/>
      <c r="X287" s="72"/>
      <c r="Y287" s="68"/>
      <c r="Z287" s="69"/>
      <c r="AA287" s="30"/>
      <c r="AB287" s="29"/>
      <c r="AC287" s="70"/>
      <c r="AD287" s="30"/>
      <c r="AE287" s="71"/>
      <c r="AF287" s="73"/>
    </row>
    <row r="288" ht="15.75" customHeight="1">
      <c r="G288" s="5" t="str">
        <f t="array" ref="G288">IF($A288="","",IFERROR($F288*(N($C288)*XLOOKUP($B288,Ceras!$A$2:$A$500,Ceras!$G$2:$G$500,0)+IF($D288="",0,N($E288)*XLOOKUP($D288,Ceras!$A$2:$A$500,Ceras!$G$2:$G$500,0))),"Revisar cera"))</f>
        <v/>
      </c>
      <c r="H288" s="5"/>
      <c r="X288" s="72"/>
      <c r="Y288" s="68"/>
      <c r="Z288" s="69"/>
      <c r="AA288" s="30"/>
      <c r="AB288" s="29"/>
      <c r="AC288" s="70"/>
      <c r="AD288" s="30"/>
      <c r="AE288" s="71"/>
      <c r="AF288" s="73"/>
    </row>
    <row r="289" ht="15.75" customHeight="1">
      <c r="G289" s="5" t="str">
        <f t="array" ref="G289">IF($A289="","",IFERROR($F289*(N($C289)*XLOOKUP($B289,Ceras!$A$2:$A$500,Ceras!$G$2:$G$500,0)+IF($D289="",0,N($E289)*XLOOKUP($D289,Ceras!$A$2:$A$500,Ceras!$G$2:$G$500,0))),"Revisar cera"))</f>
        <v/>
      </c>
      <c r="H289" s="5"/>
      <c r="X289" s="72"/>
      <c r="Y289" s="68"/>
      <c r="Z289" s="69"/>
      <c r="AA289" s="30"/>
      <c r="AB289" s="29"/>
      <c r="AC289" s="70"/>
      <c r="AD289" s="30"/>
      <c r="AE289" s="71"/>
      <c r="AF289" s="73"/>
    </row>
    <row r="290" ht="15.75" customHeight="1">
      <c r="G290" s="5" t="str">
        <f t="array" ref="G290">IF($A290="","",IFERROR($F290*(N($C290)*XLOOKUP($B290,Ceras!$A$2:$A$500,Ceras!$G$2:$G$500,0)+IF($D290="",0,N($E290)*XLOOKUP($D290,Ceras!$A$2:$A$500,Ceras!$G$2:$G$500,0))),"Revisar cera"))</f>
        <v/>
      </c>
      <c r="H290" s="5"/>
      <c r="X290" s="72"/>
      <c r="Y290" s="68"/>
      <c r="Z290" s="69"/>
      <c r="AA290" s="30"/>
      <c r="AB290" s="29"/>
      <c r="AC290" s="70"/>
      <c r="AD290" s="30"/>
      <c r="AE290" s="71"/>
      <c r="AF290" s="73"/>
    </row>
    <row r="291" ht="15.75" customHeight="1">
      <c r="G291" s="5" t="str">
        <f t="array" ref="G291">IF($A291="","",IFERROR($F291*(N($C291)*XLOOKUP($B291,Ceras!$A$2:$A$500,Ceras!$G$2:$G$500,0)+IF($D291="",0,N($E291)*XLOOKUP($D291,Ceras!$A$2:$A$500,Ceras!$G$2:$G$500,0))),"Revisar cera"))</f>
        <v/>
      </c>
      <c r="H291" s="5"/>
      <c r="X291" s="72"/>
      <c r="Y291" s="68"/>
      <c r="Z291" s="69"/>
      <c r="AA291" s="30"/>
      <c r="AB291" s="29"/>
      <c r="AC291" s="70"/>
      <c r="AD291" s="30"/>
      <c r="AE291" s="71"/>
      <c r="AF291" s="73"/>
    </row>
    <row r="292" ht="15.75" customHeight="1">
      <c r="G292" s="5" t="str">
        <f t="array" ref="G292">IF($A292="","",IFERROR($F292*(N($C292)*XLOOKUP($B292,Ceras!$A$2:$A$500,Ceras!$G$2:$G$500,0)+IF($D292="",0,N($E292)*XLOOKUP($D292,Ceras!$A$2:$A$500,Ceras!$G$2:$G$500,0))),"Revisar cera"))</f>
        <v/>
      </c>
      <c r="H292" s="5"/>
      <c r="X292" s="72"/>
      <c r="Y292" s="68"/>
      <c r="Z292" s="69"/>
      <c r="AA292" s="30"/>
      <c r="AB292" s="29"/>
      <c r="AC292" s="70"/>
      <c r="AD292" s="30"/>
      <c r="AE292" s="71"/>
      <c r="AF292" s="73"/>
    </row>
    <row r="293" ht="15.75" customHeight="1">
      <c r="G293" s="5" t="str">
        <f t="array" ref="G293">IF($A293="","",IFERROR($F293*(N($C293)*XLOOKUP($B293,Ceras!$A$2:$A$500,Ceras!$G$2:$G$500,0)+IF($D293="",0,N($E293)*XLOOKUP($D293,Ceras!$A$2:$A$500,Ceras!$G$2:$G$500,0))),"Revisar cera"))</f>
        <v/>
      </c>
      <c r="H293" s="5"/>
      <c r="X293" s="72"/>
      <c r="Y293" s="68"/>
      <c r="Z293" s="69"/>
      <c r="AA293" s="30"/>
      <c r="AB293" s="29"/>
      <c r="AC293" s="70"/>
      <c r="AD293" s="30"/>
      <c r="AE293" s="71"/>
      <c r="AF293" s="73"/>
    </row>
    <row r="294" ht="15.75" customHeight="1">
      <c r="G294" s="5" t="str">
        <f t="array" ref="G294">IF($A294="","",IFERROR($F294*(N($C294)*XLOOKUP($B294,Ceras!$A$2:$A$500,Ceras!$G$2:$G$500,0)+IF($D294="",0,N($E294)*XLOOKUP($D294,Ceras!$A$2:$A$500,Ceras!$G$2:$G$500,0))),"Revisar cera"))</f>
        <v/>
      </c>
      <c r="H294" s="5"/>
      <c r="X294" s="72"/>
      <c r="Y294" s="68"/>
      <c r="Z294" s="69"/>
      <c r="AA294" s="30"/>
      <c r="AB294" s="29"/>
      <c r="AC294" s="70"/>
      <c r="AD294" s="30"/>
      <c r="AE294" s="71"/>
      <c r="AF294" s="73"/>
    </row>
    <row r="295" ht="15.75" customHeight="1">
      <c r="G295" s="5" t="str">
        <f t="array" ref="G295">IF($A295="","",IFERROR($F295*(N($C295)*XLOOKUP($B295,Ceras!$A$2:$A$500,Ceras!$G$2:$G$500,0)+IF($D295="",0,N($E295)*XLOOKUP($D295,Ceras!$A$2:$A$500,Ceras!$G$2:$G$500,0))),"Revisar cera"))</f>
        <v/>
      </c>
      <c r="H295" s="5"/>
      <c r="X295" s="72"/>
      <c r="Y295" s="68"/>
      <c r="Z295" s="69"/>
      <c r="AA295" s="30"/>
      <c r="AB295" s="29"/>
      <c r="AC295" s="70"/>
      <c r="AD295" s="30"/>
      <c r="AE295" s="71"/>
      <c r="AF295" s="73"/>
    </row>
    <row r="296" ht="15.75" customHeight="1">
      <c r="G296" s="5" t="str">
        <f t="array" ref="G296">IF($A296="","",IFERROR($F296*(N($C296)*XLOOKUP($B296,Ceras!$A$2:$A$500,Ceras!$G$2:$G$500,0)+IF($D296="",0,N($E296)*XLOOKUP($D296,Ceras!$A$2:$A$500,Ceras!$G$2:$G$500,0))),"Revisar cera"))</f>
        <v/>
      </c>
      <c r="H296" s="5"/>
      <c r="X296" s="72"/>
      <c r="Y296" s="68"/>
      <c r="Z296" s="69"/>
      <c r="AA296" s="30"/>
      <c r="AB296" s="29"/>
      <c r="AC296" s="70"/>
      <c r="AD296" s="30"/>
      <c r="AE296" s="71"/>
      <c r="AF296" s="73"/>
    </row>
    <row r="297" ht="15.75" customHeight="1">
      <c r="G297" s="5" t="str">
        <f t="array" ref="G297">IF($A297="","",IFERROR($F297*(N($C297)*XLOOKUP($B297,Ceras!$A$2:$A$500,Ceras!$G$2:$G$500,0)+IF($D297="",0,N($E297)*XLOOKUP($D297,Ceras!$A$2:$A$500,Ceras!$G$2:$G$500,0))),"Revisar cera"))</f>
        <v/>
      </c>
      <c r="H297" s="5"/>
      <c r="X297" s="72"/>
      <c r="Y297" s="68"/>
      <c r="Z297" s="69"/>
      <c r="AA297" s="30"/>
      <c r="AB297" s="29"/>
      <c r="AC297" s="70"/>
      <c r="AD297" s="30"/>
      <c r="AE297" s="71"/>
      <c r="AF297" s="73"/>
    </row>
    <row r="298" ht="15.75" customHeight="1">
      <c r="G298" s="5" t="str">
        <f t="array" ref="G298">IF($A298="","",IFERROR($F298*(N($C298)*XLOOKUP($B298,Ceras!$A$2:$A$500,Ceras!$G$2:$G$500,0)+IF($D298="",0,N($E298)*XLOOKUP($D298,Ceras!$A$2:$A$500,Ceras!$G$2:$G$500,0))),"Revisar cera"))</f>
        <v/>
      </c>
      <c r="H298" s="5"/>
      <c r="X298" s="72"/>
      <c r="Y298" s="68"/>
      <c r="Z298" s="69"/>
      <c r="AA298" s="30"/>
      <c r="AB298" s="29"/>
      <c r="AC298" s="70"/>
      <c r="AD298" s="30"/>
      <c r="AE298" s="71"/>
      <c r="AF298" s="73"/>
    </row>
    <row r="299" ht="15.75" customHeight="1">
      <c r="G299" s="5" t="str">
        <f t="array" ref="G299">IF($A299="","",IFERROR($F299*(N($C299)*XLOOKUP($B299,Ceras!$A$2:$A$500,Ceras!$G$2:$G$500,0)+IF($D299="",0,N($E299)*XLOOKUP($D299,Ceras!$A$2:$A$500,Ceras!$G$2:$G$500,0))),"Revisar cera"))</f>
        <v/>
      </c>
      <c r="H299" s="5"/>
      <c r="X299" s="72"/>
      <c r="Y299" s="68"/>
      <c r="Z299" s="69"/>
      <c r="AA299" s="30"/>
      <c r="AB299" s="29"/>
      <c r="AC299" s="70"/>
      <c r="AD299" s="30"/>
      <c r="AE299" s="71"/>
      <c r="AF299" s="73"/>
    </row>
    <row r="300" ht="15.75" customHeight="1">
      <c r="G300" s="5" t="str">
        <f t="array" ref="G300">IF($A300="","",IFERROR($F300*(N($C300)*XLOOKUP($B300,Ceras!$A$2:$A$500,Ceras!$G$2:$G$500,0)+IF($D300="",0,N($E300)*XLOOKUP($D300,Ceras!$A$2:$A$500,Ceras!$G$2:$G$500,0))),"Revisar cera"))</f>
        <v/>
      </c>
      <c r="H300" s="5"/>
      <c r="X300" s="72"/>
      <c r="Y300" s="68"/>
      <c r="Z300" s="69"/>
      <c r="AA300" s="30"/>
      <c r="AB300" s="29"/>
      <c r="AC300" s="70"/>
      <c r="AD300" s="30"/>
      <c r="AE300" s="71"/>
      <c r="AF300" s="73"/>
    </row>
    <row r="301" ht="15.75" customHeight="1">
      <c r="G301" s="5" t="str">
        <f t="array" ref="G301">IF($A301="","",IFERROR($F301*(N($C301)*XLOOKUP($B301,Ceras!$A$2:$A$500,Ceras!$G$2:$G$500,0)+IF($D301="",0,N($E301)*XLOOKUP($D301,Ceras!$A$2:$A$500,Ceras!$G$2:$G$500,0))),"Revisar cera"))</f>
        <v/>
      </c>
      <c r="H301" s="5"/>
      <c r="X301" s="72"/>
      <c r="Y301" s="68"/>
      <c r="Z301" s="69"/>
      <c r="AA301" s="30"/>
      <c r="AB301" s="29"/>
      <c r="AC301" s="70"/>
      <c r="AD301" s="30"/>
      <c r="AE301" s="71"/>
      <c r="AF301" s="73"/>
    </row>
    <row r="302" ht="15.75" customHeight="1">
      <c r="G302" s="5" t="str">
        <f t="array" ref="G302">IF($A302="","",IFERROR($F302*(N($C302)*XLOOKUP($B302,Ceras!$A$2:$A$500,Ceras!$G$2:$G$500,0)+IF($D302="",0,N($E302)*XLOOKUP($D302,Ceras!$A$2:$A$500,Ceras!$G$2:$G$500,0))),"Revisar cera"))</f>
        <v/>
      </c>
      <c r="H302" s="5"/>
      <c r="X302" s="72"/>
      <c r="Y302" s="68"/>
      <c r="Z302" s="69"/>
      <c r="AA302" s="30"/>
      <c r="AB302" s="29"/>
      <c r="AC302" s="70"/>
      <c r="AD302" s="30"/>
      <c r="AE302" s="71"/>
      <c r="AF302" s="73"/>
    </row>
    <row r="303" ht="15.75" customHeight="1">
      <c r="G303" s="5" t="str">
        <f t="array" ref="G303">IF($A303="","",IFERROR($F303*(N($C303)*XLOOKUP($B303,Ceras!$A$2:$A$500,Ceras!$G$2:$G$500,0)+IF($D303="",0,N($E303)*XLOOKUP($D303,Ceras!$A$2:$A$500,Ceras!$G$2:$G$500,0))),"Revisar cera"))</f>
        <v/>
      </c>
      <c r="H303" s="5"/>
      <c r="X303" s="72"/>
      <c r="Y303" s="68"/>
      <c r="Z303" s="69"/>
      <c r="AA303" s="30"/>
      <c r="AB303" s="29"/>
      <c r="AC303" s="70"/>
      <c r="AD303" s="30"/>
      <c r="AE303" s="71"/>
      <c r="AF303" s="73"/>
    </row>
    <row r="304" ht="15.75" customHeight="1">
      <c r="G304" s="5" t="str">
        <f t="array" ref="G304">IF($A304="","",IFERROR($F304*(N($C304)*XLOOKUP($B304,Ceras!$A$2:$A$500,Ceras!$G$2:$G$500,0)+IF($D304="",0,N($E304)*XLOOKUP($D304,Ceras!$A$2:$A$500,Ceras!$G$2:$G$500,0))),"Revisar cera"))</f>
        <v/>
      </c>
      <c r="H304" s="5"/>
      <c r="X304" s="72"/>
      <c r="Y304" s="68"/>
      <c r="Z304" s="69"/>
      <c r="AA304" s="30"/>
      <c r="AB304" s="29"/>
      <c r="AC304" s="70"/>
      <c r="AD304" s="30"/>
      <c r="AE304" s="71"/>
      <c r="AF304" s="73"/>
    </row>
    <row r="305" ht="15.75" customHeight="1">
      <c r="G305" s="5" t="str">
        <f t="array" ref="G305">IF($A305="","",IFERROR($F305*(N($C305)*XLOOKUP($B305,Ceras!$A$2:$A$500,Ceras!$G$2:$G$500,0)+IF($D305="",0,N($E305)*XLOOKUP($D305,Ceras!$A$2:$A$500,Ceras!$G$2:$G$500,0))),"Revisar cera"))</f>
        <v/>
      </c>
      <c r="H305" s="5"/>
      <c r="X305" s="72"/>
      <c r="Y305" s="68"/>
      <c r="Z305" s="69"/>
      <c r="AA305" s="30"/>
      <c r="AB305" s="29"/>
      <c r="AC305" s="70"/>
      <c r="AD305" s="30"/>
      <c r="AE305" s="71"/>
      <c r="AF305" s="73"/>
    </row>
    <row r="306" ht="15.75" customHeight="1">
      <c r="G306" s="5" t="str">
        <f t="array" ref="G306">IF($A306="","",IFERROR($F306*(N($C306)*XLOOKUP($B306,Ceras!$A$2:$A$500,Ceras!$G$2:$G$500,0)+IF($D306="",0,N($E306)*XLOOKUP($D306,Ceras!$A$2:$A$500,Ceras!$G$2:$G$500,0))),"Revisar cera"))</f>
        <v/>
      </c>
      <c r="H306" s="5"/>
      <c r="X306" s="72"/>
      <c r="Y306" s="68"/>
      <c r="Z306" s="69"/>
      <c r="AA306" s="30"/>
      <c r="AB306" s="29"/>
      <c r="AC306" s="70"/>
      <c r="AD306" s="30"/>
      <c r="AE306" s="71"/>
      <c r="AF306" s="73"/>
    </row>
    <row r="307" ht="15.75" customHeight="1">
      <c r="G307" s="5" t="str">
        <f t="array" ref="G307">IF($A307="","",IFERROR($F307*(N($C307)*XLOOKUP($B307,Ceras!$A$2:$A$500,Ceras!$G$2:$G$500,0)+IF($D307="",0,N($E307)*XLOOKUP($D307,Ceras!$A$2:$A$500,Ceras!$G$2:$G$500,0))),"Revisar cera"))</f>
        <v/>
      </c>
      <c r="H307" s="5"/>
      <c r="X307" s="72"/>
      <c r="Y307" s="68"/>
      <c r="Z307" s="69"/>
      <c r="AA307" s="30"/>
      <c r="AB307" s="29"/>
      <c r="AC307" s="70"/>
      <c r="AD307" s="30"/>
      <c r="AE307" s="71"/>
      <c r="AF307" s="73"/>
    </row>
    <row r="308" ht="15.75" customHeight="1">
      <c r="G308" s="5" t="str">
        <f t="array" ref="G308">IF($A308="","",IFERROR($F308*(N($C308)*XLOOKUP($B308,Ceras!$A$2:$A$500,Ceras!$G$2:$G$500,0)+IF($D308="",0,N($E308)*XLOOKUP($D308,Ceras!$A$2:$A$500,Ceras!$G$2:$G$500,0))),"Revisar cera"))</f>
        <v/>
      </c>
      <c r="H308" s="5"/>
      <c r="X308" s="72"/>
      <c r="Y308" s="68"/>
      <c r="Z308" s="69"/>
      <c r="AA308" s="30"/>
      <c r="AB308" s="29"/>
      <c r="AC308" s="70"/>
      <c r="AD308" s="30"/>
      <c r="AE308" s="71"/>
      <c r="AF308" s="73"/>
    </row>
    <row r="309" ht="15.75" customHeight="1">
      <c r="G309" s="5" t="str">
        <f t="array" ref="G309">IF($A309="","",IFERROR($F309*(N($C309)*XLOOKUP($B309,Ceras!$A$2:$A$500,Ceras!$G$2:$G$500,0)+IF($D309="",0,N($E309)*XLOOKUP($D309,Ceras!$A$2:$A$500,Ceras!$G$2:$G$500,0))),"Revisar cera"))</f>
        <v/>
      </c>
      <c r="H309" s="5"/>
      <c r="X309" s="72"/>
      <c r="Y309" s="68"/>
      <c r="Z309" s="69"/>
      <c r="AA309" s="30"/>
      <c r="AB309" s="29"/>
      <c r="AC309" s="70"/>
      <c r="AD309" s="30"/>
      <c r="AE309" s="71"/>
      <c r="AF309" s="73"/>
    </row>
    <row r="310" ht="15.75" customHeight="1">
      <c r="G310" s="5" t="str">
        <f t="array" ref="G310">IF($A310="","",IFERROR($F310*(N($C310)*XLOOKUP($B310,Ceras!$A$2:$A$500,Ceras!$G$2:$G$500,0)+IF($D310="",0,N($E310)*XLOOKUP($D310,Ceras!$A$2:$A$500,Ceras!$G$2:$G$500,0))),"Revisar cera"))</f>
        <v/>
      </c>
      <c r="H310" s="5"/>
      <c r="X310" s="72"/>
      <c r="Y310" s="68"/>
      <c r="Z310" s="69"/>
      <c r="AA310" s="30"/>
      <c r="AB310" s="29"/>
      <c r="AC310" s="70"/>
      <c r="AD310" s="30"/>
      <c r="AE310" s="71"/>
      <c r="AF310" s="73"/>
    </row>
    <row r="311" ht="15.75" customHeight="1">
      <c r="G311" s="5" t="str">
        <f t="array" ref="G311">IF($A311="","",IFERROR($F311*(N($C311)*XLOOKUP($B311,Ceras!$A$2:$A$500,Ceras!$G$2:$G$500,0)+IF($D311="",0,N($E311)*XLOOKUP($D311,Ceras!$A$2:$A$500,Ceras!$G$2:$G$500,0))),"Revisar cera"))</f>
        <v/>
      </c>
      <c r="H311" s="5"/>
      <c r="X311" s="72"/>
      <c r="Y311" s="68"/>
      <c r="Z311" s="69"/>
      <c r="AA311" s="30"/>
      <c r="AB311" s="29"/>
      <c r="AC311" s="70"/>
      <c r="AD311" s="30"/>
      <c r="AE311" s="71"/>
      <c r="AF311" s="73"/>
    </row>
    <row r="312" ht="15.75" customHeight="1">
      <c r="G312" s="5" t="str">
        <f t="array" ref="G312">IF($A312="","",IFERROR($F312*(N($C312)*XLOOKUP($B312,Ceras!$A$2:$A$500,Ceras!$G$2:$G$500,0)+IF($D312="",0,N($E312)*XLOOKUP($D312,Ceras!$A$2:$A$500,Ceras!$G$2:$G$500,0))),"Revisar cera"))</f>
        <v/>
      </c>
      <c r="H312" s="5"/>
      <c r="X312" s="72"/>
      <c r="Y312" s="68"/>
      <c r="Z312" s="69"/>
      <c r="AA312" s="30"/>
      <c r="AB312" s="29"/>
      <c r="AC312" s="70"/>
      <c r="AD312" s="30"/>
      <c r="AE312" s="71"/>
      <c r="AF312" s="73"/>
    </row>
    <row r="313" ht="15.75" customHeight="1">
      <c r="G313" s="5" t="str">
        <f t="array" ref="G313">IF($A313="","",IFERROR($F313*(N($C313)*XLOOKUP($B313,Ceras!$A$2:$A$500,Ceras!$G$2:$G$500,0)+IF($D313="",0,N($E313)*XLOOKUP($D313,Ceras!$A$2:$A$500,Ceras!$G$2:$G$500,0))),"Revisar cera"))</f>
        <v/>
      </c>
      <c r="H313" s="5"/>
      <c r="X313" s="72"/>
      <c r="Y313" s="68"/>
      <c r="Z313" s="69"/>
      <c r="AA313" s="30"/>
      <c r="AB313" s="29"/>
      <c r="AC313" s="70"/>
      <c r="AD313" s="30"/>
      <c r="AE313" s="71"/>
      <c r="AF313" s="73"/>
    </row>
    <row r="314" ht="15.75" customHeight="1">
      <c r="G314" s="5" t="str">
        <f t="array" ref="G314">IF($A314="","",IFERROR($F314*(N($C314)*XLOOKUP($B314,Ceras!$A$2:$A$500,Ceras!$G$2:$G$500,0)+IF($D314="",0,N($E314)*XLOOKUP($D314,Ceras!$A$2:$A$500,Ceras!$G$2:$G$500,0))),"Revisar cera"))</f>
        <v/>
      </c>
      <c r="H314" s="5"/>
      <c r="X314" s="72"/>
      <c r="Y314" s="68"/>
      <c r="Z314" s="69"/>
      <c r="AA314" s="30"/>
      <c r="AB314" s="29"/>
      <c r="AC314" s="70"/>
      <c r="AD314" s="30"/>
      <c r="AE314" s="71"/>
      <c r="AF314" s="73"/>
    </row>
    <row r="315" ht="15.75" customHeight="1">
      <c r="G315" s="5" t="str">
        <f t="array" ref="G315">IF($A315="","",IFERROR($F315*(N($C315)*XLOOKUP($B315,Ceras!$A$2:$A$500,Ceras!$G$2:$G$500,0)+IF($D315="",0,N($E315)*XLOOKUP($D315,Ceras!$A$2:$A$500,Ceras!$G$2:$G$500,0))),"Revisar cera"))</f>
        <v/>
      </c>
      <c r="H315" s="5"/>
      <c r="X315" s="72"/>
      <c r="Y315" s="68"/>
      <c r="Z315" s="69"/>
      <c r="AA315" s="30"/>
      <c r="AB315" s="29"/>
      <c r="AC315" s="70"/>
      <c r="AD315" s="30"/>
      <c r="AE315" s="71"/>
      <c r="AF315" s="73"/>
    </row>
    <row r="316" ht="15.75" customHeight="1">
      <c r="G316" s="5" t="str">
        <f t="array" ref="G316">IF($A316="","",IFERROR($F316*(N($C316)*XLOOKUP($B316,Ceras!$A$2:$A$500,Ceras!$G$2:$G$500,0)+IF($D316="",0,N($E316)*XLOOKUP($D316,Ceras!$A$2:$A$500,Ceras!$G$2:$G$500,0))),"Revisar cera"))</f>
        <v/>
      </c>
      <c r="H316" s="5"/>
      <c r="X316" s="72"/>
      <c r="Y316" s="68"/>
      <c r="Z316" s="69"/>
      <c r="AA316" s="30"/>
      <c r="AB316" s="29"/>
      <c r="AC316" s="70"/>
      <c r="AD316" s="30"/>
      <c r="AE316" s="71"/>
      <c r="AF316" s="73"/>
    </row>
    <row r="317" ht="15.75" customHeight="1">
      <c r="G317" s="5" t="str">
        <f t="array" ref="G317">IF($A317="","",IFERROR($F317*(N($C317)*XLOOKUP($B317,Ceras!$A$2:$A$500,Ceras!$G$2:$G$500,0)+IF($D317="",0,N($E317)*XLOOKUP($D317,Ceras!$A$2:$A$500,Ceras!$G$2:$G$500,0))),"Revisar cera"))</f>
        <v/>
      </c>
      <c r="H317" s="5"/>
      <c r="X317" s="72"/>
      <c r="Y317" s="68"/>
      <c r="Z317" s="69"/>
      <c r="AA317" s="30"/>
      <c r="AB317" s="29"/>
      <c r="AC317" s="70"/>
      <c r="AD317" s="30"/>
      <c r="AE317" s="71"/>
      <c r="AF317" s="73"/>
    </row>
    <row r="318" ht="15.75" customHeight="1">
      <c r="G318" s="5" t="str">
        <f t="array" ref="G318">IF($A318="","",IFERROR($F318*(N($C318)*XLOOKUP($B318,Ceras!$A$2:$A$500,Ceras!$G$2:$G$500,0)+IF($D318="",0,N($E318)*XLOOKUP($D318,Ceras!$A$2:$A$500,Ceras!$G$2:$G$500,0))),"Revisar cera"))</f>
        <v/>
      </c>
      <c r="H318" s="5"/>
      <c r="X318" s="72"/>
      <c r="Y318" s="68"/>
      <c r="Z318" s="69"/>
      <c r="AA318" s="30"/>
      <c r="AB318" s="29"/>
      <c r="AC318" s="70"/>
      <c r="AD318" s="30"/>
      <c r="AE318" s="71"/>
      <c r="AF318" s="73"/>
    </row>
    <row r="319" ht="15.75" customHeight="1">
      <c r="G319" s="5" t="str">
        <f t="array" ref="G319">IF($A319="","",IFERROR($F319*(N($C319)*XLOOKUP($B319,Ceras!$A$2:$A$500,Ceras!$G$2:$G$500,0)+IF($D319="",0,N($E319)*XLOOKUP($D319,Ceras!$A$2:$A$500,Ceras!$G$2:$G$500,0))),"Revisar cera"))</f>
        <v/>
      </c>
      <c r="H319" s="5"/>
      <c r="X319" s="72"/>
      <c r="Y319" s="68"/>
      <c r="Z319" s="69"/>
      <c r="AA319" s="30"/>
      <c r="AB319" s="29"/>
      <c r="AC319" s="70"/>
      <c r="AD319" s="30"/>
      <c r="AE319" s="71"/>
      <c r="AF319" s="73"/>
    </row>
    <row r="320" ht="15.75" customHeight="1">
      <c r="G320" s="5" t="str">
        <f t="array" ref="G320">IF($A320="","",IFERROR($F320*(N($C320)*XLOOKUP($B320,Ceras!$A$2:$A$500,Ceras!$G$2:$G$500,0)+IF($D320="",0,N($E320)*XLOOKUP($D320,Ceras!$A$2:$A$500,Ceras!$G$2:$G$500,0))),"Revisar cera"))</f>
        <v/>
      </c>
      <c r="H320" s="5"/>
      <c r="X320" s="72"/>
      <c r="Y320" s="68"/>
      <c r="Z320" s="69"/>
      <c r="AA320" s="30"/>
      <c r="AB320" s="29"/>
      <c r="AC320" s="70"/>
      <c r="AD320" s="30"/>
      <c r="AE320" s="71"/>
      <c r="AF320" s="73"/>
    </row>
    <row r="321" ht="15.75" customHeight="1">
      <c r="G321" s="5" t="str">
        <f t="array" ref="G321">IF($A321="","",IFERROR($F321*(N($C321)*XLOOKUP($B321,Ceras!$A$2:$A$500,Ceras!$G$2:$G$500,0)+IF($D321="",0,N($E321)*XLOOKUP($D321,Ceras!$A$2:$A$500,Ceras!$G$2:$G$500,0))),"Revisar cera"))</f>
        <v/>
      </c>
      <c r="H321" s="5"/>
      <c r="X321" s="72"/>
      <c r="Y321" s="68"/>
      <c r="Z321" s="69"/>
      <c r="AA321" s="30"/>
      <c r="AB321" s="29"/>
      <c r="AC321" s="70"/>
      <c r="AD321" s="30"/>
      <c r="AE321" s="71"/>
      <c r="AF321" s="73"/>
    </row>
    <row r="322" ht="15.75" customHeight="1">
      <c r="G322" s="5" t="str">
        <f t="array" ref="G322">IF($A322="","",IFERROR($F322*(N($C322)*XLOOKUP($B322,Ceras!$A$2:$A$500,Ceras!$G$2:$G$500,0)+IF($D322="",0,N($E322)*XLOOKUP($D322,Ceras!$A$2:$A$500,Ceras!$G$2:$G$500,0))),"Revisar cera"))</f>
        <v/>
      </c>
      <c r="H322" s="5"/>
      <c r="X322" s="72"/>
      <c r="Y322" s="68"/>
      <c r="Z322" s="69"/>
      <c r="AA322" s="30"/>
      <c r="AB322" s="29"/>
      <c r="AC322" s="70"/>
      <c r="AD322" s="30"/>
      <c r="AE322" s="71"/>
      <c r="AF322" s="73"/>
    </row>
    <row r="323" ht="15.75" customHeight="1">
      <c r="G323" s="5" t="str">
        <f t="array" ref="G323">IF($A323="","",IFERROR($F323*(N($C323)*XLOOKUP($B323,Ceras!$A$2:$A$500,Ceras!$G$2:$G$500,0)+IF($D323="",0,N($E323)*XLOOKUP($D323,Ceras!$A$2:$A$500,Ceras!$G$2:$G$500,0))),"Revisar cera"))</f>
        <v/>
      </c>
      <c r="H323" s="5"/>
      <c r="X323" s="72"/>
      <c r="Y323" s="68"/>
      <c r="Z323" s="69"/>
      <c r="AA323" s="30"/>
      <c r="AB323" s="29"/>
      <c r="AC323" s="70"/>
      <c r="AD323" s="30"/>
      <c r="AE323" s="71"/>
      <c r="AF323" s="73"/>
    </row>
    <row r="324" ht="15.75" customHeight="1">
      <c r="G324" s="5" t="str">
        <f t="array" ref="G324">IF($A324="","",IFERROR($F324*(N($C324)*XLOOKUP($B324,Ceras!$A$2:$A$500,Ceras!$G$2:$G$500,0)+IF($D324="",0,N($E324)*XLOOKUP($D324,Ceras!$A$2:$A$500,Ceras!$G$2:$G$500,0))),"Revisar cera"))</f>
        <v/>
      </c>
      <c r="H324" s="5"/>
      <c r="X324" s="72"/>
      <c r="Y324" s="68"/>
      <c r="Z324" s="69"/>
      <c r="AA324" s="30"/>
      <c r="AB324" s="29"/>
      <c r="AC324" s="70"/>
      <c r="AD324" s="30"/>
      <c r="AE324" s="71"/>
      <c r="AF324" s="73"/>
    </row>
    <row r="325" ht="15.75" customHeight="1">
      <c r="G325" s="5" t="str">
        <f t="array" ref="G325">IF($A325="","",IFERROR($F325*(N($C325)*XLOOKUP($B325,Ceras!$A$2:$A$500,Ceras!$G$2:$G$500,0)+IF($D325="",0,N($E325)*XLOOKUP($D325,Ceras!$A$2:$A$500,Ceras!$G$2:$G$500,0))),"Revisar cera"))</f>
        <v/>
      </c>
      <c r="H325" s="5"/>
      <c r="X325" s="72"/>
      <c r="Y325" s="68"/>
      <c r="Z325" s="69"/>
      <c r="AA325" s="30"/>
      <c r="AB325" s="29"/>
      <c r="AC325" s="70"/>
      <c r="AD325" s="30"/>
      <c r="AE325" s="71"/>
      <c r="AF325" s="73"/>
    </row>
    <row r="326" ht="15.75" customHeight="1">
      <c r="G326" s="5" t="str">
        <f t="array" ref="G326">IF($A326="","",IFERROR($F326*(N($C326)*XLOOKUP($B326,Ceras!$A$2:$A$500,Ceras!$G$2:$G$500,0)+IF($D326="",0,N($E326)*XLOOKUP($D326,Ceras!$A$2:$A$500,Ceras!$G$2:$G$500,0))),"Revisar cera"))</f>
        <v/>
      </c>
      <c r="H326" s="5"/>
      <c r="X326" s="72"/>
      <c r="Y326" s="68"/>
      <c r="Z326" s="69"/>
      <c r="AA326" s="30"/>
      <c r="AB326" s="29"/>
      <c r="AC326" s="70"/>
      <c r="AD326" s="30"/>
      <c r="AE326" s="71"/>
      <c r="AF326" s="73"/>
    </row>
    <row r="327" ht="15.75" customHeight="1">
      <c r="G327" s="5" t="str">
        <f t="array" ref="G327">IF($A327="","",IFERROR($F327*(N($C327)*XLOOKUP($B327,Ceras!$A$2:$A$500,Ceras!$G$2:$G$500,0)+IF($D327="",0,N($E327)*XLOOKUP($D327,Ceras!$A$2:$A$500,Ceras!$G$2:$G$500,0))),"Revisar cera"))</f>
        <v/>
      </c>
      <c r="H327" s="5"/>
      <c r="X327" s="72"/>
      <c r="Y327" s="68"/>
      <c r="Z327" s="69"/>
      <c r="AA327" s="30"/>
      <c r="AB327" s="29"/>
      <c r="AC327" s="70"/>
      <c r="AD327" s="30"/>
      <c r="AE327" s="71"/>
      <c r="AF327" s="73"/>
    </row>
    <row r="328" ht="15.75" customHeight="1">
      <c r="G328" s="5" t="str">
        <f t="array" ref="G328">IF($A328="","",IFERROR($F328*(N($C328)*XLOOKUP($B328,Ceras!$A$2:$A$500,Ceras!$G$2:$G$500,0)+IF($D328="",0,N($E328)*XLOOKUP($D328,Ceras!$A$2:$A$500,Ceras!$G$2:$G$500,0))),"Revisar cera"))</f>
        <v/>
      </c>
      <c r="H328" s="5"/>
      <c r="X328" s="72"/>
      <c r="Y328" s="68"/>
      <c r="Z328" s="69"/>
      <c r="AA328" s="30"/>
      <c r="AB328" s="29"/>
      <c r="AC328" s="70"/>
      <c r="AD328" s="30"/>
      <c r="AE328" s="71"/>
      <c r="AF328" s="73"/>
    </row>
    <row r="329" ht="15.75" customHeight="1">
      <c r="G329" s="5" t="str">
        <f t="array" ref="G329">IF($A329="","",IFERROR($F329*(N($C329)*XLOOKUP($B329,Ceras!$A$2:$A$500,Ceras!$G$2:$G$500,0)+IF($D329="",0,N($E329)*XLOOKUP($D329,Ceras!$A$2:$A$500,Ceras!$G$2:$G$500,0))),"Revisar cera"))</f>
        <v/>
      </c>
      <c r="H329" s="5"/>
      <c r="X329" s="72"/>
      <c r="Y329" s="68"/>
      <c r="Z329" s="69"/>
      <c r="AA329" s="30"/>
      <c r="AB329" s="29"/>
      <c r="AC329" s="70"/>
      <c r="AD329" s="30"/>
      <c r="AE329" s="71"/>
      <c r="AF329" s="73"/>
    </row>
    <row r="330" ht="15.75" customHeight="1">
      <c r="G330" s="5" t="str">
        <f t="array" ref="G330">IF($A330="","",IFERROR($F330*(N($C330)*XLOOKUP($B330,Ceras!$A$2:$A$500,Ceras!$G$2:$G$500,0)+IF($D330="",0,N($E330)*XLOOKUP($D330,Ceras!$A$2:$A$500,Ceras!$G$2:$G$500,0))),"Revisar cera"))</f>
        <v/>
      </c>
      <c r="H330" s="5"/>
      <c r="X330" s="72"/>
      <c r="Y330" s="68"/>
      <c r="Z330" s="69"/>
      <c r="AA330" s="30"/>
      <c r="AB330" s="29"/>
      <c r="AC330" s="70"/>
      <c r="AD330" s="30"/>
      <c r="AE330" s="71"/>
      <c r="AF330" s="73"/>
    </row>
    <row r="331" ht="15.75" customHeight="1">
      <c r="G331" s="5" t="str">
        <f t="array" ref="G331">IF($A331="","",IFERROR($F331*(N($C331)*XLOOKUP($B331,Ceras!$A$2:$A$500,Ceras!$G$2:$G$500,0)+IF($D331="",0,N($E331)*XLOOKUP($D331,Ceras!$A$2:$A$500,Ceras!$G$2:$G$500,0))),"Revisar cera"))</f>
        <v/>
      </c>
      <c r="H331" s="5"/>
      <c r="X331" s="72"/>
      <c r="Y331" s="68"/>
      <c r="Z331" s="69"/>
      <c r="AA331" s="30"/>
      <c r="AB331" s="29"/>
      <c r="AC331" s="70"/>
      <c r="AD331" s="30"/>
      <c r="AE331" s="71"/>
      <c r="AF331" s="73"/>
    </row>
    <row r="332" ht="15.75" customHeight="1">
      <c r="X332" s="72"/>
      <c r="Y332" s="68"/>
      <c r="Z332" s="69"/>
      <c r="AA332" s="30"/>
      <c r="AB332" s="29"/>
      <c r="AC332" s="70"/>
      <c r="AD332" s="30"/>
      <c r="AE332" s="71"/>
      <c r="AF332" s="73"/>
    </row>
    <row r="333" ht="15.75" customHeight="1">
      <c r="X333" s="72"/>
      <c r="Y333" s="68"/>
      <c r="Z333" s="69"/>
      <c r="AA333" s="30"/>
      <c r="AB333" s="29"/>
      <c r="AC333" s="70"/>
      <c r="AD333" s="30"/>
      <c r="AE333" s="71"/>
      <c r="AF333" s="73"/>
    </row>
    <row r="334" ht="15.75" customHeight="1">
      <c r="X334" s="72"/>
      <c r="Y334" s="68"/>
      <c r="Z334" s="69"/>
      <c r="AA334" s="30"/>
      <c r="AB334" s="29"/>
      <c r="AC334" s="70"/>
      <c r="AD334" s="30"/>
      <c r="AE334" s="71"/>
      <c r="AF334" s="73"/>
    </row>
    <row r="335" ht="15.75" customHeight="1">
      <c r="X335" s="72"/>
      <c r="Y335" s="68"/>
      <c r="Z335" s="69"/>
      <c r="AA335" s="30"/>
      <c r="AB335" s="29"/>
      <c r="AC335" s="70"/>
      <c r="AD335" s="30"/>
      <c r="AE335" s="71"/>
      <c r="AF335" s="73"/>
    </row>
    <row r="336" ht="15.75" customHeight="1">
      <c r="X336" s="72"/>
      <c r="Y336" s="68"/>
      <c r="Z336" s="69"/>
      <c r="AA336" s="30"/>
      <c r="AB336" s="29"/>
      <c r="AC336" s="70"/>
      <c r="AD336" s="30"/>
      <c r="AE336" s="71"/>
      <c r="AF336" s="73"/>
    </row>
    <row r="337" ht="15.75" customHeight="1">
      <c r="X337" s="72"/>
      <c r="Y337" s="68"/>
      <c r="Z337" s="69"/>
      <c r="AA337" s="30"/>
      <c r="AB337" s="29"/>
      <c r="AC337" s="70"/>
      <c r="AD337" s="30"/>
      <c r="AE337" s="71"/>
      <c r="AF337" s="73"/>
    </row>
    <row r="338" ht="15.75" customHeight="1">
      <c r="X338" s="72"/>
      <c r="Y338" s="68"/>
      <c r="Z338" s="69"/>
      <c r="AA338" s="30"/>
      <c r="AB338" s="29"/>
      <c r="AC338" s="70"/>
      <c r="AD338" s="30"/>
      <c r="AE338" s="71"/>
      <c r="AF338" s="73"/>
    </row>
    <row r="339" ht="15.75" customHeight="1">
      <c r="X339" s="72"/>
      <c r="Y339" s="68"/>
      <c r="Z339" s="69"/>
      <c r="AA339" s="30"/>
      <c r="AB339" s="29"/>
      <c r="AC339" s="70"/>
      <c r="AD339" s="30"/>
      <c r="AE339" s="71"/>
      <c r="AF339" s="73"/>
    </row>
    <row r="340" ht="15.75" customHeight="1">
      <c r="X340" s="72"/>
      <c r="Y340" s="68"/>
      <c r="Z340" s="69"/>
      <c r="AA340" s="30"/>
      <c r="AB340" s="29"/>
      <c r="AC340" s="70"/>
      <c r="AD340" s="30"/>
      <c r="AE340" s="71"/>
      <c r="AF340" s="73"/>
    </row>
    <row r="341" ht="15.75" customHeight="1">
      <c r="X341" s="72"/>
      <c r="Y341" s="68"/>
      <c r="Z341" s="69"/>
      <c r="AA341" s="30"/>
      <c r="AB341" s="29"/>
      <c r="AC341" s="70"/>
      <c r="AD341" s="30"/>
      <c r="AE341" s="71"/>
      <c r="AF341" s="73"/>
    </row>
    <row r="342" ht="15.75" customHeight="1">
      <c r="X342" s="72"/>
      <c r="Y342" s="68"/>
      <c r="Z342" s="69"/>
      <c r="AA342" s="30"/>
      <c r="AB342" s="29"/>
      <c r="AC342" s="70"/>
      <c r="AD342" s="30"/>
      <c r="AE342" s="71"/>
      <c r="AF342" s="73"/>
    </row>
    <row r="343" ht="15.75" customHeight="1">
      <c r="X343" s="72"/>
      <c r="Y343" s="68"/>
      <c r="Z343" s="69"/>
      <c r="AA343" s="30"/>
      <c r="AB343" s="29"/>
      <c r="AC343" s="70"/>
      <c r="AD343" s="30"/>
      <c r="AE343" s="71"/>
      <c r="AF343" s="73"/>
    </row>
    <row r="344" ht="15.75" customHeight="1">
      <c r="X344" s="72"/>
      <c r="Y344" s="68"/>
      <c r="Z344" s="69"/>
      <c r="AA344" s="30"/>
      <c r="AB344" s="29"/>
      <c r="AC344" s="70"/>
      <c r="AD344" s="30"/>
      <c r="AE344" s="71"/>
      <c r="AF344" s="73"/>
    </row>
    <row r="345" ht="15.75" customHeight="1">
      <c r="X345" s="72"/>
      <c r="Y345" s="68"/>
      <c r="Z345" s="69"/>
      <c r="AA345" s="30"/>
      <c r="AB345" s="29"/>
      <c r="AC345" s="70"/>
      <c r="AD345" s="30"/>
      <c r="AE345" s="71"/>
      <c r="AF345" s="73"/>
    </row>
    <row r="346" ht="15.75" customHeight="1">
      <c r="X346" s="72"/>
      <c r="Y346" s="68"/>
      <c r="Z346" s="69"/>
      <c r="AA346" s="30"/>
      <c r="AB346" s="29"/>
      <c r="AC346" s="70"/>
      <c r="AD346" s="30"/>
      <c r="AE346" s="71"/>
      <c r="AF346" s="73"/>
    </row>
    <row r="347" ht="15.75" customHeight="1">
      <c r="X347" s="72"/>
      <c r="Y347" s="68"/>
      <c r="Z347" s="69"/>
      <c r="AA347" s="30"/>
      <c r="AB347" s="29"/>
      <c r="AC347" s="70"/>
      <c r="AD347" s="30"/>
      <c r="AE347" s="71"/>
      <c r="AF347" s="73"/>
    </row>
    <row r="348" ht="15.75" customHeight="1">
      <c r="X348" s="72"/>
      <c r="Y348" s="68"/>
      <c r="Z348" s="69"/>
      <c r="AA348" s="30"/>
      <c r="AB348" s="29"/>
      <c r="AC348" s="70"/>
      <c r="AD348" s="30"/>
      <c r="AE348" s="71"/>
      <c r="AF348" s="73"/>
    </row>
    <row r="349" ht="15.75" customHeight="1">
      <c r="X349" s="72"/>
      <c r="Y349" s="68"/>
      <c r="Z349" s="69"/>
      <c r="AA349" s="30"/>
      <c r="AB349" s="29"/>
      <c r="AC349" s="70"/>
      <c r="AD349" s="30"/>
      <c r="AE349" s="71"/>
      <c r="AF349" s="73"/>
    </row>
    <row r="350" ht="15.75" customHeight="1">
      <c r="X350" s="72"/>
      <c r="Y350" s="68"/>
      <c r="Z350" s="69"/>
      <c r="AA350" s="30"/>
      <c r="AB350" s="29"/>
      <c r="AC350" s="70"/>
      <c r="AD350" s="30"/>
      <c r="AE350" s="71"/>
      <c r="AF350" s="73"/>
    </row>
    <row r="351" ht="15.75" customHeight="1">
      <c r="X351" s="72"/>
      <c r="Y351" s="68"/>
      <c r="Z351" s="69"/>
      <c r="AA351" s="30"/>
      <c r="AB351" s="29"/>
      <c r="AC351" s="70"/>
      <c r="AD351" s="30"/>
      <c r="AE351" s="71"/>
      <c r="AF351" s="73"/>
    </row>
    <row r="352" ht="15.75" customHeight="1">
      <c r="X352" s="72"/>
      <c r="Y352" s="68"/>
      <c r="Z352" s="69"/>
      <c r="AA352" s="30"/>
      <c r="AB352" s="29"/>
      <c r="AC352" s="70"/>
      <c r="AD352" s="30"/>
      <c r="AE352" s="71"/>
      <c r="AF352" s="73"/>
    </row>
    <row r="353" ht="15.75" customHeight="1">
      <c r="X353" s="72"/>
      <c r="Y353" s="68"/>
      <c r="Z353" s="69"/>
      <c r="AA353" s="30"/>
      <c r="AB353" s="29"/>
      <c r="AC353" s="70"/>
      <c r="AD353" s="30"/>
      <c r="AE353" s="71"/>
      <c r="AF353" s="73"/>
    </row>
    <row r="354" ht="15.75" customHeight="1">
      <c r="X354" s="72"/>
      <c r="Y354" s="68"/>
      <c r="Z354" s="69"/>
      <c r="AA354" s="30"/>
      <c r="AB354" s="29"/>
      <c r="AC354" s="70"/>
      <c r="AD354" s="30"/>
      <c r="AE354" s="71"/>
      <c r="AF354" s="73"/>
    </row>
    <row r="355" ht="15.75" customHeight="1">
      <c r="X355" s="72"/>
      <c r="Y355" s="68"/>
      <c r="Z355" s="69"/>
      <c r="AA355" s="30"/>
      <c r="AB355" s="29"/>
      <c r="AC355" s="70"/>
      <c r="AD355" s="30"/>
      <c r="AE355" s="71"/>
      <c r="AF355" s="73"/>
    </row>
    <row r="356" ht="15.75" customHeight="1">
      <c r="X356" s="72"/>
      <c r="Y356" s="68"/>
      <c r="Z356" s="69"/>
      <c r="AA356" s="30"/>
      <c r="AB356" s="29"/>
      <c r="AC356" s="70"/>
      <c r="AD356" s="30"/>
      <c r="AE356" s="71"/>
      <c r="AF356" s="73"/>
    </row>
    <row r="357" ht="15.75" customHeight="1">
      <c r="X357" s="72"/>
      <c r="Y357" s="68"/>
      <c r="Z357" s="69"/>
      <c r="AA357" s="30"/>
      <c r="AB357" s="29"/>
      <c r="AC357" s="70"/>
      <c r="AD357" s="30"/>
      <c r="AE357" s="71"/>
      <c r="AF357" s="73"/>
    </row>
    <row r="358" ht="15.75" customHeight="1">
      <c r="X358" s="72"/>
      <c r="Y358" s="68"/>
      <c r="Z358" s="69"/>
      <c r="AA358" s="30"/>
      <c r="AB358" s="29"/>
      <c r="AC358" s="70"/>
      <c r="AD358" s="30"/>
      <c r="AE358" s="71"/>
      <c r="AF358" s="73"/>
    </row>
    <row r="359" ht="15.75" customHeight="1">
      <c r="X359" s="72"/>
      <c r="Y359" s="68"/>
      <c r="Z359" s="69"/>
      <c r="AA359" s="30"/>
      <c r="AB359" s="29"/>
      <c r="AC359" s="70"/>
      <c r="AD359" s="30"/>
      <c r="AE359" s="71"/>
      <c r="AF359" s="73"/>
    </row>
    <row r="360" ht="15.75" customHeight="1">
      <c r="X360" s="72"/>
      <c r="Y360" s="68"/>
      <c r="Z360" s="69"/>
      <c r="AA360" s="30"/>
      <c r="AB360" s="29"/>
      <c r="AC360" s="70"/>
      <c r="AD360" s="30"/>
      <c r="AE360" s="71"/>
      <c r="AF360" s="73"/>
    </row>
    <row r="361" ht="15.75" customHeight="1">
      <c r="X361" s="72"/>
      <c r="Y361" s="68"/>
      <c r="Z361" s="69"/>
      <c r="AA361" s="30"/>
      <c r="AB361" s="29"/>
      <c r="AC361" s="70"/>
      <c r="AD361" s="30"/>
      <c r="AE361" s="71"/>
      <c r="AF361" s="73"/>
    </row>
    <row r="362" ht="15.75" customHeight="1">
      <c r="X362" s="72"/>
      <c r="Y362" s="68"/>
      <c r="Z362" s="69"/>
      <c r="AA362" s="30"/>
      <c r="AB362" s="29"/>
      <c r="AC362" s="70"/>
      <c r="AD362" s="30"/>
      <c r="AE362" s="71"/>
      <c r="AF362" s="73"/>
    </row>
    <row r="363" ht="15.75" customHeight="1">
      <c r="X363" s="72"/>
      <c r="Y363" s="68"/>
      <c r="Z363" s="69"/>
      <c r="AA363" s="30"/>
      <c r="AB363" s="29"/>
      <c r="AC363" s="70"/>
      <c r="AD363" s="30"/>
      <c r="AE363" s="71"/>
      <c r="AF363" s="73"/>
    </row>
    <row r="364" ht="15.75" customHeight="1">
      <c r="X364" s="72"/>
      <c r="Y364" s="68"/>
      <c r="Z364" s="69"/>
      <c r="AA364" s="30"/>
      <c r="AB364" s="29"/>
      <c r="AC364" s="70"/>
      <c r="AD364" s="30"/>
      <c r="AE364" s="71"/>
      <c r="AF364" s="73"/>
    </row>
    <row r="365" ht="15.75" customHeight="1">
      <c r="X365" s="72"/>
      <c r="Y365" s="68"/>
      <c r="Z365" s="69"/>
      <c r="AA365" s="30"/>
      <c r="AB365" s="29"/>
      <c r="AC365" s="70"/>
      <c r="AD365" s="30"/>
      <c r="AE365" s="71"/>
      <c r="AF365" s="73"/>
    </row>
    <row r="366" ht="15.75" customHeight="1">
      <c r="X366" s="72"/>
      <c r="Y366" s="68"/>
      <c r="Z366" s="69"/>
      <c r="AA366" s="30"/>
      <c r="AB366" s="29"/>
      <c r="AC366" s="70"/>
      <c r="AD366" s="30"/>
      <c r="AE366" s="71"/>
      <c r="AF366" s="73"/>
    </row>
    <row r="367" ht="15.75" customHeight="1">
      <c r="X367" s="72"/>
      <c r="Y367" s="68"/>
      <c r="Z367" s="69"/>
      <c r="AA367" s="30"/>
      <c r="AB367" s="29"/>
      <c r="AC367" s="70"/>
      <c r="AD367" s="30"/>
      <c r="AE367" s="71"/>
      <c r="AF367" s="73"/>
    </row>
    <row r="368" ht="15.75" customHeight="1">
      <c r="X368" s="72"/>
      <c r="Y368" s="68"/>
      <c r="Z368" s="69"/>
      <c r="AA368" s="30"/>
      <c r="AB368" s="29"/>
      <c r="AC368" s="70"/>
      <c r="AD368" s="30"/>
      <c r="AE368" s="71"/>
      <c r="AF368" s="73"/>
    </row>
    <row r="369" ht="15.75" customHeight="1">
      <c r="X369" s="72"/>
      <c r="Y369" s="68"/>
      <c r="Z369" s="69"/>
      <c r="AA369" s="30"/>
      <c r="AB369" s="29"/>
      <c r="AC369" s="70"/>
      <c r="AD369" s="30"/>
      <c r="AE369" s="71"/>
      <c r="AF369" s="73"/>
    </row>
    <row r="370" ht="15.75" customHeight="1">
      <c r="X370" s="72"/>
      <c r="Y370" s="68"/>
      <c r="Z370" s="69"/>
      <c r="AA370" s="30"/>
      <c r="AB370" s="29"/>
      <c r="AC370" s="70"/>
      <c r="AD370" s="30"/>
      <c r="AE370" s="71"/>
      <c r="AF370" s="73"/>
    </row>
    <row r="371" ht="15.75" customHeight="1">
      <c r="X371" s="72"/>
      <c r="Y371" s="68"/>
      <c r="Z371" s="69"/>
      <c r="AA371" s="30"/>
      <c r="AB371" s="29"/>
      <c r="AC371" s="70"/>
      <c r="AD371" s="30"/>
      <c r="AE371" s="71"/>
      <c r="AF371" s="73"/>
    </row>
    <row r="372" ht="15.75" customHeight="1">
      <c r="X372" s="72"/>
      <c r="Y372" s="68"/>
      <c r="Z372" s="69"/>
      <c r="AA372" s="30"/>
      <c r="AB372" s="29"/>
      <c r="AC372" s="70"/>
      <c r="AD372" s="30"/>
      <c r="AE372" s="71"/>
      <c r="AF372" s="73"/>
    </row>
    <row r="373" ht="15.75" customHeight="1">
      <c r="X373" s="72"/>
      <c r="Y373" s="68"/>
      <c r="Z373" s="69"/>
      <c r="AA373" s="30"/>
      <c r="AB373" s="29"/>
      <c r="AC373" s="70"/>
      <c r="AD373" s="30"/>
      <c r="AE373" s="71"/>
      <c r="AF373" s="73"/>
    </row>
    <row r="374" ht="15.75" customHeight="1">
      <c r="X374" s="72"/>
      <c r="Y374" s="68"/>
      <c r="Z374" s="69"/>
      <c r="AA374" s="30"/>
      <c r="AB374" s="29"/>
      <c r="AC374" s="70"/>
      <c r="AD374" s="30"/>
      <c r="AE374" s="71"/>
      <c r="AF374" s="73"/>
    </row>
    <row r="375" ht="15.75" customHeight="1">
      <c r="X375" s="72"/>
      <c r="Y375" s="68"/>
      <c r="Z375" s="69"/>
      <c r="AA375" s="30"/>
      <c r="AB375" s="29"/>
      <c r="AC375" s="70"/>
      <c r="AD375" s="30"/>
      <c r="AE375" s="71"/>
      <c r="AF375" s="73"/>
    </row>
    <row r="376" ht="15.75" customHeight="1">
      <c r="X376" s="72"/>
      <c r="Y376" s="68"/>
      <c r="Z376" s="69"/>
      <c r="AA376" s="30"/>
      <c r="AB376" s="29"/>
      <c r="AC376" s="70"/>
      <c r="AD376" s="30"/>
      <c r="AE376" s="71"/>
      <c r="AF376" s="73"/>
    </row>
    <row r="377" ht="15.75" customHeight="1">
      <c r="X377" s="72"/>
      <c r="Y377" s="68"/>
      <c r="Z377" s="69"/>
      <c r="AA377" s="30"/>
      <c r="AB377" s="29"/>
      <c r="AC377" s="70"/>
      <c r="AD377" s="30"/>
      <c r="AE377" s="71"/>
      <c r="AF377" s="73"/>
    </row>
    <row r="378" ht="15.75" customHeight="1">
      <c r="X378" s="72"/>
      <c r="Y378" s="68"/>
      <c r="Z378" s="69"/>
      <c r="AA378" s="30"/>
      <c r="AB378" s="29"/>
      <c r="AC378" s="70"/>
      <c r="AD378" s="30"/>
      <c r="AE378" s="71"/>
      <c r="AF378" s="73"/>
    </row>
    <row r="379" ht="15.75" customHeight="1">
      <c r="X379" s="72"/>
      <c r="Y379" s="68"/>
      <c r="Z379" s="69"/>
      <c r="AA379" s="30"/>
      <c r="AB379" s="29"/>
      <c r="AC379" s="70"/>
      <c r="AD379" s="30"/>
      <c r="AE379" s="71"/>
      <c r="AF379" s="73"/>
    </row>
    <row r="380" ht="15.75" customHeight="1">
      <c r="X380" s="72"/>
      <c r="Y380" s="68"/>
      <c r="Z380" s="69"/>
      <c r="AA380" s="30"/>
      <c r="AB380" s="29"/>
      <c r="AC380" s="70"/>
      <c r="AD380" s="30"/>
      <c r="AE380" s="71"/>
      <c r="AF380" s="73"/>
    </row>
    <row r="381" ht="15.75" customHeight="1">
      <c r="X381" s="72"/>
      <c r="Y381" s="68"/>
      <c r="Z381" s="69"/>
      <c r="AA381" s="30"/>
      <c r="AB381" s="29"/>
      <c r="AC381" s="70"/>
      <c r="AD381" s="30"/>
      <c r="AE381" s="71"/>
      <c r="AF381" s="73"/>
    </row>
    <row r="382" ht="15.75" customHeight="1">
      <c r="X382" s="72"/>
      <c r="Y382" s="68"/>
      <c r="Z382" s="69"/>
      <c r="AA382" s="30"/>
      <c r="AB382" s="29"/>
      <c r="AC382" s="70"/>
      <c r="AD382" s="30"/>
      <c r="AE382" s="71"/>
      <c r="AF382" s="73"/>
    </row>
    <row r="383" ht="15.75" customHeight="1">
      <c r="X383" s="72"/>
      <c r="Y383" s="68"/>
      <c r="Z383" s="69"/>
      <c r="AA383" s="30"/>
      <c r="AB383" s="29"/>
      <c r="AC383" s="70"/>
      <c r="AD383" s="30"/>
      <c r="AE383" s="71"/>
      <c r="AF383" s="73"/>
    </row>
    <row r="384" ht="15.75" customHeight="1">
      <c r="X384" s="72"/>
      <c r="Y384" s="68"/>
      <c r="Z384" s="69"/>
      <c r="AA384" s="30"/>
      <c r="AB384" s="29"/>
      <c r="AC384" s="70"/>
      <c r="AD384" s="30"/>
      <c r="AE384" s="71"/>
      <c r="AF384" s="73"/>
    </row>
    <row r="385" ht="15.75" customHeight="1">
      <c r="X385" s="72"/>
      <c r="Y385" s="68"/>
      <c r="Z385" s="69"/>
      <c r="AA385" s="30"/>
      <c r="AB385" s="29"/>
      <c r="AC385" s="70"/>
      <c r="AD385" s="30"/>
      <c r="AE385" s="71"/>
      <c r="AF385" s="73"/>
    </row>
    <row r="386" ht="15.75" customHeight="1">
      <c r="X386" s="72"/>
      <c r="Y386" s="68"/>
      <c r="Z386" s="69"/>
      <c r="AA386" s="30"/>
      <c r="AB386" s="29"/>
      <c r="AC386" s="70"/>
      <c r="AD386" s="30"/>
      <c r="AE386" s="71"/>
      <c r="AF386" s="73"/>
    </row>
    <row r="387" ht="15.75" customHeight="1">
      <c r="X387" s="72"/>
      <c r="Y387" s="68"/>
      <c r="Z387" s="69"/>
      <c r="AA387" s="30"/>
      <c r="AB387" s="29"/>
      <c r="AC387" s="70"/>
      <c r="AD387" s="30"/>
      <c r="AE387" s="71"/>
      <c r="AF387" s="73"/>
    </row>
    <row r="388" ht="15.75" customHeight="1">
      <c r="X388" s="72"/>
      <c r="Y388" s="68"/>
      <c r="Z388" s="69"/>
      <c r="AA388" s="30"/>
      <c r="AB388" s="29"/>
      <c r="AC388" s="70"/>
      <c r="AD388" s="30"/>
      <c r="AE388" s="71"/>
      <c r="AF388" s="73"/>
    </row>
    <row r="389" ht="15.75" customHeight="1">
      <c r="X389" s="72"/>
      <c r="Y389" s="68"/>
      <c r="Z389" s="69"/>
      <c r="AA389" s="30"/>
      <c r="AB389" s="29"/>
      <c r="AC389" s="70"/>
      <c r="AD389" s="30"/>
      <c r="AE389" s="71"/>
      <c r="AF389" s="73"/>
    </row>
    <row r="390" ht="15.75" customHeight="1">
      <c r="X390" s="72"/>
      <c r="Y390" s="68"/>
      <c r="Z390" s="69"/>
      <c r="AA390" s="30"/>
      <c r="AB390" s="29"/>
      <c r="AC390" s="70"/>
      <c r="AD390" s="30"/>
      <c r="AE390" s="71"/>
      <c r="AF390" s="73"/>
    </row>
    <row r="391" ht="15.75" customHeight="1">
      <c r="X391" s="72"/>
      <c r="Y391" s="68"/>
      <c r="Z391" s="69"/>
      <c r="AA391" s="30"/>
      <c r="AB391" s="29"/>
      <c r="AC391" s="70"/>
      <c r="AD391" s="30"/>
      <c r="AE391" s="71"/>
      <c r="AF391" s="73"/>
    </row>
    <row r="392" ht="15.75" customHeight="1">
      <c r="X392" s="72"/>
      <c r="Y392" s="68"/>
      <c r="Z392" s="69"/>
      <c r="AA392" s="30"/>
      <c r="AB392" s="29"/>
      <c r="AC392" s="70"/>
      <c r="AD392" s="30"/>
      <c r="AE392" s="71"/>
      <c r="AF392" s="73"/>
    </row>
    <row r="393" ht="15.75" customHeight="1">
      <c r="X393" s="72"/>
      <c r="Y393" s="68"/>
      <c r="Z393" s="69"/>
      <c r="AA393" s="30"/>
      <c r="AB393" s="29"/>
      <c r="AC393" s="70"/>
      <c r="AD393" s="30"/>
      <c r="AE393" s="71"/>
      <c r="AF393" s="73"/>
    </row>
    <row r="394" ht="15.75" customHeight="1">
      <c r="X394" s="72"/>
      <c r="Y394" s="68"/>
      <c r="Z394" s="69"/>
      <c r="AA394" s="30"/>
      <c r="AB394" s="29"/>
      <c r="AC394" s="70"/>
      <c r="AD394" s="30"/>
      <c r="AE394" s="71"/>
      <c r="AF394" s="73"/>
    </row>
    <row r="395" ht="15.75" customHeight="1">
      <c r="X395" s="72"/>
      <c r="Y395" s="68"/>
      <c r="Z395" s="69"/>
      <c r="AA395" s="30"/>
      <c r="AB395" s="29"/>
      <c r="AC395" s="70"/>
      <c r="AD395" s="30"/>
      <c r="AE395" s="71"/>
      <c r="AF395" s="73"/>
    </row>
    <row r="396" ht="15.75" customHeight="1">
      <c r="X396" s="72"/>
      <c r="Y396" s="68"/>
      <c r="Z396" s="69"/>
      <c r="AA396" s="30"/>
      <c r="AB396" s="29"/>
      <c r="AC396" s="70"/>
      <c r="AD396" s="30"/>
      <c r="AE396" s="71"/>
      <c r="AF396" s="73"/>
    </row>
    <row r="397" ht="15.75" customHeight="1">
      <c r="X397" s="72"/>
      <c r="Y397" s="68"/>
      <c r="Z397" s="69"/>
      <c r="AA397" s="30"/>
      <c r="AB397" s="29"/>
      <c r="AC397" s="70"/>
      <c r="AD397" s="30"/>
      <c r="AE397" s="71"/>
      <c r="AF397" s="73"/>
    </row>
    <row r="398" ht="15.75" customHeight="1">
      <c r="X398" s="72"/>
      <c r="Y398" s="68"/>
      <c r="Z398" s="69"/>
      <c r="AA398" s="30"/>
      <c r="AB398" s="29"/>
      <c r="AC398" s="70"/>
      <c r="AD398" s="30"/>
      <c r="AE398" s="71"/>
      <c r="AF398" s="73"/>
    </row>
    <row r="399" ht="15.75" customHeight="1">
      <c r="X399" s="72"/>
      <c r="Y399" s="68"/>
      <c r="Z399" s="69"/>
      <c r="AA399" s="30"/>
      <c r="AB399" s="29"/>
      <c r="AC399" s="70"/>
      <c r="AD399" s="30"/>
      <c r="AE399" s="71"/>
      <c r="AF399" s="73"/>
    </row>
    <row r="400" ht="15.75" customHeight="1">
      <c r="X400" s="72"/>
      <c r="Y400" s="68"/>
      <c r="Z400" s="69"/>
      <c r="AA400" s="30"/>
      <c r="AB400" s="29"/>
      <c r="AC400" s="70"/>
      <c r="AD400" s="30"/>
      <c r="AE400" s="71"/>
      <c r="AF400" s="73"/>
    </row>
    <row r="401" ht="15.75" customHeight="1">
      <c r="X401" s="72"/>
      <c r="Y401" s="68"/>
      <c r="Z401" s="69"/>
      <c r="AA401" s="30"/>
      <c r="AB401" s="29"/>
      <c r="AC401" s="70"/>
      <c r="AD401" s="30"/>
      <c r="AE401" s="71"/>
      <c r="AF401" s="73"/>
    </row>
    <row r="402" ht="15.75" customHeight="1">
      <c r="X402" s="72"/>
      <c r="Y402" s="68"/>
      <c r="Z402" s="69"/>
      <c r="AA402" s="30"/>
      <c r="AB402" s="29"/>
      <c r="AC402" s="70"/>
      <c r="AD402" s="30"/>
      <c r="AE402" s="71"/>
      <c r="AF402" s="73"/>
    </row>
    <row r="403" ht="15.75" customHeight="1">
      <c r="X403" s="72"/>
      <c r="Y403" s="68"/>
      <c r="Z403" s="69"/>
      <c r="AA403" s="30"/>
      <c r="AB403" s="29"/>
      <c r="AC403" s="70"/>
      <c r="AD403" s="30"/>
      <c r="AE403" s="71"/>
      <c r="AF403" s="73"/>
    </row>
    <row r="404" ht="15.75" customHeight="1">
      <c r="X404" s="72"/>
      <c r="Y404" s="68"/>
      <c r="Z404" s="69"/>
      <c r="AA404" s="30"/>
      <c r="AB404" s="29"/>
      <c r="AC404" s="70"/>
      <c r="AD404" s="30"/>
      <c r="AE404" s="71"/>
      <c r="AF404" s="73"/>
    </row>
    <row r="405" ht="15.75" customHeight="1">
      <c r="X405" s="72"/>
      <c r="Y405" s="68"/>
      <c r="Z405" s="69"/>
      <c r="AA405" s="30"/>
      <c r="AB405" s="29"/>
      <c r="AC405" s="70"/>
      <c r="AD405" s="30"/>
      <c r="AE405" s="71"/>
      <c r="AF405" s="73"/>
    </row>
    <row r="406" ht="15.75" customHeight="1">
      <c r="X406" s="72"/>
      <c r="Y406" s="68"/>
      <c r="Z406" s="69"/>
      <c r="AA406" s="30"/>
      <c r="AB406" s="29"/>
      <c r="AC406" s="70"/>
      <c r="AD406" s="30"/>
      <c r="AE406" s="71"/>
      <c r="AF406" s="73"/>
    </row>
    <row r="407" ht="15.75" customHeight="1">
      <c r="X407" s="72"/>
      <c r="Y407" s="68"/>
      <c r="Z407" s="69"/>
      <c r="AA407" s="30"/>
      <c r="AB407" s="29"/>
      <c r="AC407" s="70"/>
      <c r="AD407" s="30"/>
      <c r="AE407" s="71"/>
      <c r="AF407" s="73"/>
    </row>
    <row r="408" ht="15.75" customHeight="1">
      <c r="X408" s="72"/>
      <c r="Y408" s="68"/>
      <c r="Z408" s="69"/>
      <c r="AA408" s="30"/>
      <c r="AB408" s="29"/>
      <c r="AC408" s="70"/>
      <c r="AD408" s="30"/>
      <c r="AE408" s="71"/>
      <c r="AF408" s="73"/>
    </row>
    <row r="409" ht="15.75" customHeight="1">
      <c r="X409" s="72"/>
      <c r="Y409" s="68"/>
      <c r="Z409" s="69"/>
      <c r="AA409" s="30"/>
      <c r="AB409" s="29"/>
      <c r="AC409" s="70"/>
      <c r="AD409" s="30"/>
      <c r="AE409" s="71"/>
      <c r="AF409" s="73"/>
    </row>
    <row r="410" ht="15.75" customHeight="1">
      <c r="X410" s="72"/>
      <c r="Y410" s="68"/>
      <c r="Z410" s="69"/>
      <c r="AA410" s="30"/>
      <c r="AB410" s="29"/>
      <c r="AC410" s="70"/>
      <c r="AD410" s="30"/>
      <c r="AE410" s="71"/>
      <c r="AF410" s="73"/>
    </row>
    <row r="411" ht="15.75" customHeight="1">
      <c r="X411" s="72"/>
      <c r="Y411" s="68"/>
      <c r="Z411" s="69"/>
      <c r="AA411" s="30"/>
      <c r="AB411" s="29"/>
      <c r="AC411" s="70"/>
      <c r="AD411" s="30"/>
      <c r="AE411" s="71"/>
      <c r="AF411" s="73"/>
    </row>
    <row r="412" ht="15.75" customHeight="1">
      <c r="X412" s="72"/>
      <c r="Y412" s="68"/>
      <c r="Z412" s="69"/>
      <c r="AA412" s="30"/>
      <c r="AB412" s="29"/>
      <c r="AC412" s="70"/>
      <c r="AD412" s="30"/>
      <c r="AE412" s="71"/>
      <c r="AF412" s="73"/>
    </row>
    <row r="413" ht="15.75" customHeight="1">
      <c r="X413" s="72"/>
      <c r="Y413" s="68"/>
      <c r="Z413" s="69"/>
      <c r="AA413" s="30"/>
      <c r="AB413" s="29"/>
      <c r="AC413" s="70"/>
      <c r="AD413" s="30"/>
      <c r="AE413" s="71"/>
      <c r="AF413" s="73"/>
    </row>
    <row r="414" ht="15.75" customHeight="1">
      <c r="X414" s="72"/>
      <c r="Y414" s="68"/>
      <c r="Z414" s="69"/>
      <c r="AA414" s="30"/>
      <c r="AB414" s="29"/>
      <c r="AC414" s="70"/>
      <c r="AD414" s="30"/>
      <c r="AE414" s="71"/>
      <c r="AF414" s="73"/>
    </row>
    <row r="415" ht="15.75" customHeight="1">
      <c r="X415" s="72"/>
      <c r="Y415" s="68"/>
      <c r="Z415" s="69"/>
      <c r="AA415" s="30"/>
      <c r="AB415" s="29"/>
      <c r="AC415" s="70"/>
      <c r="AD415" s="30"/>
      <c r="AE415" s="71"/>
      <c r="AF415" s="73"/>
    </row>
    <row r="416" ht="15.75" customHeight="1">
      <c r="X416" s="72"/>
      <c r="Y416" s="68"/>
      <c r="Z416" s="69"/>
      <c r="AA416" s="30"/>
      <c r="AB416" s="29"/>
      <c r="AC416" s="70"/>
      <c r="AD416" s="30"/>
      <c r="AE416" s="71"/>
      <c r="AF416" s="73"/>
    </row>
    <row r="417" ht="15.75" customHeight="1">
      <c r="X417" s="72"/>
      <c r="Y417" s="68"/>
      <c r="Z417" s="69"/>
      <c r="AA417" s="30"/>
      <c r="AB417" s="29"/>
      <c r="AC417" s="70"/>
      <c r="AD417" s="30"/>
      <c r="AE417" s="71"/>
      <c r="AF417" s="73"/>
    </row>
    <row r="418" ht="15.75" customHeight="1">
      <c r="X418" s="72"/>
      <c r="Y418" s="68"/>
      <c r="Z418" s="69"/>
      <c r="AA418" s="30"/>
      <c r="AB418" s="29"/>
      <c r="AC418" s="70"/>
      <c r="AD418" s="30"/>
      <c r="AE418" s="71"/>
      <c r="AF418" s="73"/>
    </row>
    <row r="419" ht="15.75" customHeight="1">
      <c r="X419" s="72"/>
      <c r="Y419" s="68"/>
      <c r="Z419" s="69"/>
      <c r="AA419" s="30"/>
      <c r="AB419" s="29"/>
      <c r="AC419" s="70"/>
      <c r="AD419" s="30"/>
      <c r="AE419" s="71"/>
      <c r="AF419" s="73"/>
    </row>
    <row r="420" ht="15.75" customHeight="1">
      <c r="X420" s="72"/>
      <c r="Y420" s="68"/>
      <c r="Z420" s="69"/>
      <c r="AA420" s="30"/>
      <c r="AB420" s="29"/>
      <c r="AC420" s="70"/>
      <c r="AD420" s="30"/>
      <c r="AE420" s="71"/>
      <c r="AF420" s="73"/>
    </row>
    <row r="421" ht="15.75" customHeight="1">
      <c r="X421" s="72"/>
      <c r="Y421" s="68"/>
      <c r="Z421" s="69"/>
      <c r="AA421" s="30"/>
      <c r="AB421" s="29"/>
      <c r="AC421" s="70"/>
      <c r="AD421" s="30"/>
      <c r="AE421" s="71"/>
      <c r="AF421" s="73"/>
    </row>
    <row r="422" ht="15.75" customHeight="1">
      <c r="X422" s="72"/>
      <c r="Y422" s="68"/>
      <c r="Z422" s="69"/>
      <c r="AA422" s="30"/>
      <c r="AB422" s="29"/>
      <c r="AC422" s="70"/>
      <c r="AD422" s="30"/>
      <c r="AE422" s="71"/>
      <c r="AF422" s="73"/>
    </row>
    <row r="423" ht="15.75" customHeight="1">
      <c r="X423" s="72"/>
      <c r="Y423" s="68"/>
      <c r="Z423" s="69"/>
      <c r="AA423" s="30"/>
      <c r="AB423" s="29"/>
      <c r="AC423" s="70"/>
      <c r="AD423" s="30"/>
      <c r="AE423" s="71"/>
      <c r="AF423" s="73"/>
    </row>
    <row r="424" ht="15.75" customHeight="1">
      <c r="X424" s="72"/>
      <c r="Y424" s="68"/>
      <c r="Z424" s="69"/>
      <c r="AA424" s="30"/>
      <c r="AB424" s="29"/>
      <c r="AC424" s="70"/>
      <c r="AD424" s="30"/>
      <c r="AE424" s="71"/>
      <c r="AF424" s="73"/>
    </row>
    <row r="425" ht="15.75" customHeight="1">
      <c r="X425" s="72"/>
      <c r="Y425" s="68"/>
      <c r="Z425" s="69"/>
      <c r="AA425" s="30"/>
      <c r="AB425" s="29"/>
      <c r="AC425" s="70"/>
      <c r="AD425" s="30"/>
      <c r="AE425" s="71"/>
      <c r="AF425" s="73"/>
    </row>
    <row r="426" ht="15.75" customHeight="1">
      <c r="X426" s="72"/>
      <c r="Y426" s="68"/>
      <c r="Z426" s="69"/>
      <c r="AA426" s="30"/>
      <c r="AB426" s="29"/>
      <c r="AC426" s="70"/>
      <c r="AD426" s="30"/>
      <c r="AE426" s="71"/>
      <c r="AF426" s="73"/>
    </row>
    <row r="427" ht="15.75" customHeight="1">
      <c r="X427" s="72"/>
      <c r="Y427" s="68"/>
      <c r="Z427" s="69"/>
      <c r="AA427" s="30"/>
      <c r="AB427" s="29"/>
      <c r="AC427" s="70"/>
      <c r="AD427" s="30"/>
      <c r="AE427" s="71"/>
      <c r="AF427" s="73"/>
    </row>
    <row r="428" ht="15.75" customHeight="1">
      <c r="X428" s="72"/>
      <c r="Y428" s="68"/>
      <c r="Z428" s="69"/>
      <c r="AA428" s="30"/>
      <c r="AB428" s="29"/>
      <c r="AC428" s="70"/>
      <c r="AD428" s="30"/>
      <c r="AE428" s="71"/>
      <c r="AF428" s="73"/>
    </row>
    <row r="429" ht="15.75" customHeight="1">
      <c r="X429" s="72"/>
      <c r="Y429" s="68"/>
      <c r="Z429" s="69"/>
      <c r="AA429" s="30"/>
      <c r="AB429" s="29"/>
      <c r="AC429" s="70"/>
      <c r="AD429" s="30"/>
      <c r="AE429" s="71"/>
      <c r="AF429" s="73"/>
    </row>
    <row r="430" ht="15.75" customHeight="1">
      <c r="X430" s="72"/>
      <c r="Y430" s="68"/>
      <c r="Z430" s="69"/>
      <c r="AA430" s="30"/>
      <c r="AB430" s="29"/>
      <c r="AC430" s="70"/>
      <c r="AD430" s="30"/>
      <c r="AE430" s="71"/>
      <c r="AF430" s="73"/>
    </row>
    <row r="431" ht="15.75" customHeight="1">
      <c r="X431" s="72"/>
      <c r="Y431" s="68"/>
      <c r="Z431" s="69"/>
      <c r="AA431" s="30"/>
      <c r="AB431" s="29"/>
      <c r="AC431" s="70"/>
      <c r="AD431" s="30"/>
      <c r="AE431" s="71"/>
      <c r="AF431" s="73"/>
    </row>
    <row r="432" ht="15.75" customHeight="1">
      <c r="X432" s="72"/>
      <c r="Y432" s="68"/>
      <c r="Z432" s="69"/>
      <c r="AA432" s="30"/>
      <c r="AB432" s="29"/>
      <c r="AC432" s="70"/>
      <c r="AD432" s="30"/>
      <c r="AE432" s="71"/>
      <c r="AF432" s="73"/>
    </row>
    <row r="433" ht="15.75" customHeight="1">
      <c r="X433" s="72"/>
      <c r="Y433" s="68"/>
      <c r="Z433" s="69"/>
      <c r="AA433" s="30"/>
      <c r="AB433" s="29"/>
      <c r="AC433" s="70"/>
      <c r="AD433" s="30"/>
      <c r="AE433" s="71"/>
      <c r="AF433" s="73"/>
    </row>
    <row r="434" ht="15.75" customHeight="1">
      <c r="X434" s="72"/>
      <c r="Y434" s="68"/>
      <c r="Z434" s="69"/>
      <c r="AA434" s="30"/>
      <c r="AB434" s="29"/>
      <c r="AC434" s="70"/>
      <c r="AD434" s="30"/>
      <c r="AE434" s="71"/>
      <c r="AF434" s="73"/>
    </row>
    <row r="435" ht="15.75" customHeight="1">
      <c r="X435" s="72"/>
      <c r="Y435" s="68"/>
      <c r="Z435" s="69"/>
      <c r="AA435" s="30"/>
      <c r="AB435" s="29"/>
      <c r="AC435" s="70"/>
      <c r="AD435" s="30"/>
      <c r="AE435" s="71"/>
      <c r="AF435" s="73"/>
    </row>
    <row r="436" ht="15.75" customHeight="1">
      <c r="X436" s="72"/>
      <c r="Y436" s="68"/>
      <c r="Z436" s="69"/>
      <c r="AA436" s="30"/>
      <c r="AB436" s="29"/>
      <c r="AC436" s="70"/>
      <c r="AD436" s="30"/>
      <c r="AE436" s="71"/>
      <c r="AF436" s="73"/>
    </row>
    <row r="437" ht="15.75" customHeight="1">
      <c r="X437" s="72"/>
      <c r="Y437" s="68"/>
      <c r="Z437" s="69"/>
      <c r="AA437" s="30"/>
      <c r="AB437" s="29"/>
      <c r="AC437" s="70"/>
      <c r="AD437" s="30"/>
      <c r="AE437" s="71"/>
      <c r="AF437" s="73"/>
    </row>
    <row r="438" ht="15.75" customHeight="1">
      <c r="X438" s="72"/>
      <c r="Y438" s="68"/>
      <c r="Z438" s="69"/>
      <c r="AA438" s="30"/>
      <c r="AB438" s="29"/>
      <c r="AC438" s="70"/>
      <c r="AD438" s="30"/>
      <c r="AE438" s="71"/>
      <c r="AF438" s="73"/>
    </row>
    <row r="439" ht="15.75" customHeight="1">
      <c r="X439" s="72"/>
      <c r="Y439" s="68"/>
      <c r="Z439" s="69"/>
      <c r="AA439" s="30"/>
      <c r="AB439" s="29"/>
      <c r="AC439" s="70"/>
      <c r="AD439" s="30"/>
      <c r="AE439" s="71"/>
      <c r="AF439" s="73"/>
    </row>
    <row r="440" ht="15.75" customHeight="1">
      <c r="X440" s="72"/>
      <c r="Y440" s="68"/>
      <c r="Z440" s="69"/>
      <c r="AA440" s="30"/>
      <c r="AB440" s="29"/>
      <c r="AC440" s="70"/>
      <c r="AD440" s="30"/>
      <c r="AE440" s="71"/>
      <c r="AF440" s="73"/>
    </row>
    <row r="441" ht="15.75" customHeight="1">
      <c r="X441" s="72"/>
      <c r="Y441" s="68"/>
      <c r="Z441" s="69"/>
      <c r="AA441" s="30"/>
      <c r="AB441" s="29"/>
      <c r="AC441" s="70"/>
      <c r="AD441" s="30"/>
      <c r="AE441" s="71"/>
      <c r="AF441" s="73"/>
    </row>
    <row r="442" ht="15.75" customHeight="1">
      <c r="X442" s="72"/>
      <c r="Y442" s="68"/>
      <c r="Z442" s="69"/>
      <c r="AA442" s="30"/>
      <c r="AB442" s="29"/>
      <c r="AC442" s="70"/>
      <c r="AD442" s="30"/>
      <c r="AE442" s="71"/>
      <c r="AF442" s="73"/>
    </row>
    <row r="443" ht="15.75" customHeight="1">
      <c r="X443" s="72"/>
      <c r="Y443" s="68"/>
      <c r="Z443" s="69"/>
      <c r="AA443" s="30"/>
      <c r="AB443" s="29"/>
      <c r="AC443" s="70"/>
      <c r="AD443" s="30"/>
      <c r="AE443" s="71"/>
      <c r="AF443" s="73"/>
    </row>
    <row r="444" ht="15.75" customHeight="1">
      <c r="X444" s="72"/>
      <c r="Y444" s="68"/>
      <c r="Z444" s="69"/>
      <c r="AA444" s="30"/>
      <c r="AB444" s="29"/>
      <c r="AC444" s="70"/>
      <c r="AD444" s="30"/>
      <c r="AE444" s="71"/>
      <c r="AF444" s="73"/>
    </row>
    <row r="445" ht="15.75" customHeight="1">
      <c r="X445" s="72"/>
      <c r="Y445" s="68"/>
      <c r="Z445" s="69"/>
      <c r="AA445" s="30"/>
      <c r="AB445" s="29"/>
      <c r="AC445" s="70"/>
      <c r="AD445" s="30"/>
      <c r="AE445" s="71"/>
      <c r="AF445" s="73"/>
    </row>
    <row r="446" ht="15.75" customHeight="1">
      <c r="X446" s="72"/>
      <c r="Y446" s="68"/>
      <c r="Z446" s="69"/>
      <c r="AA446" s="30"/>
      <c r="AB446" s="29"/>
      <c r="AC446" s="70"/>
      <c r="AD446" s="30"/>
      <c r="AE446" s="71"/>
      <c r="AF446" s="73"/>
    </row>
    <row r="447" ht="15.75" customHeight="1">
      <c r="X447" s="72"/>
      <c r="Y447" s="68"/>
      <c r="Z447" s="69"/>
      <c r="AA447" s="30"/>
      <c r="AB447" s="29"/>
      <c r="AC447" s="70"/>
      <c r="AD447" s="30"/>
      <c r="AE447" s="71"/>
      <c r="AF447" s="73"/>
    </row>
    <row r="448" ht="15.75" customHeight="1">
      <c r="X448" s="72"/>
      <c r="Y448" s="68"/>
      <c r="Z448" s="69"/>
      <c r="AA448" s="30"/>
      <c r="AB448" s="29"/>
      <c r="AC448" s="70"/>
      <c r="AD448" s="30"/>
      <c r="AE448" s="71"/>
      <c r="AF448" s="73"/>
    </row>
    <row r="449" ht="15.75" customHeight="1">
      <c r="X449" s="72"/>
      <c r="Y449" s="68"/>
      <c r="Z449" s="69"/>
      <c r="AA449" s="30"/>
      <c r="AB449" s="29"/>
      <c r="AC449" s="70"/>
      <c r="AD449" s="30"/>
      <c r="AE449" s="71"/>
      <c r="AF449" s="73"/>
    </row>
    <row r="450" ht="15.75" customHeight="1">
      <c r="X450" s="72"/>
      <c r="Y450" s="68"/>
      <c r="Z450" s="69"/>
      <c r="AA450" s="30"/>
      <c r="AB450" s="29"/>
      <c r="AC450" s="70"/>
      <c r="AD450" s="30"/>
      <c r="AE450" s="71"/>
      <c r="AF450" s="73"/>
    </row>
    <row r="451" ht="15.75" customHeight="1">
      <c r="X451" s="72"/>
      <c r="Y451" s="68"/>
      <c r="Z451" s="69"/>
      <c r="AA451" s="30"/>
      <c r="AB451" s="29"/>
      <c r="AC451" s="70"/>
      <c r="AD451" s="30"/>
      <c r="AE451" s="71"/>
      <c r="AF451" s="73"/>
    </row>
    <row r="452" ht="15.75" customHeight="1">
      <c r="X452" s="72"/>
      <c r="Y452" s="68"/>
      <c r="Z452" s="69"/>
      <c r="AA452" s="30"/>
      <c r="AB452" s="29"/>
      <c r="AC452" s="70"/>
      <c r="AD452" s="30"/>
      <c r="AE452" s="71"/>
      <c r="AF452" s="73"/>
    </row>
    <row r="453" ht="15.75" customHeight="1">
      <c r="X453" s="72"/>
      <c r="Y453" s="68"/>
      <c r="Z453" s="69"/>
      <c r="AA453" s="30"/>
      <c r="AB453" s="29"/>
      <c r="AC453" s="70"/>
      <c r="AD453" s="30"/>
      <c r="AE453" s="71"/>
      <c r="AF453" s="73"/>
    </row>
    <row r="454" ht="15.75" customHeight="1">
      <c r="X454" s="72"/>
      <c r="Y454" s="68"/>
      <c r="Z454" s="69"/>
      <c r="AA454" s="30"/>
      <c r="AB454" s="29"/>
      <c r="AC454" s="70"/>
      <c r="AD454" s="30"/>
      <c r="AE454" s="71"/>
      <c r="AF454" s="73"/>
    </row>
    <row r="455" ht="15.75" customHeight="1">
      <c r="X455" s="72"/>
      <c r="Y455" s="68"/>
      <c r="Z455" s="69"/>
      <c r="AA455" s="30"/>
      <c r="AB455" s="29"/>
      <c r="AC455" s="70"/>
      <c r="AD455" s="30"/>
      <c r="AE455" s="71"/>
      <c r="AF455" s="73"/>
    </row>
    <row r="456" ht="15.75" customHeight="1">
      <c r="X456" s="72"/>
      <c r="Y456" s="68"/>
      <c r="Z456" s="69"/>
      <c r="AA456" s="30"/>
      <c r="AB456" s="29"/>
      <c r="AC456" s="70"/>
      <c r="AD456" s="30"/>
      <c r="AE456" s="71"/>
      <c r="AF456" s="73"/>
    </row>
    <row r="457" ht="15.75" customHeight="1">
      <c r="X457" s="72"/>
      <c r="Y457" s="68"/>
      <c r="Z457" s="69"/>
      <c r="AA457" s="30"/>
      <c r="AB457" s="29"/>
      <c r="AC457" s="70"/>
      <c r="AD457" s="30"/>
      <c r="AE457" s="71"/>
      <c r="AF457" s="73"/>
    </row>
    <row r="458" ht="15.75" customHeight="1">
      <c r="X458" s="72"/>
      <c r="Y458" s="68"/>
      <c r="Z458" s="69"/>
      <c r="AA458" s="30"/>
      <c r="AB458" s="29"/>
      <c r="AC458" s="70"/>
      <c r="AD458" s="30"/>
      <c r="AE458" s="71"/>
      <c r="AF458" s="73"/>
    </row>
    <row r="459" ht="15.75" customHeight="1">
      <c r="X459" s="72"/>
      <c r="Y459" s="68"/>
      <c r="Z459" s="69"/>
      <c r="AA459" s="30"/>
      <c r="AB459" s="29"/>
      <c r="AC459" s="70"/>
      <c r="AD459" s="30"/>
      <c r="AE459" s="71"/>
      <c r="AF459" s="73"/>
    </row>
    <row r="460" ht="15.75" customHeight="1">
      <c r="X460" s="72"/>
      <c r="Y460" s="68"/>
      <c r="Z460" s="69"/>
      <c r="AA460" s="30"/>
      <c r="AB460" s="29"/>
      <c r="AC460" s="70"/>
      <c r="AD460" s="30"/>
      <c r="AE460" s="71"/>
      <c r="AF460" s="73"/>
    </row>
    <row r="461" ht="15.75" customHeight="1">
      <c r="X461" s="72"/>
      <c r="Y461" s="68"/>
      <c r="Z461" s="69"/>
      <c r="AA461" s="30"/>
      <c r="AB461" s="29"/>
      <c r="AC461" s="70"/>
      <c r="AD461" s="30"/>
      <c r="AE461" s="71"/>
      <c r="AF461" s="73"/>
    </row>
    <row r="462" ht="15.75" customHeight="1">
      <c r="X462" s="72"/>
      <c r="Y462" s="68"/>
      <c r="Z462" s="69"/>
      <c r="AA462" s="30"/>
      <c r="AB462" s="29"/>
      <c r="AC462" s="70"/>
      <c r="AD462" s="30"/>
      <c r="AE462" s="71"/>
      <c r="AF462" s="73"/>
    </row>
    <row r="463" ht="15.75" customHeight="1">
      <c r="X463" s="72"/>
      <c r="Y463" s="68"/>
      <c r="Z463" s="69"/>
      <c r="AA463" s="30"/>
      <c r="AB463" s="29"/>
      <c r="AC463" s="70"/>
      <c r="AD463" s="30"/>
      <c r="AE463" s="71"/>
      <c r="AF463" s="73"/>
    </row>
    <row r="464" ht="15.75" customHeight="1">
      <c r="X464" s="72"/>
      <c r="Y464" s="68"/>
      <c r="Z464" s="69"/>
      <c r="AA464" s="30"/>
      <c r="AB464" s="29"/>
      <c r="AC464" s="70"/>
      <c r="AD464" s="30"/>
      <c r="AE464" s="71"/>
      <c r="AF464" s="73"/>
    </row>
    <row r="465" ht="15.75" customHeight="1">
      <c r="X465" s="72"/>
      <c r="Y465" s="68"/>
      <c r="Z465" s="69"/>
      <c r="AA465" s="30"/>
      <c r="AB465" s="29"/>
      <c r="AC465" s="70"/>
      <c r="AD465" s="30"/>
      <c r="AE465" s="71"/>
      <c r="AF465" s="73"/>
    </row>
    <row r="466" ht="15.75" customHeight="1">
      <c r="X466" s="72"/>
      <c r="Y466" s="68"/>
      <c r="Z466" s="69"/>
      <c r="AA466" s="30"/>
      <c r="AB466" s="29"/>
      <c r="AC466" s="70"/>
      <c r="AD466" s="30"/>
      <c r="AE466" s="71"/>
      <c r="AF466" s="73"/>
    </row>
    <row r="467" ht="15.75" customHeight="1">
      <c r="X467" s="72"/>
      <c r="Y467" s="68"/>
      <c r="Z467" s="69"/>
      <c r="AA467" s="30"/>
      <c r="AB467" s="29"/>
      <c r="AC467" s="70"/>
      <c r="AD467" s="30"/>
      <c r="AE467" s="71"/>
      <c r="AF467" s="73"/>
    </row>
    <row r="468" ht="15.75" customHeight="1">
      <c r="X468" s="72"/>
      <c r="Y468" s="68"/>
      <c r="Z468" s="69"/>
      <c r="AA468" s="30"/>
      <c r="AB468" s="29"/>
      <c r="AC468" s="70"/>
      <c r="AD468" s="30"/>
      <c r="AE468" s="71"/>
      <c r="AF468" s="73"/>
    </row>
    <row r="469" ht="15.75" customHeight="1">
      <c r="X469" s="72"/>
      <c r="Y469" s="68"/>
      <c r="Z469" s="69"/>
      <c r="AA469" s="30"/>
      <c r="AB469" s="29"/>
      <c r="AC469" s="70"/>
      <c r="AD469" s="30"/>
      <c r="AE469" s="71"/>
      <c r="AF469" s="73"/>
    </row>
    <row r="470" ht="15.75" customHeight="1">
      <c r="X470" s="72"/>
      <c r="Y470" s="68"/>
      <c r="Z470" s="69"/>
      <c r="AA470" s="30"/>
      <c r="AB470" s="29"/>
      <c r="AC470" s="70"/>
      <c r="AD470" s="30"/>
      <c r="AE470" s="71"/>
      <c r="AF470" s="73"/>
    </row>
    <row r="471" ht="15.75" customHeight="1">
      <c r="X471" s="72"/>
      <c r="Y471" s="68"/>
      <c r="Z471" s="69"/>
      <c r="AA471" s="30"/>
      <c r="AB471" s="29"/>
      <c r="AC471" s="70"/>
      <c r="AD471" s="30"/>
      <c r="AE471" s="71"/>
      <c r="AF471" s="73"/>
    </row>
    <row r="472" ht="15.75" customHeight="1">
      <c r="X472" s="72"/>
      <c r="Y472" s="68"/>
      <c r="Z472" s="69"/>
      <c r="AA472" s="30"/>
      <c r="AB472" s="29"/>
      <c r="AC472" s="70"/>
      <c r="AD472" s="30"/>
      <c r="AE472" s="71"/>
      <c r="AF472" s="73"/>
    </row>
    <row r="473" ht="15.75" customHeight="1">
      <c r="X473" s="72"/>
      <c r="Y473" s="68"/>
      <c r="Z473" s="69"/>
      <c r="AA473" s="30"/>
      <c r="AB473" s="29"/>
      <c r="AC473" s="70"/>
      <c r="AD473" s="30"/>
      <c r="AE473" s="71"/>
      <c r="AF473" s="73"/>
    </row>
    <row r="474" ht="15.75" customHeight="1">
      <c r="X474" s="72"/>
      <c r="Y474" s="68"/>
      <c r="Z474" s="69"/>
      <c r="AA474" s="30"/>
      <c r="AB474" s="29"/>
      <c r="AC474" s="70"/>
      <c r="AD474" s="30"/>
      <c r="AE474" s="71"/>
      <c r="AF474" s="73"/>
    </row>
    <row r="475" ht="15.75" customHeight="1">
      <c r="X475" s="72"/>
      <c r="Y475" s="68"/>
      <c r="Z475" s="69"/>
      <c r="AA475" s="30"/>
      <c r="AB475" s="29"/>
      <c r="AC475" s="70"/>
      <c r="AD475" s="30"/>
      <c r="AE475" s="71"/>
      <c r="AF475" s="73"/>
    </row>
    <row r="476" ht="15.75" customHeight="1">
      <c r="X476" s="72"/>
      <c r="Y476" s="68"/>
      <c r="Z476" s="69"/>
      <c r="AA476" s="30"/>
      <c r="AB476" s="29"/>
      <c r="AC476" s="70"/>
      <c r="AD476" s="30"/>
      <c r="AE476" s="71"/>
      <c r="AF476" s="73"/>
    </row>
    <row r="477" ht="15.75" customHeight="1">
      <c r="X477" s="72"/>
      <c r="Y477" s="68"/>
      <c r="Z477" s="69"/>
      <c r="AA477" s="30"/>
      <c r="AB477" s="29"/>
      <c r="AC477" s="70"/>
      <c r="AD477" s="30"/>
      <c r="AE477" s="71"/>
      <c r="AF477" s="73"/>
    </row>
    <row r="478" ht="15.75" customHeight="1">
      <c r="X478" s="72"/>
      <c r="Y478" s="68"/>
      <c r="Z478" s="69"/>
      <c r="AA478" s="30"/>
      <c r="AB478" s="29"/>
      <c r="AC478" s="70"/>
      <c r="AD478" s="30"/>
      <c r="AE478" s="71"/>
      <c r="AF478" s="73"/>
    </row>
    <row r="479" ht="15.75" customHeight="1">
      <c r="X479" s="72"/>
      <c r="Y479" s="68"/>
      <c r="Z479" s="69"/>
      <c r="AA479" s="30"/>
      <c r="AB479" s="29"/>
      <c r="AC479" s="70"/>
      <c r="AD479" s="30"/>
      <c r="AE479" s="71"/>
      <c r="AF479" s="73"/>
    </row>
    <row r="480" ht="15.75" customHeight="1">
      <c r="X480" s="72"/>
      <c r="Y480" s="68"/>
      <c r="Z480" s="69"/>
      <c r="AA480" s="30"/>
      <c r="AB480" s="29"/>
      <c r="AC480" s="70"/>
      <c r="AD480" s="30"/>
      <c r="AE480" s="71"/>
      <c r="AF480" s="73"/>
    </row>
    <row r="481" ht="15.75" customHeight="1">
      <c r="X481" s="72"/>
      <c r="Y481" s="68"/>
      <c r="Z481" s="69"/>
      <c r="AA481" s="30"/>
      <c r="AB481" s="29"/>
      <c r="AC481" s="70"/>
      <c r="AD481" s="30"/>
      <c r="AE481" s="71"/>
      <c r="AF481" s="73"/>
    </row>
    <row r="482" ht="15.75" customHeight="1">
      <c r="X482" s="72"/>
      <c r="Y482" s="68"/>
      <c r="Z482" s="69"/>
      <c r="AA482" s="30"/>
      <c r="AB482" s="29"/>
      <c r="AC482" s="70"/>
      <c r="AD482" s="30"/>
      <c r="AE482" s="71"/>
      <c r="AF482" s="73"/>
    </row>
    <row r="483" ht="15.75" customHeight="1">
      <c r="X483" s="72"/>
      <c r="Y483" s="68"/>
      <c r="Z483" s="69"/>
      <c r="AA483" s="30"/>
      <c r="AB483" s="29"/>
      <c r="AC483" s="70"/>
      <c r="AD483" s="30"/>
      <c r="AE483" s="71"/>
      <c r="AF483" s="73"/>
    </row>
    <row r="484" ht="15.75" customHeight="1">
      <c r="X484" s="72"/>
      <c r="Y484" s="68"/>
      <c r="Z484" s="69"/>
      <c r="AA484" s="30"/>
      <c r="AB484" s="29"/>
      <c r="AC484" s="70"/>
      <c r="AD484" s="30"/>
      <c r="AE484" s="71"/>
      <c r="AF484" s="73"/>
    </row>
    <row r="485" ht="15.75" customHeight="1">
      <c r="X485" s="72"/>
      <c r="Y485" s="68"/>
      <c r="Z485" s="69"/>
      <c r="AA485" s="30"/>
      <c r="AB485" s="29"/>
      <c r="AC485" s="70"/>
      <c r="AD485" s="30"/>
      <c r="AE485" s="71"/>
      <c r="AF485" s="73"/>
    </row>
    <row r="486" ht="15.75" customHeight="1">
      <c r="X486" s="72"/>
      <c r="Y486" s="68"/>
      <c r="Z486" s="69"/>
      <c r="AA486" s="30"/>
      <c r="AB486" s="29"/>
      <c r="AC486" s="70"/>
      <c r="AD486" s="30"/>
      <c r="AE486" s="71"/>
      <c r="AF486" s="73"/>
    </row>
    <row r="487" ht="15.75" customHeight="1">
      <c r="X487" s="72"/>
      <c r="Y487" s="68"/>
      <c r="Z487" s="69"/>
      <c r="AA487" s="30"/>
      <c r="AB487" s="29"/>
      <c r="AC487" s="70"/>
      <c r="AD487" s="30"/>
      <c r="AE487" s="71"/>
      <c r="AF487" s="73"/>
    </row>
    <row r="488" ht="15.75" customHeight="1">
      <c r="X488" s="72"/>
      <c r="Y488" s="68"/>
      <c r="Z488" s="69"/>
      <c r="AA488" s="30"/>
      <c r="AB488" s="29"/>
      <c r="AC488" s="70"/>
      <c r="AD488" s="30"/>
      <c r="AE488" s="71"/>
      <c r="AF488" s="73"/>
    </row>
    <row r="489" ht="15.75" customHeight="1">
      <c r="X489" s="72"/>
      <c r="Y489" s="68"/>
      <c r="Z489" s="69"/>
      <c r="AA489" s="30"/>
      <c r="AB489" s="29"/>
      <c r="AC489" s="70"/>
      <c r="AD489" s="30"/>
      <c r="AE489" s="71"/>
      <c r="AF489" s="73"/>
    </row>
    <row r="490" ht="15.75" customHeight="1">
      <c r="X490" s="72"/>
      <c r="Y490" s="68"/>
      <c r="Z490" s="69"/>
      <c r="AA490" s="30"/>
      <c r="AB490" s="29"/>
      <c r="AC490" s="70"/>
      <c r="AD490" s="30"/>
      <c r="AE490" s="71"/>
      <c r="AF490" s="73"/>
    </row>
    <row r="491" ht="15.75" customHeight="1">
      <c r="X491" s="72"/>
      <c r="Y491" s="68"/>
      <c r="Z491" s="69"/>
      <c r="AA491" s="30"/>
      <c r="AB491" s="29"/>
      <c r="AC491" s="70"/>
      <c r="AD491" s="30"/>
      <c r="AE491" s="71"/>
      <c r="AF491" s="73"/>
    </row>
    <row r="492" ht="15.75" customHeight="1">
      <c r="X492" s="72"/>
      <c r="Y492" s="68"/>
      <c r="Z492" s="69"/>
      <c r="AA492" s="30"/>
      <c r="AB492" s="29"/>
      <c r="AC492" s="70"/>
      <c r="AD492" s="30"/>
      <c r="AE492" s="71"/>
      <c r="AF492" s="73"/>
    </row>
    <row r="493" ht="15.75" customHeight="1">
      <c r="X493" s="72"/>
      <c r="Y493" s="68"/>
      <c r="Z493" s="69"/>
      <c r="AA493" s="30"/>
      <c r="AB493" s="29"/>
      <c r="AC493" s="70"/>
      <c r="AD493" s="30"/>
      <c r="AE493" s="71"/>
      <c r="AF493" s="73"/>
    </row>
    <row r="494" ht="15.75" customHeight="1">
      <c r="X494" s="72"/>
      <c r="Y494" s="68"/>
      <c r="Z494" s="69"/>
      <c r="AA494" s="30"/>
      <c r="AB494" s="29"/>
      <c r="AC494" s="70"/>
      <c r="AD494" s="30"/>
      <c r="AE494" s="71"/>
      <c r="AF494" s="73"/>
    </row>
    <row r="495" ht="15.75" customHeight="1">
      <c r="X495" s="72"/>
      <c r="Y495" s="68"/>
      <c r="Z495" s="69"/>
      <c r="AA495" s="30"/>
      <c r="AB495" s="29"/>
      <c r="AC495" s="70"/>
      <c r="AD495" s="30"/>
      <c r="AE495" s="71"/>
      <c r="AF495" s="73"/>
    </row>
    <row r="496" ht="15.75" customHeight="1">
      <c r="X496" s="72"/>
      <c r="Y496" s="68"/>
      <c r="Z496" s="69"/>
      <c r="AA496" s="30"/>
      <c r="AB496" s="29"/>
      <c r="AC496" s="70"/>
      <c r="AD496" s="30"/>
      <c r="AE496" s="71"/>
      <c r="AF496" s="73"/>
    </row>
    <row r="497" ht="15.75" customHeight="1">
      <c r="X497" s="72"/>
      <c r="Y497" s="68"/>
      <c r="Z497" s="69"/>
      <c r="AA497" s="30"/>
      <c r="AB497" s="29"/>
      <c r="AC497" s="70"/>
      <c r="AD497" s="30"/>
      <c r="AE497" s="71"/>
      <c r="AF497" s="73"/>
    </row>
    <row r="498" ht="15.75" customHeight="1">
      <c r="X498" s="72"/>
      <c r="Y498" s="68"/>
      <c r="Z498" s="69"/>
      <c r="AA498" s="30"/>
      <c r="AB498" s="29"/>
      <c r="AC498" s="70"/>
      <c r="AD498" s="30"/>
      <c r="AE498" s="71"/>
      <c r="AF498" s="73"/>
    </row>
    <row r="499" ht="15.75" customHeight="1">
      <c r="X499" s="72"/>
      <c r="Y499" s="68"/>
      <c r="Z499" s="69"/>
      <c r="AA499" s="30"/>
      <c r="AB499" s="29"/>
      <c r="AC499" s="70"/>
      <c r="AD499" s="30"/>
      <c r="AE499" s="71"/>
      <c r="AF499" s="73"/>
    </row>
    <row r="500" ht="15.75" customHeight="1">
      <c r="X500" s="72"/>
      <c r="Y500" s="68"/>
      <c r="Z500" s="69"/>
      <c r="AA500" s="30"/>
      <c r="AB500" s="29"/>
      <c r="AC500" s="70"/>
      <c r="AD500" s="30"/>
      <c r="AE500" s="71"/>
      <c r="AF500" s="73"/>
    </row>
    <row r="501" ht="15.75" customHeight="1">
      <c r="X501" s="72"/>
      <c r="Y501" s="68"/>
      <c r="Z501" s="69"/>
      <c r="AA501" s="30"/>
      <c r="AB501" s="29"/>
      <c r="AC501" s="70"/>
      <c r="AD501" s="30"/>
      <c r="AE501" s="71"/>
      <c r="AF501" s="73"/>
    </row>
    <row r="502" ht="15.75" customHeight="1">
      <c r="X502" s="72"/>
      <c r="Y502" s="68"/>
      <c r="Z502" s="69"/>
      <c r="AA502" s="30"/>
      <c r="AB502" s="29"/>
      <c r="AC502" s="70"/>
      <c r="AD502" s="30"/>
      <c r="AE502" s="71"/>
      <c r="AF502" s="73"/>
    </row>
    <row r="503" ht="15.75" customHeight="1">
      <c r="X503" s="72"/>
      <c r="Y503" s="68"/>
      <c r="Z503" s="69"/>
      <c r="AA503" s="30"/>
      <c r="AB503" s="29"/>
      <c r="AC503" s="70"/>
      <c r="AD503" s="30"/>
      <c r="AE503" s="71"/>
      <c r="AF503" s="73"/>
    </row>
    <row r="504" ht="15.75" customHeight="1">
      <c r="X504" s="72"/>
      <c r="Y504" s="68"/>
      <c r="Z504" s="69"/>
      <c r="AA504" s="30"/>
      <c r="AB504" s="29"/>
      <c r="AC504" s="70"/>
      <c r="AD504" s="30"/>
      <c r="AE504" s="71"/>
      <c r="AF504" s="73"/>
    </row>
    <row r="505" ht="15.75" customHeight="1">
      <c r="X505" s="72"/>
      <c r="Y505" s="68"/>
      <c r="Z505" s="69"/>
      <c r="AA505" s="30"/>
      <c r="AB505" s="29"/>
      <c r="AC505" s="70"/>
      <c r="AD505" s="30"/>
      <c r="AE505" s="71"/>
      <c r="AF505" s="73"/>
    </row>
    <row r="506" ht="15.75" customHeight="1">
      <c r="X506" s="72"/>
      <c r="Y506" s="68"/>
      <c r="Z506" s="69"/>
      <c r="AA506" s="30"/>
      <c r="AB506" s="29"/>
      <c r="AC506" s="70"/>
      <c r="AD506" s="30"/>
      <c r="AE506" s="71"/>
      <c r="AF506" s="73"/>
    </row>
    <row r="507" ht="15.75" customHeight="1">
      <c r="X507" s="72"/>
      <c r="Y507" s="68"/>
      <c r="Z507" s="69"/>
      <c r="AA507" s="30"/>
      <c r="AB507" s="29"/>
      <c r="AC507" s="70"/>
      <c r="AD507" s="30"/>
      <c r="AE507" s="71"/>
      <c r="AF507" s="73"/>
    </row>
    <row r="508" ht="15.75" customHeight="1">
      <c r="X508" s="72"/>
      <c r="Y508" s="68"/>
      <c r="Z508" s="69"/>
      <c r="AA508" s="30"/>
      <c r="AB508" s="29"/>
      <c r="AC508" s="70"/>
      <c r="AD508" s="30"/>
      <c r="AE508" s="71"/>
      <c r="AF508" s="73"/>
    </row>
    <row r="509" ht="15.75" customHeight="1">
      <c r="X509" s="72"/>
      <c r="Y509" s="68"/>
      <c r="Z509" s="69"/>
      <c r="AA509" s="30"/>
      <c r="AB509" s="29"/>
      <c r="AC509" s="70"/>
      <c r="AD509" s="30"/>
      <c r="AE509" s="71"/>
      <c r="AF509" s="73"/>
    </row>
    <row r="510" ht="15.75" customHeight="1">
      <c r="X510" s="72"/>
      <c r="Y510" s="68"/>
      <c r="Z510" s="69"/>
      <c r="AA510" s="30"/>
      <c r="AB510" s="29"/>
      <c r="AC510" s="70"/>
      <c r="AD510" s="30"/>
      <c r="AE510" s="71"/>
      <c r="AF510" s="73"/>
    </row>
    <row r="511" ht="15.75" customHeight="1">
      <c r="X511" s="72"/>
      <c r="Y511" s="68"/>
      <c r="Z511" s="69"/>
      <c r="AA511" s="30"/>
      <c r="AB511" s="29"/>
      <c r="AC511" s="70"/>
      <c r="AD511" s="30"/>
      <c r="AE511" s="71"/>
      <c r="AF511" s="73"/>
    </row>
    <row r="512" ht="15.75" customHeight="1">
      <c r="X512" s="72"/>
      <c r="Y512" s="68"/>
      <c r="Z512" s="69"/>
      <c r="AA512" s="30"/>
      <c r="AB512" s="29"/>
      <c r="AC512" s="70"/>
      <c r="AD512" s="30"/>
      <c r="AE512" s="71"/>
      <c r="AF512" s="73"/>
    </row>
    <row r="513" ht="15.75" customHeight="1">
      <c r="X513" s="72"/>
      <c r="Y513" s="68"/>
      <c r="Z513" s="69"/>
      <c r="AA513" s="30"/>
      <c r="AB513" s="29"/>
      <c r="AC513" s="70"/>
      <c r="AD513" s="30"/>
      <c r="AE513" s="71"/>
      <c r="AF513" s="73"/>
    </row>
    <row r="514" ht="15.75" customHeight="1">
      <c r="X514" s="72"/>
      <c r="Y514" s="68"/>
      <c r="Z514" s="69"/>
      <c r="AA514" s="30"/>
      <c r="AB514" s="29"/>
      <c r="AC514" s="70"/>
      <c r="AD514" s="30"/>
      <c r="AE514" s="71"/>
      <c r="AF514" s="73"/>
    </row>
    <row r="515" ht="15.75" customHeight="1">
      <c r="X515" s="72"/>
      <c r="Y515" s="68"/>
      <c r="Z515" s="69"/>
      <c r="AA515" s="30"/>
      <c r="AB515" s="29"/>
      <c r="AC515" s="70"/>
      <c r="AD515" s="30"/>
      <c r="AE515" s="71"/>
      <c r="AF515" s="73"/>
    </row>
    <row r="516" ht="15.75" customHeight="1">
      <c r="X516" s="72"/>
      <c r="Y516" s="68"/>
      <c r="Z516" s="69"/>
      <c r="AA516" s="30"/>
      <c r="AB516" s="29"/>
      <c r="AC516" s="70"/>
      <c r="AD516" s="30"/>
      <c r="AE516" s="71"/>
      <c r="AF516" s="73"/>
    </row>
    <row r="517" ht="15.75" customHeight="1">
      <c r="X517" s="72"/>
      <c r="Y517" s="68"/>
      <c r="Z517" s="69"/>
      <c r="AA517" s="30"/>
      <c r="AB517" s="29"/>
      <c r="AC517" s="70"/>
      <c r="AD517" s="30"/>
      <c r="AE517" s="71"/>
      <c r="AF517" s="73"/>
    </row>
    <row r="518" ht="15.75" customHeight="1">
      <c r="X518" s="72"/>
      <c r="Y518" s="68"/>
      <c r="Z518" s="69"/>
      <c r="AA518" s="30"/>
      <c r="AB518" s="29"/>
      <c r="AC518" s="70"/>
      <c r="AD518" s="30"/>
      <c r="AE518" s="71"/>
      <c r="AF518" s="73"/>
    </row>
    <row r="519" ht="15.75" customHeight="1">
      <c r="X519" s="72"/>
      <c r="Y519" s="68"/>
      <c r="Z519" s="69"/>
      <c r="AA519" s="30"/>
      <c r="AB519" s="29"/>
      <c r="AC519" s="70"/>
      <c r="AD519" s="30"/>
      <c r="AE519" s="71"/>
      <c r="AF519" s="73"/>
    </row>
    <row r="520" ht="15.75" customHeight="1">
      <c r="X520" s="72"/>
      <c r="Y520" s="68"/>
      <c r="Z520" s="69"/>
      <c r="AA520" s="30"/>
      <c r="AB520" s="29"/>
      <c r="AC520" s="70"/>
      <c r="AD520" s="30"/>
      <c r="AE520" s="71"/>
      <c r="AF520" s="73"/>
    </row>
    <row r="521" ht="15.75" customHeight="1">
      <c r="X521" s="72"/>
      <c r="Y521" s="68"/>
      <c r="Z521" s="69"/>
      <c r="AA521" s="30"/>
      <c r="AB521" s="29"/>
      <c r="AC521" s="70"/>
      <c r="AD521" s="30"/>
      <c r="AE521" s="71"/>
      <c r="AF521" s="73"/>
    </row>
    <row r="522" ht="15.75" customHeight="1">
      <c r="X522" s="72"/>
      <c r="Y522" s="68"/>
      <c r="Z522" s="69"/>
      <c r="AA522" s="30"/>
      <c r="AB522" s="29"/>
      <c r="AC522" s="70"/>
      <c r="AD522" s="30"/>
      <c r="AE522" s="71"/>
      <c r="AF522" s="73"/>
    </row>
    <row r="523" ht="15.75" customHeight="1">
      <c r="X523" s="72"/>
      <c r="Y523" s="68"/>
      <c r="Z523" s="69"/>
      <c r="AA523" s="30"/>
      <c r="AB523" s="29"/>
      <c r="AC523" s="70"/>
      <c r="AD523" s="30"/>
      <c r="AE523" s="71"/>
      <c r="AF523" s="73"/>
    </row>
    <row r="524" ht="15.75" customHeight="1">
      <c r="X524" s="72"/>
      <c r="Y524" s="68"/>
      <c r="Z524" s="69"/>
      <c r="AA524" s="30"/>
      <c r="AB524" s="29"/>
      <c r="AC524" s="70"/>
      <c r="AD524" s="30"/>
      <c r="AE524" s="71"/>
      <c r="AF524" s="73"/>
    </row>
    <row r="525" ht="15.75" customHeight="1">
      <c r="X525" s="72"/>
      <c r="Y525" s="68"/>
      <c r="Z525" s="69"/>
      <c r="AA525" s="30"/>
      <c r="AB525" s="29"/>
      <c r="AC525" s="70"/>
      <c r="AD525" s="30"/>
      <c r="AE525" s="71"/>
      <c r="AF525" s="73"/>
    </row>
    <row r="526" ht="15.75" customHeight="1">
      <c r="X526" s="72"/>
      <c r="Y526" s="68"/>
      <c r="Z526" s="69"/>
      <c r="AA526" s="30"/>
      <c r="AB526" s="29"/>
      <c r="AC526" s="70"/>
      <c r="AD526" s="30"/>
      <c r="AE526" s="71"/>
      <c r="AF526" s="73"/>
    </row>
    <row r="527" ht="15.75" customHeight="1">
      <c r="X527" s="72"/>
      <c r="Y527" s="68"/>
      <c r="Z527" s="69"/>
      <c r="AA527" s="30"/>
      <c r="AB527" s="29"/>
      <c r="AC527" s="70"/>
      <c r="AD527" s="30"/>
      <c r="AE527" s="71"/>
      <c r="AF527" s="73"/>
    </row>
    <row r="528" ht="15.75" customHeight="1">
      <c r="X528" s="72"/>
      <c r="Y528" s="68"/>
      <c r="Z528" s="69"/>
      <c r="AA528" s="30"/>
      <c r="AB528" s="29"/>
      <c r="AC528" s="70"/>
      <c r="AD528" s="30"/>
      <c r="AE528" s="71"/>
      <c r="AF528" s="73"/>
    </row>
    <row r="529" ht="15.75" customHeight="1">
      <c r="X529" s="72"/>
      <c r="Y529" s="68"/>
      <c r="Z529" s="69"/>
      <c r="AA529" s="30"/>
      <c r="AB529" s="29"/>
      <c r="AC529" s="70"/>
      <c r="AD529" s="30"/>
      <c r="AE529" s="71"/>
      <c r="AF529" s="73"/>
    </row>
    <row r="530" ht="15.75" customHeight="1">
      <c r="X530" s="72"/>
      <c r="Y530" s="68"/>
      <c r="Z530" s="69"/>
      <c r="AA530" s="30"/>
      <c r="AB530" s="29"/>
      <c r="AC530" s="70"/>
      <c r="AD530" s="30"/>
      <c r="AE530" s="71"/>
      <c r="AF530" s="73"/>
    </row>
    <row r="531" ht="15.75" customHeight="1">
      <c r="X531" s="72"/>
      <c r="Y531" s="68"/>
      <c r="Z531" s="69"/>
      <c r="AA531" s="30"/>
      <c r="AB531" s="29"/>
      <c r="AC531" s="70"/>
      <c r="AD531" s="30"/>
      <c r="AE531" s="71"/>
      <c r="AF531" s="73"/>
    </row>
    <row r="532" ht="15.75" customHeight="1">
      <c r="X532" s="72"/>
      <c r="Y532" s="68"/>
      <c r="Z532" s="69"/>
      <c r="AA532" s="30"/>
      <c r="AB532" s="29"/>
      <c r="AC532" s="70"/>
      <c r="AD532" s="30"/>
      <c r="AE532" s="71"/>
      <c r="AF532" s="73"/>
    </row>
    <row r="533" ht="15.75" customHeight="1">
      <c r="X533" s="72"/>
      <c r="Y533" s="68"/>
      <c r="Z533" s="69"/>
      <c r="AA533" s="30"/>
      <c r="AB533" s="29"/>
      <c r="AC533" s="70"/>
      <c r="AD533" s="30"/>
      <c r="AE533" s="71"/>
      <c r="AF533" s="73"/>
    </row>
    <row r="534" ht="15.75" customHeight="1">
      <c r="X534" s="72"/>
      <c r="Y534" s="68"/>
      <c r="Z534" s="69"/>
      <c r="AA534" s="30"/>
      <c r="AB534" s="29"/>
      <c r="AC534" s="70"/>
      <c r="AD534" s="30"/>
      <c r="AE534" s="71"/>
      <c r="AF534" s="73"/>
    </row>
    <row r="535" ht="15.75" customHeight="1">
      <c r="X535" s="72"/>
      <c r="Y535" s="68"/>
      <c r="Z535" s="69"/>
      <c r="AA535" s="30"/>
      <c r="AB535" s="29"/>
      <c r="AC535" s="70"/>
      <c r="AD535" s="30"/>
      <c r="AE535" s="71"/>
      <c r="AF535" s="73"/>
    </row>
    <row r="536" ht="15.75" customHeight="1">
      <c r="X536" s="72"/>
      <c r="Y536" s="68"/>
      <c r="Z536" s="69"/>
      <c r="AA536" s="30"/>
      <c r="AB536" s="29"/>
      <c r="AC536" s="70"/>
      <c r="AD536" s="30"/>
      <c r="AE536" s="71"/>
      <c r="AF536" s="73"/>
    </row>
    <row r="537" ht="15.75" customHeight="1">
      <c r="X537" s="72"/>
      <c r="Y537" s="68"/>
      <c r="Z537" s="69"/>
      <c r="AA537" s="30"/>
      <c r="AB537" s="29"/>
      <c r="AC537" s="70"/>
      <c r="AD537" s="30"/>
      <c r="AE537" s="71"/>
      <c r="AF537" s="73"/>
    </row>
    <row r="538" ht="15.75" customHeight="1">
      <c r="X538" s="72"/>
      <c r="Y538" s="68"/>
      <c r="Z538" s="69"/>
      <c r="AA538" s="30"/>
      <c r="AB538" s="29"/>
      <c r="AC538" s="70"/>
      <c r="AD538" s="30"/>
      <c r="AE538" s="71"/>
      <c r="AF538" s="73"/>
    </row>
    <row r="539" ht="15.75" customHeight="1">
      <c r="X539" s="72"/>
      <c r="Y539" s="68"/>
      <c r="Z539" s="69"/>
      <c r="AA539" s="30"/>
      <c r="AB539" s="29"/>
      <c r="AC539" s="70"/>
      <c r="AD539" s="30"/>
      <c r="AE539" s="71"/>
      <c r="AF539" s="73"/>
    </row>
    <row r="540" ht="15.75" customHeight="1">
      <c r="X540" s="72"/>
      <c r="Y540" s="68"/>
      <c r="Z540" s="69"/>
      <c r="AA540" s="30"/>
      <c r="AB540" s="29"/>
      <c r="AC540" s="70"/>
      <c r="AD540" s="30"/>
      <c r="AE540" s="71"/>
      <c r="AF540" s="73"/>
    </row>
    <row r="541" ht="15.75" customHeight="1">
      <c r="X541" s="72"/>
      <c r="Y541" s="68"/>
      <c r="Z541" s="69"/>
      <c r="AA541" s="30"/>
      <c r="AB541" s="29"/>
      <c r="AC541" s="70"/>
      <c r="AD541" s="30"/>
      <c r="AE541" s="71"/>
      <c r="AF541" s="73"/>
    </row>
    <row r="542" ht="15.75" customHeight="1">
      <c r="X542" s="72"/>
      <c r="Y542" s="68"/>
      <c r="Z542" s="69"/>
      <c r="AA542" s="30"/>
      <c r="AB542" s="29"/>
      <c r="AC542" s="70"/>
      <c r="AD542" s="30"/>
      <c r="AE542" s="71"/>
      <c r="AF542" s="73"/>
    </row>
    <row r="543" ht="15.75" customHeight="1">
      <c r="X543" s="72"/>
      <c r="Y543" s="68"/>
      <c r="Z543" s="69"/>
      <c r="AA543" s="30"/>
      <c r="AB543" s="29"/>
      <c r="AC543" s="70"/>
      <c r="AD543" s="30"/>
      <c r="AE543" s="71"/>
      <c r="AF543" s="73"/>
    </row>
    <row r="544" ht="15.75" customHeight="1">
      <c r="X544" s="72"/>
      <c r="Y544" s="68"/>
      <c r="Z544" s="69"/>
      <c r="AA544" s="30"/>
      <c r="AB544" s="29"/>
      <c r="AC544" s="70"/>
      <c r="AD544" s="30"/>
      <c r="AE544" s="71"/>
      <c r="AF544" s="73"/>
    </row>
    <row r="545" ht="15.75" customHeight="1">
      <c r="X545" s="72"/>
      <c r="Y545" s="68"/>
      <c r="Z545" s="69"/>
      <c r="AA545" s="30"/>
      <c r="AB545" s="29"/>
      <c r="AC545" s="70"/>
      <c r="AD545" s="30"/>
      <c r="AE545" s="71"/>
      <c r="AF545" s="73"/>
    </row>
    <row r="546" ht="15.75" customHeight="1">
      <c r="X546" s="72"/>
      <c r="Y546" s="68"/>
      <c r="Z546" s="69"/>
      <c r="AA546" s="30"/>
      <c r="AB546" s="29"/>
      <c r="AC546" s="70"/>
      <c r="AD546" s="30"/>
      <c r="AE546" s="71"/>
      <c r="AF546" s="73"/>
    </row>
    <row r="547" ht="15.75" customHeight="1">
      <c r="X547" s="72"/>
      <c r="Y547" s="68"/>
      <c r="Z547" s="69"/>
      <c r="AA547" s="30"/>
      <c r="AB547" s="29"/>
      <c r="AC547" s="70"/>
      <c r="AD547" s="30"/>
      <c r="AE547" s="71"/>
      <c r="AF547" s="73"/>
    </row>
    <row r="548" ht="15.75" customHeight="1">
      <c r="X548" s="72"/>
      <c r="Y548" s="68"/>
      <c r="Z548" s="69"/>
      <c r="AA548" s="30"/>
      <c r="AB548" s="29"/>
      <c r="AC548" s="70"/>
      <c r="AD548" s="30"/>
      <c r="AE548" s="71"/>
      <c r="AF548" s="73"/>
    </row>
    <row r="549" ht="15.75" customHeight="1">
      <c r="X549" s="72"/>
      <c r="Y549" s="68"/>
      <c r="Z549" s="69"/>
      <c r="AA549" s="30"/>
      <c r="AB549" s="29"/>
      <c r="AC549" s="70"/>
      <c r="AD549" s="30"/>
      <c r="AE549" s="71"/>
      <c r="AF549" s="73"/>
    </row>
    <row r="550" ht="15.75" customHeight="1">
      <c r="X550" s="72"/>
      <c r="Y550" s="68"/>
      <c r="Z550" s="69"/>
      <c r="AA550" s="30"/>
      <c r="AB550" s="29"/>
      <c r="AC550" s="70"/>
      <c r="AD550" s="30"/>
      <c r="AE550" s="71"/>
      <c r="AF550" s="73"/>
    </row>
    <row r="551" ht="15.75" customHeight="1">
      <c r="X551" s="72"/>
      <c r="Y551" s="68"/>
      <c r="Z551" s="69"/>
      <c r="AA551" s="30"/>
      <c r="AB551" s="29"/>
      <c r="AC551" s="70"/>
      <c r="AD551" s="30"/>
      <c r="AE551" s="71"/>
      <c r="AF551" s="73"/>
    </row>
    <row r="552" ht="15.75" customHeight="1">
      <c r="X552" s="72"/>
      <c r="Y552" s="68"/>
      <c r="Z552" s="69"/>
      <c r="AA552" s="30"/>
      <c r="AB552" s="29"/>
      <c r="AC552" s="70"/>
      <c r="AD552" s="30"/>
      <c r="AE552" s="71"/>
      <c r="AF552" s="73"/>
    </row>
    <row r="553" ht="15.75" customHeight="1">
      <c r="X553" s="72"/>
      <c r="Y553" s="68"/>
      <c r="Z553" s="69"/>
      <c r="AA553" s="30"/>
      <c r="AB553" s="29"/>
      <c r="AC553" s="70"/>
      <c r="AD553" s="30"/>
      <c r="AE553" s="71"/>
      <c r="AF553" s="73"/>
    </row>
    <row r="554" ht="15.75" customHeight="1">
      <c r="X554" s="72"/>
      <c r="Y554" s="68"/>
      <c r="Z554" s="69"/>
      <c r="AA554" s="30"/>
      <c r="AB554" s="29"/>
      <c r="AC554" s="70"/>
      <c r="AD554" s="30"/>
      <c r="AE554" s="71"/>
      <c r="AF554" s="73"/>
    </row>
    <row r="555" ht="15.75" customHeight="1">
      <c r="X555" s="72"/>
      <c r="Y555" s="68"/>
      <c r="Z555" s="69"/>
      <c r="AA555" s="30"/>
      <c r="AB555" s="29"/>
      <c r="AC555" s="70"/>
      <c r="AD555" s="30"/>
      <c r="AE555" s="71"/>
      <c r="AF555" s="73"/>
    </row>
    <row r="556" ht="15.75" customHeight="1">
      <c r="X556" s="72"/>
      <c r="Y556" s="68"/>
      <c r="Z556" s="69"/>
      <c r="AA556" s="30"/>
      <c r="AB556" s="29"/>
      <c r="AC556" s="70"/>
      <c r="AD556" s="30"/>
      <c r="AE556" s="71"/>
      <c r="AF556" s="73"/>
    </row>
    <row r="557" ht="15.75" customHeight="1">
      <c r="X557" s="72"/>
      <c r="Y557" s="68"/>
      <c r="Z557" s="69"/>
      <c r="AA557" s="30"/>
      <c r="AB557" s="29"/>
      <c r="AC557" s="70"/>
      <c r="AD557" s="30"/>
      <c r="AE557" s="71"/>
      <c r="AF557" s="73"/>
    </row>
    <row r="558" ht="15.75" customHeight="1">
      <c r="X558" s="72"/>
      <c r="Y558" s="68"/>
      <c r="Z558" s="69"/>
      <c r="AA558" s="30"/>
      <c r="AB558" s="29"/>
      <c r="AC558" s="70"/>
      <c r="AD558" s="30"/>
      <c r="AE558" s="71"/>
      <c r="AF558" s="73"/>
    </row>
    <row r="559" ht="15.75" customHeight="1">
      <c r="X559" s="72"/>
      <c r="Y559" s="68"/>
      <c r="Z559" s="69"/>
      <c r="AA559" s="30"/>
      <c r="AB559" s="29"/>
      <c r="AC559" s="70"/>
      <c r="AD559" s="30"/>
      <c r="AE559" s="71"/>
      <c r="AF559" s="73"/>
    </row>
    <row r="560" ht="15.75" customHeight="1">
      <c r="X560" s="72"/>
      <c r="Y560" s="68"/>
      <c r="Z560" s="69"/>
      <c r="AA560" s="30"/>
      <c r="AB560" s="29"/>
      <c r="AC560" s="70"/>
      <c r="AD560" s="30"/>
      <c r="AE560" s="71"/>
      <c r="AF560" s="73"/>
    </row>
    <row r="561" ht="15.75" customHeight="1">
      <c r="X561" s="72"/>
      <c r="Y561" s="68"/>
      <c r="Z561" s="69"/>
      <c r="AA561" s="30"/>
      <c r="AB561" s="29"/>
      <c r="AC561" s="70"/>
      <c r="AD561" s="30"/>
      <c r="AE561" s="71"/>
      <c r="AF561" s="73"/>
    </row>
    <row r="562" ht="15.75" customHeight="1">
      <c r="X562" s="72"/>
      <c r="Y562" s="68"/>
      <c r="Z562" s="69"/>
      <c r="AA562" s="30"/>
      <c r="AB562" s="29"/>
      <c r="AC562" s="70"/>
      <c r="AD562" s="30"/>
      <c r="AE562" s="71"/>
      <c r="AF562" s="73"/>
    </row>
    <row r="563" ht="15.75" customHeight="1">
      <c r="X563" s="72"/>
      <c r="Y563" s="68"/>
      <c r="Z563" s="69"/>
      <c r="AA563" s="30"/>
      <c r="AB563" s="29"/>
      <c r="AC563" s="70"/>
      <c r="AD563" s="30"/>
      <c r="AE563" s="71"/>
      <c r="AF563" s="73"/>
    </row>
    <row r="564" ht="15.75" customHeight="1">
      <c r="X564" s="72"/>
      <c r="Y564" s="68"/>
      <c r="Z564" s="69"/>
      <c r="AA564" s="30"/>
      <c r="AB564" s="29"/>
      <c r="AC564" s="70"/>
      <c r="AD564" s="30"/>
      <c r="AE564" s="71"/>
      <c r="AF564" s="73"/>
    </row>
    <row r="565" ht="15.75" customHeight="1">
      <c r="X565" s="72"/>
      <c r="Y565" s="68"/>
      <c r="Z565" s="69"/>
      <c r="AA565" s="30"/>
      <c r="AB565" s="29"/>
      <c r="AC565" s="70"/>
      <c r="AD565" s="30"/>
      <c r="AE565" s="71"/>
      <c r="AF565" s="73"/>
    </row>
    <row r="566" ht="15.75" customHeight="1">
      <c r="X566" s="72"/>
      <c r="Y566" s="68"/>
      <c r="Z566" s="69"/>
      <c r="AA566" s="30"/>
      <c r="AB566" s="29"/>
      <c r="AC566" s="70"/>
      <c r="AD566" s="30"/>
      <c r="AE566" s="71"/>
      <c r="AF566" s="73"/>
    </row>
    <row r="567" ht="15.75" customHeight="1">
      <c r="X567" s="72"/>
      <c r="Y567" s="68"/>
      <c r="Z567" s="69"/>
      <c r="AA567" s="30"/>
      <c r="AB567" s="29"/>
      <c r="AC567" s="70"/>
      <c r="AD567" s="30"/>
      <c r="AE567" s="71"/>
      <c r="AF567" s="73"/>
    </row>
    <row r="568" ht="15.75" customHeight="1">
      <c r="X568" s="72"/>
      <c r="Y568" s="68"/>
      <c r="Z568" s="69"/>
      <c r="AA568" s="30"/>
      <c r="AB568" s="29"/>
      <c r="AC568" s="70"/>
      <c r="AD568" s="30"/>
      <c r="AE568" s="71"/>
      <c r="AF568" s="73"/>
    </row>
    <row r="569" ht="15.75" customHeight="1">
      <c r="X569" s="72"/>
      <c r="Y569" s="68"/>
      <c r="Z569" s="69"/>
      <c r="AA569" s="30"/>
      <c r="AB569" s="29"/>
      <c r="AC569" s="70"/>
      <c r="AD569" s="30"/>
      <c r="AE569" s="71"/>
      <c r="AF569" s="73"/>
    </row>
    <row r="570" ht="15.75" customHeight="1">
      <c r="X570" s="72"/>
      <c r="Y570" s="68"/>
      <c r="Z570" s="69"/>
      <c r="AA570" s="30"/>
      <c r="AB570" s="29"/>
      <c r="AC570" s="70"/>
      <c r="AD570" s="30"/>
      <c r="AE570" s="71"/>
      <c r="AF570" s="73"/>
    </row>
    <row r="571" ht="15.75" customHeight="1">
      <c r="X571" s="72"/>
      <c r="Y571" s="68"/>
      <c r="Z571" s="69"/>
      <c r="AA571" s="30"/>
      <c r="AB571" s="29"/>
      <c r="AC571" s="70"/>
      <c r="AD571" s="30"/>
      <c r="AE571" s="71"/>
      <c r="AF571" s="73"/>
    </row>
    <row r="572" ht="15.75" customHeight="1">
      <c r="X572" s="72"/>
      <c r="Y572" s="68"/>
      <c r="Z572" s="69"/>
      <c r="AA572" s="30"/>
      <c r="AB572" s="29"/>
      <c r="AC572" s="70"/>
      <c r="AD572" s="30"/>
      <c r="AE572" s="71"/>
      <c r="AF572" s="73"/>
    </row>
    <row r="573" ht="15.75" customHeight="1">
      <c r="X573" s="72"/>
      <c r="Y573" s="68"/>
      <c r="Z573" s="69"/>
      <c r="AA573" s="30"/>
      <c r="AB573" s="29"/>
      <c r="AC573" s="70"/>
      <c r="AD573" s="30"/>
      <c r="AE573" s="71"/>
      <c r="AF573" s="73"/>
    </row>
    <row r="574" ht="15.75" customHeight="1">
      <c r="X574" s="72"/>
      <c r="Y574" s="68"/>
      <c r="Z574" s="69"/>
      <c r="AA574" s="30"/>
      <c r="AB574" s="29"/>
      <c r="AC574" s="70"/>
      <c r="AD574" s="30"/>
      <c r="AE574" s="71"/>
      <c r="AF574" s="73"/>
    </row>
    <row r="575" ht="15.75" customHeight="1">
      <c r="X575" s="72"/>
      <c r="Y575" s="68"/>
      <c r="Z575" s="69"/>
      <c r="AA575" s="30"/>
      <c r="AB575" s="29"/>
      <c r="AC575" s="70"/>
      <c r="AD575" s="30"/>
      <c r="AE575" s="71"/>
      <c r="AF575" s="73"/>
    </row>
    <row r="576" ht="15.75" customHeight="1">
      <c r="X576" s="72"/>
      <c r="Y576" s="68"/>
      <c r="Z576" s="69"/>
      <c r="AA576" s="30"/>
      <c r="AB576" s="29"/>
      <c r="AC576" s="70"/>
      <c r="AD576" s="30"/>
      <c r="AE576" s="71"/>
      <c r="AF576" s="73"/>
    </row>
    <row r="577" ht="15.75" customHeight="1">
      <c r="X577" s="72"/>
      <c r="Y577" s="68"/>
      <c r="Z577" s="69"/>
      <c r="AA577" s="30"/>
      <c r="AB577" s="29"/>
      <c r="AC577" s="70"/>
      <c r="AD577" s="30"/>
      <c r="AE577" s="71"/>
      <c r="AF577" s="73"/>
    </row>
    <row r="578" ht="15.75" customHeight="1">
      <c r="X578" s="72"/>
      <c r="Y578" s="68"/>
      <c r="Z578" s="69"/>
      <c r="AA578" s="30"/>
      <c r="AB578" s="29"/>
      <c r="AC578" s="70"/>
      <c r="AD578" s="30"/>
      <c r="AE578" s="71"/>
      <c r="AF578" s="73"/>
    </row>
    <row r="579" ht="15.75" customHeight="1">
      <c r="X579" s="72"/>
      <c r="Y579" s="68"/>
      <c r="Z579" s="69"/>
      <c r="AA579" s="30"/>
      <c r="AB579" s="29"/>
      <c r="AC579" s="70"/>
      <c r="AD579" s="30"/>
      <c r="AE579" s="71"/>
      <c r="AF579" s="73"/>
    </row>
    <row r="580" ht="15.75" customHeight="1">
      <c r="X580" s="72"/>
      <c r="Y580" s="68"/>
      <c r="Z580" s="69"/>
      <c r="AA580" s="30"/>
      <c r="AB580" s="29"/>
      <c r="AC580" s="70"/>
      <c r="AD580" s="30"/>
      <c r="AE580" s="71"/>
      <c r="AF580" s="73"/>
    </row>
    <row r="581" ht="15.75" customHeight="1">
      <c r="X581" s="72"/>
      <c r="Y581" s="68"/>
      <c r="Z581" s="69"/>
      <c r="AA581" s="30"/>
      <c r="AB581" s="29"/>
      <c r="AC581" s="70"/>
      <c r="AD581" s="30"/>
      <c r="AE581" s="71"/>
      <c r="AF581" s="73"/>
    </row>
    <row r="582" ht="15.75" customHeight="1">
      <c r="X582" s="72"/>
      <c r="Y582" s="68"/>
      <c r="Z582" s="69"/>
      <c r="AA582" s="30"/>
      <c r="AB582" s="29"/>
      <c r="AC582" s="70"/>
      <c r="AD582" s="30"/>
      <c r="AE582" s="71"/>
      <c r="AF582" s="73"/>
    </row>
    <row r="583" ht="15.75" customHeight="1">
      <c r="X583" s="72"/>
      <c r="Y583" s="68"/>
      <c r="Z583" s="69"/>
      <c r="AA583" s="30"/>
      <c r="AB583" s="29"/>
      <c r="AC583" s="70"/>
      <c r="AD583" s="30"/>
      <c r="AE583" s="71"/>
      <c r="AF583" s="73"/>
    </row>
    <row r="584" ht="15.75" customHeight="1">
      <c r="X584" s="72"/>
      <c r="Y584" s="68"/>
      <c r="Z584" s="69"/>
      <c r="AA584" s="30"/>
      <c r="AB584" s="29"/>
      <c r="AC584" s="70"/>
      <c r="AD584" s="30"/>
      <c r="AE584" s="71"/>
      <c r="AF584" s="73"/>
    </row>
    <row r="585" ht="15.75" customHeight="1">
      <c r="X585" s="72"/>
      <c r="Y585" s="68"/>
      <c r="Z585" s="69"/>
      <c r="AA585" s="30"/>
      <c r="AB585" s="29"/>
      <c r="AC585" s="70"/>
      <c r="AD585" s="30"/>
      <c r="AE585" s="71"/>
      <c r="AF585" s="73"/>
    </row>
    <row r="586" ht="15.75" customHeight="1">
      <c r="X586" s="72"/>
      <c r="Y586" s="68"/>
      <c r="Z586" s="69"/>
      <c r="AA586" s="30"/>
      <c r="AB586" s="29"/>
      <c r="AC586" s="70"/>
      <c r="AD586" s="30"/>
      <c r="AE586" s="71"/>
      <c r="AF586" s="73"/>
    </row>
    <row r="587" ht="15.75" customHeight="1">
      <c r="X587" s="72"/>
      <c r="Y587" s="68"/>
      <c r="Z587" s="69"/>
      <c r="AA587" s="30"/>
      <c r="AB587" s="29"/>
      <c r="AC587" s="70"/>
      <c r="AD587" s="30"/>
      <c r="AE587" s="71"/>
      <c r="AF587" s="73"/>
    </row>
    <row r="588" ht="15.75" customHeight="1">
      <c r="X588" s="72"/>
      <c r="Y588" s="68"/>
      <c r="Z588" s="69"/>
      <c r="AA588" s="30"/>
      <c r="AB588" s="29"/>
      <c r="AC588" s="70"/>
      <c r="AD588" s="30"/>
      <c r="AE588" s="71"/>
      <c r="AF588" s="73"/>
    </row>
    <row r="589" ht="15.75" customHeight="1">
      <c r="X589" s="72"/>
      <c r="Y589" s="68"/>
      <c r="Z589" s="69"/>
      <c r="AA589" s="30"/>
      <c r="AB589" s="29"/>
      <c r="AC589" s="70"/>
      <c r="AD589" s="30"/>
      <c r="AE589" s="71"/>
      <c r="AF589" s="73"/>
    </row>
    <row r="590" ht="15.75" customHeight="1">
      <c r="X590" s="72"/>
      <c r="Y590" s="68"/>
      <c r="Z590" s="69"/>
      <c r="AA590" s="30"/>
      <c r="AB590" s="29"/>
      <c r="AC590" s="70"/>
      <c r="AD590" s="30"/>
      <c r="AE590" s="71"/>
      <c r="AF590" s="73"/>
    </row>
    <row r="591" ht="15.75" customHeight="1">
      <c r="X591" s="72"/>
      <c r="Y591" s="68"/>
      <c r="Z591" s="69"/>
      <c r="AA591" s="30"/>
      <c r="AB591" s="29"/>
      <c r="AC591" s="70"/>
      <c r="AD591" s="30"/>
      <c r="AE591" s="71"/>
      <c r="AF591" s="73"/>
    </row>
    <row r="592" ht="15.75" customHeight="1">
      <c r="X592" s="72"/>
      <c r="Y592" s="68"/>
      <c r="Z592" s="69"/>
      <c r="AA592" s="30"/>
      <c r="AB592" s="29"/>
      <c r="AC592" s="70"/>
      <c r="AD592" s="30"/>
      <c r="AE592" s="71"/>
      <c r="AF592" s="73"/>
    </row>
    <row r="593" ht="15.75" customHeight="1">
      <c r="X593" s="72"/>
      <c r="Y593" s="68"/>
      <c r="Z593" s="69"/>
      <c r="AA593" s="30"/>
      <c r="AB593" s="29"/>
      <c r="AC593" s="70"/>
      <c r="AD593" s="30"/>
      <c r="AE593" s="71"/>
      <c r="AF593" s="73"/>
    </row>
    <row r="594" ht="15.75" customHeight="1">
      <c r="X594" s="72"/>
      <c r="Y594" s="68"/>
      <c r="Z594" s="69"/>
      <c r="AA594" s="30"/>
      <c r="AB594" s="29"/>
      <c r="AC594" s="70"/>
      <c r="AD594" s="30"/>
      <c r="AE594" s="71"/>
      <c r="AF594" s="73"/>
    </row>
    <row r="595" ht="15.75" customHeight="1">
      <c r="X595" s="72"/>
      <c r="Y595" s="68"/>
      <c r="Z595" s="69"/>
      <c r="AA595" s="30"/>
      <c r="AB595" s="29"/>
      <c r="AC595" s="70"/>
      <c r="AD595" s="30"/>
      <c r="AE595" s="71"/>
      <c r="AF595" s="73"/>
    </row>
    <row r="596" ht="15.75" customHeight="1">
      <c r="X596" s="72"/>
      <c r="Y596" s="68"/>
      <c r="Z596" s="69"/>
      <c r="AA596" s="30"/>
      <c r="AB596" s="29"/>
      <c r="AC596" s="70"/>
      <c r="AD596" s="30"/>
      <c r="AE596" s="71"/>
      <c r="AF596" s="73"/>
    </row>
    <row r="597" ht="15.75" customHeight="1">
      <c r="X597" s="72"/>
      <c r="Y597" s="68"/>
      <c r="Z597" s="69"/>
      <c r="AA597" s="30"/>
      <c r="AB597" s="29"/>
      <c r="AC597" s="70"/>
      <c r="AD597" s="30"/>
      <c r="AE597" s="71"/>
      <c r="AF597" s="73"/>
    </row>
    <row r="598" ht="15.75" customHeight="1">
      <c r="X598" s="72"/>
      <c r="Y598" s="68"/>
      <c r="Z598" s="69"/>
      <c r="AA598" s="30"/>
      <c r="AB598" s="29"/>
      <c r="AC598" s="70"/>
      <c r="AD598" s="30"/>
      <c r="AE598" s="71"/>
      <c r="AF598" s="73"/>
    </row>
    <row r="599" ht="15.75" customHeight="1">
      <c r="X599" s="72"/>
      <c r="Y599" s="68"/>
      <c r="Z599" s="69"/>
      <c r="AA599" s="30"/>
      <c r="AB599" s="29"/>
      <c r="AC599" s="70"/>
      <c r="AD599" s="30"/>
      <c r="AE599" s="71"/>
      <c r="AF599" s="73"/>
    </row>
    <row r="600" ht="15.75" customHeight="1">
      <c r="X600" s="72"/>
      <c r="Y600" s="68"/>
      <c r="Z600" s="69"/>
      <c r="AA600" s="30"/>
      <c r="AB600" s="29"/>
      <c r="AC600" s="70"/>
      <c r="AD600" s="30"/>
      <c r="AE600" s="71"/>
      <c r="AF600" s="73"/>
    </row>
    <row r="601" ht="15.75" customHeight="1">
      <c r="X601" s="72"/>
      <c r="Y601" s="68"/>
      <c r="Z601" s="69"/>
      <c r="AA601" s="30"/>
      <c r="AB601" s="29"/>
      <c r="AC601" s="70"/>
      <c r="AD601" s="30"/>
      <c r="AE601" s="71"/>
      <c r="AF601" s="73"/>
    </row>
    <row r="602" ht="15.75" customHeight="1">
      <c r="X602" s="72"/>
      <c r="Y602" s="68"/>
      <c r="Z602" s="69"/>
      <c r="AA602" s="30"/>
      <c r="AB602" s="29"/>
      <c r="AC602" s="70"/>
      <c r="AD602" s="30"/>
      <c r="AE602" s="71"/>
      <c r="AF602" s="73"/>
    </row>
    <row r="603" ht="15.75" customHeight="1">
      <c r="X603" s="72"/>
      <c r="Y603" s="68"/>
      <c r="Z603" s="69"/>
      <c r="AA603" s="30"/>
      <c r="AB603" s="29"/>
      <c r="AC603" s="70"/>
      <c r="AD603" s="30"/>
      <c r="AE603" s="71"/>
      <c r="AF603" s="73"/>
    </row>
    <row r="604" ht="15.75" customHeight="1">
      <c r="X604" s="72"/>
      <c r="Y604" s="68"/>
      <c r="Z604" s="69"/>
      <c r="AA604" s="30"/>
      <c r="AB604" s="29"/>
      <c r="AC604" s="70"/>
      <c r="AD604" s="30"/>
      <c r="AE604" s="71"/>
      <c r="AF604" s="73"/>
    </row>
    <row r="605" ht="15.75" customHeight="1">
      <c r="X605" s="72"/>
      <c r="Y605" s="68"/>
      <c r="Z605" s="69"/>
      <c r="AA605" s="30"/>
      <c r="AB605" s="29"/>
      <c r="AC605" s="70"/>
      <c r="AD605" s="30"/>
      <c r="AE605" s="71"/>
      <c r="AF605" s="73"/>
    </row>
    <row r="606" ht="15.75" customHeight="1">
      <c r="X606" s="72"/>
      <c r="Y606" s="68"/>
      <c r="Z606" s="69"/>
      <c r="AA606" s="30"/>
      <c r="AB606" s="29"/>
      <c r="AC606" s="70"/>
      <c r="AD606" s="30"/>
      <c r="AE606" s="71"/>
      <c r="AF606" s="73"/>
    </row>
    <row r="607" ht="15.75" customHeight="1">
      <c r="X607" s="72"/>
      <c r="Y607" s="68"/>
      <c r="Z607" s="69"/>
      <c r="AA607" s="30"/>
      <c r="AB607" s="29"/>
      <c r="AC607" s="70"/>
      <c r="AD607" s="30"/>
      <c r="AE607" s="71"/>
      <c r="AF607" s="73"/>
    </row>
    <row r="608" ht="15.75" customHeight="1">
      <c r="X608" s="72"/>
      <c r="Y608" s="68"/>
      <c r="Z608" s="69"/>
      <c r="AA608" s="30"/>
      <c r="AB608" s="29"/>
      <c r="AC608" s="70"/>
      <c r="AD608" s="30"/>
      <c r="AE608" s="71"/>
      <c r="AF608" s="73"/>
    </row>
    <row r="609" ht="15.75" customHeight="1">
      <c r="X609" s="72"/>
      <c r="Y609" s="68"/>
      <c r="Z609" s="69"/>
      <c r="AA609" s="30"/>
      <c r="AB609" s="29"/>
      <c r="AC609" s="70"/>
      <c r="AD609" s="30"/>
      <c r="AE609" s="71"/>
      <c r="AF609" s="73"/>
    </row>
    <row r="610" ht="15.75" customHeight="1">
      <c r="X610" s="72"/>
      <c r="Y610" s="68"/>
      <c r="Z610" s="69"/>
      <c r="AA610" s="30"/>
      <c r="AB610" s="29"/>
      <c r="AC610" s="70"/>
      <c r="AD610" s="30"/>
      <c r="AE610" s="71"/>
      <c r="AF610" s="73"/>
    </row>
    <row r="611" ht="15.75" customHeight="1">
      <c r="X611" s="72"/>
      <c r="Y611" s="68"/>
      <c r="Z611" s="69"/>
      <c r="AA611" s="30"/>
      <c r="AB611" s="29"/>
      <c r="AC611" s="70"/>
      <c r="AD611" s="30"/>
      <c r="AE611" s="71"/>
      <c r="AF611" s="73"/>
    </row>
    <row r="612" ht="15.75" customHeight="1">
      <c r="X612" s="72"/>
      <c r="Y612" s="68"/>
      <c r="Z612" s="69"/>
      <c r="AA612" s="30"/>
      <c r="AB612" s="29"/>
      <c r="AC612" s="70"/>
      <c r="AD612" s="30"/>
      <c r="AE612" s="71"/>
      <c r="AF612" s="73"/>
    </row>
    <row r="613" ht="15.75" customHeight="1">
      <c r="X613" s="72"/>
      <c r="Y613" s="68"/>
      <c r="Z613" s="69"/>
      <c r="AA613" s="30"/>
      <c r="AB613" s="29"/>
      <c r="AC613" s="70"/>
      <c r="AD613" s="30"/>
      <c r="AE613" s="71"/>
      <c r="AF613" s="73"/>
    </row>
    <row r="614" ht="15.75" customHeight="1">
      <c r="X614" s="72"/>
      <c r="Y614" s="68"/>
      <c r="Z614" s="69"/>
      <c r="AA614" s="30"/>
      <c r="AB614" s="29"/>
      <c r="AC614" s="70"/>
      <c r="AD614" s="30"/>
      <c r="AE614" s="71"/>
      <c r="AF614" s="73"/>
    </row>
    <row r="615" ht="15.75" customHeight="1">
      <c r="X615" s="72"/>
      <c r="Y615" s="68"/>
      <c r="Z615" s="69"/>
      <c r="AA615" s="30"/>
      <c r="AB615" s="29"/>
      <c r="AC615" s="70"/>
      <c r="AD615" s="30"/>
      <c r="AE615" s="71"/>
      <c r="AF615" s="73"/>
    </row>
    <row r="616" ht="15.75" customHeight="1">
      <c r="X616" s="72"/>
      <c r="Y616" s="68"/>
      <c r="Z616" s="69"/>
      <c r="AA616" s="30"/>
      <c r="AB616" s="29"/>
      <c r="AC616" s="70"/>
      <c r="AD616" s="30"/>
      <c r="AE616" s="71"/>
      <c r="AF616" s="73"/>
    </row>
    <row r="617" ht="15.75" customHeight="1">
      <c r="X617" s="72"/>
      <c r="Y617" s="68"/>
      <c r="Z617" s="69"/>
      <c r="AA617" s="30"/>
      <c r="AB617" s="29"/>
      <c r="AC617" s="70"/>
      <c r="AD617" s="30"/>
      <c r="AE617" s="71"/>
      <c r="AF617" s="73"/>
    </row>
    <row r="618" ht="15.75" customHeight="1">
      <c r="X618" s="72"/>
      <c r="Y618" s="68"/>
      <c r="Z618" s="69"/>
      <c r="AA618" s="30"/>
      <c r="AB618" s="29"/>
      <c r="AC618" s="70"/>
      <c r="AD618" s="30"/>
      <c r="AE618" s="71"/>
      <c r="AF618" s="73"/>
    </row>
    <row r="619" ht="15.75" customHeight="1">
      <c r="X619" s="72"/>
      <c r="Y619" s="68"/>
      <c r="Z619" s="69"/>
      <c r="AA619" s="30"/>
      <c r="AB619" s="29"/>
      <c r="AC619" s="70"/>
      <c r="AD619" s="30"/>
      <c r="AE619" s="71"/>
      <c r="AF619" s="73"/>
    </row>
    <row r="620" ht="15.75" customHeight="1">
      <c r="X620" s="72"/>
      <c r="Y620" s="68"/>
      <c r="Z620" s="69"/>
      <c r="AA620" s="30"/>
      <c r="AB620" s="29"/>
      <c r="AC620" s="70"/>
      <c r="AD620" s="30"/>
      <c r="AE620" s="71"/>
      <c r="AF620" s="73"/>
    </row>
    <row r="621" ht="15.75" customHeight="1">
      <c r="X621" s="72"/>
      <c r="Y621" s="68"/>
      <c r="Z621" s="69"/>
      <c r="AA621" s="30"/>
      <c r="AB621" s="29"/>
      <c r="AC621" s="70"/>
      <c r="AD621" s="30"/>
      <c r="AE621" s="71"/>
      <c r="AF621" s="73"/>
    </row>
    <row r="622" ht="15.75" customHeight="1">
      <c r="X622" s="72"/>
      <c r="Y622" s="68"/>
      <c r="Z622" s="69"/>
      <c r="AA622" s="30"/>
      <c r="AB622" s="29"/>
      <c r="AC622" s="70"/>
      <c r="AD622" s="30"/>
      <c r="AE622" s="71"/>
      <c r="AF622" s="73"/>
    </row>
    <row r="623" ht="15.75" customHeight="1">
      <c r="X623" s="72"/>
      <c r="Y623" s="68"/>
      <c r="Z623" s="69"/>
      <c r="AA623" s="30"/>
      <c r="AB623" s="29"/>
      <c r="AC623" s="70"/>
      <c r="AD623" s="30"/>
      <c r="AE623" s="71"/>
      <c r="AF623" s="73"/>
    </row>
    <row r="624" ht="15.75" customHeight="1">
      <c r="X624" s="72"/>
      <c r="Y624" s="68"/>
      <c r="Z624" s="69"/>
      <c r="AA624" s="30"/>
      <c r="AB624" s="29"/>
      <c r="AC624" s="70"/>
      <c r="AD624" s="30"/>
      <c r="AE624" s="71"/>
      <c r="AF624" s="73"/>
    </row>
    <row r="625" ht="15.75" customHeight="1">
      <c r="X625" s="72"/>
      <c r="Y625" s="68"/>
      <c r="Z625" s="69"/>
      <c r="AA625" s="30"/>
      <c r="AB625" s="29"/>
      <c r="AC625" s="70"/>
      <c r="AD625" s="30"/>
      <c r="AE625" s="71"/>
      <c r="AF625" s="73"/>
    </row>
    <row r="626" ht="15.75" customHeight="1">
      <c r="X626" s="72"/>
      <c r="Y626" s="68"/>
      <c r="Z626" s="69"/>
      <c r="AA626" s="30"/>
      <c r="AB626" s="29"/>
      <c r="AC626" s="70"/>
      <c r="AD626" s="30"/>
      <c r="AE626" s="71"/>
      <c r="AF626" s="73"/>
    </row>
    <row r="627" ht="15.75" customHeight="1">
      <c r="X627" s="72"/>
      <c r="Y627" s="68"/>
      <c r="Z627" s="69"/>
      <c r="AA627" s="30"/>
      <c r="AB627" s="29"/>
      <c r="AC627" s="70"/>
      <c r="AD627" s="30"/>
      <c r="AE627" s="71"/>
      <c r="AF627" s="73"/>
    </row>
    <row r="628" ht="15.75" customHeight="1">
      <c r="X628" s="72"/>
      <c r="Y628" s="68"/>
      <c r="Z628" s="69"/>
      <c r="AA628" s="30"/>
      <c r="AB628" s="29"/>
      <c r="AC628" s="70"/>
      <c r="AD628" s="30"/>
      <c r="AE628" s="71"/>
      <c r="AF628" s="73"/>
    </row>
    <row r="629" ht="15.75" customHeight="1">
      <c r="X629" s="72"/>
      <c r="Y629" s="68"/>
      <c r="Z629" s="69"/>
      <c r="AA629" s="30"/>
      <c r="AB629" s="29"/>
      <c r="AC629" s="70"/>
      <c r="AD629" s="30"/>
      <c r="AE629" s="71"/>
      <c r="AF629" s="73"/>
    </row>
    <row r="630" ht="15.75" customHeight="1">
      <c r="X630" s="72"/>
      <c r="Y630" s="68"/>
      <c r="Z630" s="69"/>
      <c r="AA630" s="30"/>
      <c r="AB630" s="29"/>
      <c r="AC630" s="70"/>
      <c r="AD630" s="30"/>
      <c r="AE630" s="71"/>
      <c r="AF630" s="73"/>
    </row>
    <row r="631" ht="15.75" customHeight="1">
      <c r="X631" s="72"/>
      <c r="Y631" s="68"/>
      <c r="Z631" s="69"/>
      <c r="AA631" s="30"/>
      <c r="AB631" s="29"/>
      <c r="AC631" s="70"/>
      <c r="AD631" s="30"/>
      <c r="AE631" s="71"/>
      <c r="AF631" s="73"/>
    </row>
    <row r="632" ht="15.75" customHeight="1">
      <c r="X632" s="72"/>
      <c r="Y632" s="68"/>
      <c r="Z632" s="69"/>
      <c r="AA632" s="30"/>
      <c r="AB632" s="29"/>
      <c r="AC632" s="70"/>
      <c r="AD632" s="30"/>
      <c r="AE632" s="71"/>
      <c r="AF632" s="73"/>
    </row>
    <row r="633" ht="15.75" customHeight="1">
      <c r="X633" s="72"/>
      <c r="Y633" s="68"/>
      <c r="Z633" s="69"/>
      <c r="AA633" s="30"/>
      <c r="AB633" s="29"/>
      <c r="AC633" s="70"/>
      <c r="AD633" s="30"/>
      <c r="AE633" s="71"/>
      <c r="AF633" s="73"/>
    </row>
    <row r="634" ht="15.75" customHeight="1">
      <c r="X634" s="72"/>
      <c r="Y634" s="68"/>
      <c r="Z634" s="69"/>
      <c r="AA634" s="30"/>
      <c r="AB634" s="29"/>
      <c r="AC634" s="70"/>
      <c r="AD634" s="30"/>
      <c r="AE634" s="71"/>
      <c r="AF634" s="73"/>
    </row>
    <row r="635" ht="15.75" customHeight="1">
      <c r="X635" s="72"/>
      <c r="Y635" s="68"/>
      <c r="Z635" s="69"/>
      <c r="AA635" s="30"/>
      <c r="AB635" s="29"/>
      <c r="AC635" s="70"/>
      <c r="AD635" s="30"/>
      <c r="AE635" s="71"/>
      <c r="AF635" s="73"/>
    </row>
    <row r="636" ht="15.75" customHeight="1">
      <c r="X636" s="72"/>
      <c r="Y636" s="68"/>
      <c r="Z636" s="69"/>
      <c r="AA636" s="30"/>
      <c r="AB636" s="29"/>
      <c r="AC636" s="70"/>
      <c r="AD636" s="30"/>
      <c r="AE636" s="71"/>
      <c r="AF636" s="73"/>
    </row>
    <row r="637" ht="15.75" customHeight="1">
      <c r="X637" s="72"/>
      <c r="Y637" s="68"/>
      <c r="Z637" s="69"/>
      <c r="AA637" s="30"/>
      <c r="AB637" s="29"/>
      <c r="AC637" s="70"/>
      <c r="AD637" s="30"/>
      <c r="AE637" s="71"/>
      <c r="AF637" s="73"/>
    </row>
    <row r="638" ht="15.75" customHeight="1">
      <c r="X638" s="72"/>
      <c r="Y638" s="68"/>
      <c r="Z638" s="69"/>
      <c r="AA638" s="30"/>
      <c r="AB638" s="29"/>
      <c r="AC638" s="70"/>
      <c r="AD638" s="30"/>
      <c r="AE638" s="71"/>
      <c r="AF638" s="73"/>
    </row>
    <row r="639" ht="15.75" customHeight="1">
      <c r="X639" s="72"/>
      <c r="Y639" s="68"/>
      <c r="Z639" s="69"/>
      <c r="AA639" s="30"/>
      <c r="AB639" s="29"/>
      <c r="AC639" s="70"/>
      <c r="AD639" s="30"/>
      <c r="AE639" s="71"/>
      <c r="AF639" s="73"/>
    </row>
    <row r="640" ht="15.75" customHeight="1">
      <c r="X640" s="72"/>
      <c r="Y640" s="68"/>
      <c r="Z640" s="69"/>
      <c r="AA640" s="30"/>
      <c r="AB640" s="29"/>
      <c r="AC640" s="70"/>
      <c r="AD640" s="30"/>
      <c r="AE640" s="71"/>
      <c r="AF640" s="73"/>
    </row>
    <row r="641" ht="15.75" customHeight="1">
      <c r="X641" s="72"/>
      <c r="Y641" s="68"/>
      <c r="Z641" s="69"/>
      <c r="AA641" s="30"/>
      <c r="AB641" s="29"/>
      <c r="AC641" s="70"/>
      <c r="AD641" s="30"/>
      <c r="AE641" s="71"/>
      <c r="AF641" s="73"/>
    </row>
    <row r="642" ht="15.75" customHeight="1">
      <c r="X642" s="72"/>
      <c r="Y642" s="68"/>
      <c r="Z642" s="69"/>
      <c r="AA642" s="30"/>
      <c r="AB642" s="29"/>
      <c r="AC642" s="70"/>
      <c r="AD642" s="30"/>
      <c r="AE642" s="71"/>
      <c r="AF642" s="73"/>
    </row>
    <row r="643" ht="15.75" customHeight="1">
      <c r="X643" s="72"/>
      <c r="Y643" s="68"/>
      <c r="Z643" s="69"/>
      <c r="AA643" s="30"/>
      <c r="AB643" s="29"/>
      <c r="AC643" s="70"/>
      <c r="AD643" s="30"/>
      <c r="AE643" s="71"/>
      <c r="AF643" s="73"/>
    </row>
    <row r="644" ht="15.75" customHeight="1">
      <c r="X644" s="72"/>
      <c r="Y644" s="68"/>
      <c r="Z644" s="69"/>
      <c r="AA644" s="30"/>
      <c r="AB644" s="29"/>
      <c r="AC644" s="70"/>
      <c r="AD644" s="30"/>
      <c r="AE644" s="71"/>
      <c r="AF644" s="73"/>
    </row>
    <row r="645" ht="15.75" customHeight="1">
      <c r="X645" s="72"/>
      <c r="Y645" s="68"/>
      <c r="Z645" s="69"/>
      <c r="AA645" s="30"/>
      <c r="AB645" s="29"/>
      <c r="AC645" s="70"/>
      <c r="AD645" s="30"/>
      <c r="AE645" s="71"/>
      <c r="AF645" s="73"/>
    </row>
    <row r="646" ht="15.75" customHeight="1">
      <c r="X646" s="72"/>
      <c r="Y646" s="68"/>
      <c r="Z646" s="69"/>
      <c r="AA646" s="30"/>
      <c r="AB646" s="29"/>
      <c r="AC646" s="70"/>
      <c r="AD646" s="30"/>
      <c r="AE646" s="71"/>
      <c r="AF646" s="73"/>
    </row>
    <row r="647" ht="15.75" customHeight="1">
      <c r="X647" s="72"/>
      <c r="Y647" s="68"/>
      <c r="Z647" s="69"/>
      <c r="AA647" s="30"/>
      <c r="AB647" s="29"/>
      <c r="AC647" s="70"/>
      <c r="AD647" s="30"/>
      <c r="AE647" s="71"/>
      <c r="AF647" s="73"/>
    </row>
    <row r="648" ht="15.75" customHeight="1">
      <c r="X648" s="72"/>
      <c r="Y648" s="68"/>
      <c r="Z648" s="69"/>
      <c r="AA648" s="30"/>
      <c r="AB648" s="29"/>
      <c r="AC648" s="70"/>
      <c r="AD648" s="30"/>
      <c r="AE648" s="71"/>
      <c r="AF648" s="73"/>
    </row>
    <row r="649" ht="15.75" customHeight="1">
      <c r="X649" s="72"/>
      <c r="Y649" s="68"/>
      <c r="Z649" s="69"/>
      <c r="AA649" s="30"/>
      <c r="AB649" s="29"/>
      <c r="AC649" s="70"/>
      <c r="AD649" s="30"/>
      <c r="AE649" s="71"/>
      <c r="AF649" s="73"/>
    </row>
    <row r="650" ht="15.75" customHeight="1">
      <c r="X650" s="72"/>
      <c r="Y650" s="68"/>
      <c r="Z650" s="69"/>
      <c r="AA650" s="30"/>
      <c r="AB650" s="29"/>
      <c r="AC650" s="70"/>
      <c r="AD650" s="30"/>
      <c r="AE650" s="71"/>
      <c r="AF650" s="73"/>
    </row>
    <row r="651" ht="15.75" customHeight="1">
      <c r="X651" s="72"/>
      <c r="Y651" s="68"/>
      <c r="Z651" s="69"/>
      <c r="AA651" s="30"/>
      <c r="AB651" s="29"/>
      <c r="AC651" s="70"/>
      <c r="AD651" s="30"/>
      <c r="AE651" s="71"/>
      <c r="AF651" s="73"/>
    </row>
    <row r="652" ht="15.75" customHeight="1">
      <c r="X652" s="72"/>
      <c r="Y652" s="68"/>
      <c r="Z652" s="69"/>
      <c r="AA652" s="30"/>
      <c r="AB652" s="29"/>
      <c r="AC652" s="70"/>
      <c r="AD652" s="30"/>
      <c r="AE652" s="71"/>
      <c r="AF652" s="73"/>
    </row>
    <row r="653" ht="15.75" customHeight="1">
      <c r="X653" s="72"/>
      <c r="Y653" s="68"/>
      <c r="Z653" s="69"/>
      <c r="AA653" s="30"/>
      <c r="AB653" s="29"/>
      <c r="AC653" s="70"/>
      <c r="AD653" s="30"/>
      <c r="AE653" s="71"/>
      <c r="AF653" s="73"/>
    </row>
    <row r="654" ht="15.75" customHeight="1">
      <c r="X654" s="72"/>
      <c r="Y654" s="68"/>
      <c r="Z654" s="69"/>
      <c r="AA654" s="30"/>
      <c r="AB654" s="29"/>
      <c r="AC654" s="70"/>
      <c r="AD654" s="30"/>
      <c r="AE654" s="71"/>
      <c r="AF654" s="73"/>
    </row>
    <row r="655" ht="15.75" customHeight="1">
      <c r="X655" s="72"/>
      <c r="Y655" s="68"/>
      <c r="Z655" s="69"/>
      <c r="AA655" s="30"/>
      <c r="AB655" s="29"/>
      <c r="AC655" s="70"/>
      <c r="AD655" s="30"/>
      <c r="AE655" s="71"/>
      <c r="AF655" s="73"/>
    </row>
    <row r="656" ht="15.75" customHeight="1">
      <c r="X656" s="72"/>
      <c r="Y656" s="68"/>
      <c r="Z656" s="69"/>
      <c r="AA656" s="30"/>
      <c r="AB656" s="29"/>
      <c r="AC656" s="70"/>
      <c r="AD656" s="30"/>
      <c r="AE656" s="71"/>
      <c r="AF656" s="73"/>
    </row>
    <row r="657" ht="15.75" customHeight="1">
      <c r="X657" s="72"/>
      <c r="Y657" s="68"/>
      <c r="Z657" s="69"/>
      <c r="AA657" s="30"/>
      <c r="AB657" s="29"/>
      <c r="AC657" s="70"/>
      <c r="AD657" s="30"/>
      <c r="AE657" s="71"/>
      <c r="AF657" s="73"/>
    </row>
    <row r="658" ht="15.75" customHeight="1">
      <c r="X658" s="72"/>
      <c r="Y658" s="68"/>
      <c r="Z658" s="69"/>
      <c r="AA658" s="30"/>
      <c r="AB658" s="29"/>
      <c r="AC658" s="70"/>
      <c r="AD658" s="30"/>
      <c r="AE658" s="71"/>
      <c r="AF658" s="73"/>
    </row>
    <row r="659" ht="15.75" customHeight="1">
      <c r="X659" s="72"/>
      <c r="Y659" s="68"/>
      <c r="Z659" s="69"/>
      <c r="AA659" s="30"/>
      <c r="AB659" s="29"/>
      <c r="AC659" s="70"/>
      <c r="AD659" s="30"/>
      <c r="AE659" s="71"/>
      <c r="AF659" s="73"/>
    </row>
    <row r="660" ht="15.75" customHeight="1">
      <c r="X660" s="72"/>
      <c r="Y660" s="68"/>
      <c r="Z660" s="69"/>
      <c r="AA660" s="30"/>
      <c r="AB660" s="29"/>
      <c r="AC660" s="70"/>
      <c r="AD660" s="30"/>
      <c r="AE660" s="71"/>
      <c r="AF660" s="73"/>
    </row>
    <row r="661" ht="15.75" customHeight="1">
      <c r="X661" s="72"/>
      <c r="Y661" s="68"/>
      <c r="Z661" s="69"/>
      <c r="AA661" s="30"/>
      <c r="AB661" s="29"/>
      <c r="AC661" s="70"/>
      <c r="AD661" s="30"/>
      <c r="AE661" s="71"/>
      <c r="AF661" s="73"/>
    </row>
    <row r="662" ht="15.75" customHeight="1">
      <c r="X662" s="72"/>
      <c r="Y662" s="68"/>
      <c r="Z662" s="69"/>
      <c r="AA662" s="30"/>
      <c r="AB662" s="29"/>
      <c r="AC662" s="70"/>
      <c r="AD662" s="30"/>
      <c r="AE662" s="71"/>
      <c r="AF662" s="73"/>
    </row>
    <row r="663" ht="15.75" customHeight="1">
      <c r="X663" s="72"/>
      <c r="Y663" s="68"/>
      <c r="Z663" s="69"/>
      <c r="AA663" s="30"/>
      <c r="AB663" s="29"/>
      <c r="AC663" s="70"/>
      <c r="AD663" s="30"/>
      <c r="AE663" s="71"/>
      <c r="AF663" s="73"/>
    </row>
    <row r="664" ht="15.75" customHeight="1">
      <c r="X664" s="72"/>
      <c r="Y664" s="68"/>
      <c r="Z664" s="69"/>
      <c r="AA664" s="30"/>
      <c r="AB664" s="29"/>
      <c r="AC664" s="70"/>
      <c r="AD664" s="30"/>
      <c r="AE664" s="71"/>
      <c r="AF664" s="73"/>
    </row>
    <row r="665" ht="15.75" customHeight="1">
      <c r="X665" s="72"/>
      <c r="Y665" s="68"/>
      <c r="Z665" s="69"/>
      <c r="AA665" s="30"/>
      <c r="AB665" s="29"/>
      <c r="AC665" s="70"/>
      <c r="AD665" s="30"/>
      <c r="AE665" s="71"/>
      <c r="AF665" s="73"/>
    </row>
    <row r="666" ht="15.75" customHeight="1">
      <c r="X666" s="72"/>
      <c r="Y666" s="68"/>
      <c r="Z666" s="69"/>
      <c r="AA666" s="30"/>
      <c r="AB666" s="29"/>
      <c r="AC666" s="70"/>
      <c r="AD666" s="30"/>
      <c r="AE666" s="71"/>
      <c r="AF666" s="73"/>
    </row>
    <row r="667" ht="15.75" customHeight="1">
      <c r="X667" s="72"/>
      <c r="Y667" s="68"/>
      <c r="Z667" s="69"/>
      <c r="AA667" s="30"/>
      <c r="AB667" s="29"/>
      <c r="AC667" s="70"/>
      <c r="AD667" s="30"/>
      <c r="AE667" s="71"/>
      <c r="AF667" s="73"/>
    </row>
    <row r="668" ht="15.75" customHeight="1">
      <c r="X668" s="72"/>
      <c r="Y668" s="68"/>
      <c r="Z668" s="69"/>
      <c r="AA668" s="30"/>
      <c r="AB668" s="29"/>
      <c r="AC668" s="70"/>
      <c r="AD668" s="30"/>
      <c r="AE668" s="71"/>
      <c r="AF668" s="73"/>
    </row>
    <row r="669" ht="15.75" customHeight="1">
      <c r="X669" s="72"/>
      <c r="Y669" s="68"/>
      <c r="Z669" s="69"/>
      <c r="AA669" s="30"/>
      <c r="AB669" s="29"/>
      <c r="AC669" s="70"/>
      <c r="AD669" s="30"/>
      <c r="AE669" s="71"/>
      <c r="AF669" s="73"/>
    </row>
    <row r="670" ht="15.75" customHeight="1">
      <c r="X670" s="72"/>
      <c r="Y670" s="68"/>
      <c r="Z670" s="69"/>
      <c r="AA670" s="30"/>
      <c r="AB670" s="29"/>
      <c r="AC670" s="70"/>
      <c r="AD670" s="30"/>
      <c r="AE670" s="71"/>
      <c r="AF670" s="73"/>
    </row>
    <row r="671" ht="15.75" customHeight="1">
      <c r="X671" s="72"/>
      <c r="Y671" s="68"/>
      <c r="Z671" s="69"/>
      <c r="AA671" s="30"/>
      <c r="AB671" s="29"/>
      <c r="AC671" s="70"/>
      <c r="AD671" s="30"/>
      <c r="AE671" s="71"/>
      <c r="AF671" s="73"/>
    </row>
    <row r="672" ht="15.75" customHeight="1">
      <c r="X672" s="72"/>
      <c r="Y672" s="68"/>
      <c r="Z672" s="69"/>
      <c r="AA672" s="30"/>
      <c r="AB672" s="29"/>
      <c r="AC672" s="70"/>
      <c r="AD672" s="30"/>
      <c r="AE672" s="71"/>
      <c r="AF672" s="73"/>
    </row>
    <row r="673" ht="15.75" customHeight="1">
      <c r="X673" s="72"/>
      <c r="Y673" s="68"/>
      <c r="Z673" s="69"/>
      <c r="AA673" s="30"/>
      <c r="AB673" s="29"/>
      <c r="AC673" s="70"/>
      <c r="AD673" s="30"/>
      <c r="AE673" s="71"/>
      <c r="AF673" s="73"/>
    </row>
    <row r="674" ht="15.75" customHeight="1">
      <c r="X674" s="72"/>
      <c r="Y674" s="68"/>
      <c r="Z674" s="69"/>
      <c r="AA674" s="30"/>
      <c r="AB674" s="29"/>
      <c r="AC674" s="70"/>
      <c r="AD674" s="30"/>
      <c r="AE674" s="71"/>
      <c r="AF674" s="73"/>
    </row>
    <row r="675" ht="15.75" customHeight="1">
      <c r="X675" s="72"/>
      <c r="Y675" s="68"/>
      <c r="Z675" s="69"/>
      <c r="AA675" s="30"/>
      <c r="AB675" s="29"/>
      <c r="AC675" s="70"/>
      <c r="AD675" s="30"/>
      <c r="AE675" s="71"/>
      <c r="AF675" s="73"/>
    </row>
    <row r="676" ht="15.75" customHeight="1">
      <c r="X676" s="72"/>
      <c r="Y676" s="68"/>
      <c r="Z676" s="69"/>
      <c r="AA676" s="30"/>
      <c r="AB676" s="29"/>
      <c r="AC676" s="70"/>
      <c r="AD676" s="30"/>
      <c r="AE676" s="71"/>
      <c r="AF676" s="73"/>
    </row>
    <row r="677" ht="15.75" customHeight="1">
      <c r="X677" s="72"/>
      <c r="Y677" s="68"/>
      <c r="Z677" s="69"/>
      <c r="AA677" s="30"/>
      <c r="AB677" s="29"/>
      <c r="AC677" s="70"/>
      <c r="AD677" s="30"/>
      <c r="AE677" s="71"/>
      <c r="AF677" s="73"/>
    </row>
    <row r="678" ht="15.75" customHeight="1">
      <c r="X678" s="72"/>
      <c r="Y678" s="68"/>
      <c r="Z678" s="69"/>
      <c r="AA678" s="30"/>
      <c r="AB678" s="29"/>
      <c r="AC678" s="70"/>
      <c r="AD678" s="30"/>
      <c r="AE678" s="71"/>
      <c r="AF678" s="73"/>
    </row>
    <row r="679" ht="15.75" customHeight="1">
      <c r="X679" s="72"/>
      <c r="Y679" s="68"/>
      <c r="Z679" s="69"/>
      <c r="AA679" s="30"/>
      <c r="AB679" s="29"/>
      <c r="AC679" s="70"/>
      <c r="AD679" s="30"/>
      <c r="AE679" s="71"/>
      <c r="AF679" s="73"/>
    </row>
    <row r="680" ht="15.75" customHeight="1">
      <c r="X680" s="72"/>
      <c r="Y680" s="68"/>
      <c r="Z680" s="69"/>
      <c r="AA680" s="30"/>
      <c r="AB680" s="29"/>
      <c r="AC680" s="70"/>
      <c r="AD680" s="30"/>
      <c r="AE680" s="71"/>
      <c r="AF680" s="73"/>
    </row>
    <row r="681" ht="15.75" customHeight="1">
      <c r="X681" s="72"/>
      <c r="Y681" s="68"/>
      <c r="Z681" s="69"/>
      <c r="AA681" s="30"/>
      <c r="AB681" s="29"/>
      <c r="AC681" s="70"/>
      <c r="AD681" s="30"/>
      <c r="AE681" s="71"/>
      <c r="AF681" s="73"/>
    </row>
    <row r="682" ht="15.75" customHeight="1">
      <c r="X682" s="72"/>
      <c r="Y682" s="68"/>
      <c r="Z682" s="69"/>
      <c r="AA682" s="30"/>
      <c r="AB682" s="29"/>
      <c r="AC682" s="70"/>
      <c r="AD682" s="30"/>
      <c r="AE682" s="71"/>
      <c r="AF682" s="73"/>
    </row>
    <row r="683" ht="15.75" customHeight="1">
      <c r="X683" s="72"/>
      <c r="Y683" s="68"/>
      <c r="Z683" s="69"/>
      <c r="AA683" s="30"/>
      <c r="AB683" s="29"/>
      <c r="AC683" s="70"/>
      <c r="AD683" s="30"/>
      <c r="AE683" s="71"/>
      <c r="AF683" s="73"/>
    </row>
    <row r="684" ht="15.75" customHeight="1">
      <c r="X684" s="72"/>
      <c r="Y684" s="68"/>
      <c r="Z684" s="69"/>
      <c r="AA684" s="30"/>
      <c r="AB684" s="29"/>
      <c r="AC684" s="70"/>
      <c r="AD684" s="30"/>
      <c r="AE684" s="71"/>
      <c r="AF684" s="73"/>
    </row>
    <row r="685" ht="15.75" customHeight="1">
      <c r="X685" s="72"/>
      <c r="Y685" s="68"/>
      <c r="Z685" s="69"/>
      <c r="AA685" s="30"/>
      <c r="AB685" s="29"/>
      <c r="AC685" s="70"/>
      <c r="AD685" s="30"/>
      <c r="AE685" s="71"/>
      <c r="AF685" s="73"/>
    </row>
    <row r="686" ht="15.75" customHeight="1">
      <c r="X686" s="72"/>
      <c r="Y686" s="68"/>
      <c r="Z686" s="69"/>
      <c r="AA686" s="30"/>
      <c r="AB686" s="29"/>
      <c r="AC686" s="70"/>
      <c r="AD686" s="30"/>
      <c r="AE686" s="71"/>
      <c r="AF686" s="73"/>
    </row>
    <row r="687" ht="15.75" customHeight="1">
      <c r="X687" s="72"/>
      <c r="Y687" s="68"/>
      <c r="Z687" s="69"/>
      <c r="AA687" s="30"/>
      <c r="AB687" s="29"/>
      <c r="AC687" s="70"/>
      <c r="AD687" s="30"/>
      <c r="AE687" s="71"/>
      <c r="AF687" s="73"/>
    </row>
    <row r="688" ht="15.75" customHeight="1">
      <c r="X688" s="72"/>
      <c r="Y688" s="68"/>
      <c r="Z688" s="69"/>
      <c r="AA688" s="30"/>
      <c r="AB688" s="29"/>
      <c r="AC688" s="70"/>
      <c r="AD688" s="30"/>
      <c r="AE688" s="71"/>
      <c r="AF688" s="73"/>
    </row>
    <row r="689" ht="15.75" customHeight="1">
      <c r="X689" s="72"/>
      <c r="Y689" s="68"/>
      <c r="Z689" s="69"/>
      <c r="AA689" s="30"/>
      <c r="AB689" s="29"/>
      <c r="AC689" s="70"/>
      <c r="AD689" s="30"/>
      <c r="AE689" s="71"/>
      <c r="AF689" s="73"/>
    </row>
    <row r="690" ht="15.75" customHeight="1">
      <c r="X690" s="72"/>
      <c r="Y690" s="68"/>
      <c r="Z690" s="69"/>
      <c r="AA690" s="30"/>
      <c r="AB690" s="29"/>
      <c r="AC690" s="70"/>
      <c r="AD690" s="30"/>
      <c r="AE690" s="71"/>
      <c r="AF690" s="73"/>
    </row>
    <row r="691" ht="15.75" customHeight="1">
      <c r="X691" s="72"/>
      <c r="Y691" s="68"/>
      <c r="Z691" s="69"/>
      <c r="AA691" s="30"/>
      <c r="AB691" s="29"/>
      <c r="AC691" s="70"/>
      <c r="AD691" s="30"/>
      <c r="AE691" s="71"/>
      <c r="AF691" s="73"/>
    </row>
    <row r="692" ht="15.75" customHeight="1">
      <c r="X692" s="72"/>
      <c r="Y692" s="68"/>
      <c r="Z692" s="69"/>
      <c r="AA692" s="30"/>
      <c r="AB692" s="29"/>
      <c r="AC692" s="70"/>
      <c r="AD692" s="30"/>
      <c r="AE692" s="71"/>
      <c r="AF692" s="73"/>
    </row>
    <row r="693" ht="15.75" customHeight="1">
      <c r="X693" s="72"/>
      <c r="Y693" s="68"/>
      <c r="Z693" s="69"/>
      <c r="AA693" s="30"/>
      <c r="AB693" s="29"/>
      <c r="AC693" s="70"/>
      <c r="AD693" s="30"/>
      <c r="AE693" s="71"/>
      <c r="AF693" s="73"/>
    </row>
    <row r="694" ht="15.75" customHeight="1">
      <c r="X694" s="72"/>
      <c r="Y694" s="68"/>
      <c r="Z694" s="69"/>
      <c r="AA694" s="30"/>
      <c r="AB694" s="29"/>
      <c r="AC694" s="70"/>
      <c r="AD694" s="30"/>
      <c r="AE694" s="71"/>
      <c r="AF694" s="73"/>
    </row>
    <row r="695" ht="15.75" customHeight="1">
      <c r="X695" s="72"/>
      <c r="Y695" s="68"/>
      <c r="Z695" s="69"/>
      <c r="AA695" s="30"/>
      <c r="AB695" s="29"/>
      <c r="AC695" s="70"/>
      <c r="AD695" s="30"/>
      <c r="AE695" s="71"/>
      <c r="AF695" s="73"/>
    </row>
    <row r="696" ht="15.75" customHeight="1">
      <c r="X696" s="72"/>
      <c r="Y696" s="68"/>
      <c r="Z696" s="69"/>
      <c r="AA696" s="30"/>
      <c r="AB696" s="29"/>
      <c r="AC696" s="70"/>
      <c r="AD696" s="30"/>
      <c r="AE696" s="71"/>
      <c r="AF696" s="73"/>
    </row>
    <row r="697" ht="15.75" customHeight="1">
      <c r="X697" s="72"/>
      <c r="Y697" s="68"/>
      <c r="Z697" s="69"/>
      <c r="AA697" s="30"/>
      <c r="AB697" s="29"/>
      <c r="AC697" s="70"/>
      <c r="AD697" s="30"/>
      <c r="AE697" s="71"/>
      <c r="AF697" s="73"/>
    </row>
    <row r="698" ht="15.75" customHeight="1">
      <c r="X698" s="72"/>
      <c r="Y698" s="68"/>
      <c r="Z698" s="69"/>
      <c r="AA698" s="30"/>
      <c r="AB698" s="29"/>
      <c r="AC698" s="70"/>
      <c r="AD698" s="30"/>
      <c r="AE698" s="71"/>
      <c r="AF698" s="73"/>
    </row>
    <row r="699" ht="15.75" customHeight="1">
      <c r="X699" s="72"/>
      <c r="Y699" s="68"/>
      <c r="Z699" s="69"/>
      <c r="AA699" s="30"/>
      <c r="AB699" s="29"/>
      <c r="AC699" s="70"/>
      <c r="AD699" s="30"/>
      <c r="AE699" s="71"/>
      <c r="AF699" s="73"/>
    </row>
    <row r="700" ht="15.75" customHeight="1">
      <c r="X700" s="72"/>
      <c r="Y700" s="68"/>
      <c r="Z700" s="69"/>
      <c r="AA700" s="30"/>
      <c r="AB700" s="29"/>
      <c r="AC700" s="70"/>
      <c r="AD700" s="30"/>
      <c r="AE700" s="71"/>
      <c r="AF700" s="73"/>
    </row>
    <row r="701" ht="15.75" customHeight="1">
      <c r="X701" s="72"/>
      <c r="Y701" s="68"/>
      <c r="Z701" s="69"/>
      <c r="AA701" s="30"/>
      <c r="AB701" s="29"/>
      <c r="AC701" s="70"/>
      <c r="AD701" s="30"/>
      <c r="AE701" s="71"/>
      <c r="AF701" s="73"/>
    </row>
    <row r="702" ht="15.75" customHeight="1">
      <c r="X702" s="72"/>
      <c r="Y702" s="68"/>
      <c r="Z702" s="69"/>
      <c r="AA702" s="30"/>
      <c r="AB702" s="29"/>
      <c r="AC702" s="70"/>
      <c r="AD702" s="30"/>
      <c r="AE702" s="71"/>
      <c r="AF702" s="73"/>
    </row>
    <row r="703" ht="15.75" customHeight="1">
      <c r="X703" s="72"/>
      <c r="Y703" s="68"/>
      <c r="Z703" s="69"/>
      <c r="AA703" s="30"/>
      <c r="AB703" s="29"/>
      <c r="AC703" s="70"/>
      <c r="AD703" s="30"/>
      <c r="AE703" s="71"/>
      <c r="AF703" s="73"/>
    </row>
    <row r="704" ht="15.75" customHeight="1">
      <c r="X704" s="72"/>
      <c r="Y704" s="68"/>
      <c r="Z704" s="69"/>
      <c r="AA704" s="30"/>
      <c r="AB704" s="29"/>
      <c r="AC704" s="70"/>
      <c r="AD704" s="30"/>
      <c r="AE704" s="71"/>
      <c r="AF704" s="73"/>
    </row>
    <row r="705" ht="15.75" customHeight="1">
      <c r="X705" s="72"/>
      <c r="Y705" s="68"/>
      <c r="Z705" s="69"/>
      <c r="AA705" s="30"/>
      <c r="AB705" s="29"/>
      <c r="AC705" s="70"/>
      <c r="AD705" s="30"/>
      <c r="AE705" s="71"/>
      <c r="AF705" s="73"/>
    </row>
    <row r="706" ht="15.75" customHeight="1">
      <c r="X706" s="72"/>
      <c r="Y706" s="68"/>
      <c r="Z706" s="69"/>
      <c r="AA706" s="30"/>
      <c r="AB706" s="29"/>
      <c r="AC706" s="70"/>
      <c r="AD706" s="30"/>
      <c r="AE706" s="71"/>
      <c r="AF706" s="73"/>
    </row>
    <row r="707" ht="15.75" customHeight="1">
      <c r="X707" s="72"/>
      <c r="Y707" s="68"/>
      <c r="Z707" s="69"/>
      <c r="AA707" s="30"/>
      <c r="AB707" s="29"/>
      <c r="AC707" s="70"/>
      <c r="AD707" s="30"/>
      <c r="AE707" s="71"/>
      <c r="AF707" s="73"/>
    </row>
    <row r="708" ht="15.75" customHeight="1">
      <c r="X708" s="72"/>
      <c r="Y708" s="68"/>
      <c r="Z708" s="69"/>
      <c r="AA708" s="30"/>
      <c r="AB708" s="29"/>
      <c r="AC708" s="70"/>
      <c r="AD708" s="30"/>
      <c r="AE708" s="71"/>
      <c r="AF708" s="73"/>
    </row>
    <row r="709" ht="15.75" customHeight="1">
      <c r="X709" s="72"/>
      <c r="Y709" s="68"/>
      <c r="Z709" s="69"/>
      <c r="AA709" s="30"/>
      <c r="AB709" s="29"/>
      <c r="AC709" s="70"/>
      <c r="AD709" s="30"/>
      <c r="AE709" s="71"/>
      <c r="AF709" s="73"/>
    </row>
    <row r="710" ht="15.75" customHeight="1">
      <c r="X710" s="72"/>
      <c r="Y710" s="68"/>
      <c r="Z710" s="69"/>
      <c r="AA710" s="30"/>
      <c r="AB710" s="29"/>
      <c r="AC710" s="70"/>
      <c r="AD710" s="30"/>
      <c r="AE710" s="71"/>
      <c r="AF710" s="73"/>
    </row>
    <row r="711" ht="15.75" customHeight="1">
      <c r="X711" s="72"/>
      <c r="Y711" s="68"/>
      <c r="Z711" s="69"/>
      <c r="AA711" s="30"/>
      <c r="AB711" s="29"/>
      <c r="AC711" s="70"/>
      <c r="AD711" s="30"/>
      <c r="AE711" s="71"/>
      <c r="AF711" s="73"/>
    </row>
    <row r="712" ht="15.75" customHeight="1">
      <c r="X712" s="72"/>
      <c r="Y712" s="68"/>
      <c r="Z712" s="69"/>
      <c r="AA712" s="30"/>
      <c r="AB712" s="29"/>
      <c r="AC712" s="70"/>
      <c r="AD712" s="30"/>
      <c r="AE712" s="71"/>
      <c r="AF712" s="73"/>
    </row>
    <row r="713" ht="15.75" customHeight="1">
      <c r="X713" s="72"/>
      <c r="Y713" s="68"/>
      <c r="Z713" s="69"/>
      <c r="AA713" s="30"/>
      <c r="AB713" s="29"/>
      <c r="AC713" s="70"/>
      <c r="AD713" s="30"/>
      <c r="AE713" s="71"/>
      <c r="AF713" s="73"/>
    </row>
    <row r="714" ht="15.75" customHeight="1">
      <c r="X714" s="72"/>
      <c r="Y714" s="68"/>
      <c r="Z714" s="69"/>
      <c r="AA714" s="30"/>
      <c r="AB714" s="29"/>
      <c r="AC714" s="70"/>
      <c r="AD714" s="30"/>
      <c r="AE714" s="71"/>
      <c r="AF714" s="73"/>
    </row>
    <row r="715" ht="15.75" customHeight="1">
      <c r="X715" s="72"/>
      <c r="Y715" s="68"/>
      <c r="Z715" s="69"/>
      <c r="AA715" s="30"/>
      <c r="AB715" s="29"/>
      <c r="AC715" s="70"/>
      <c r="AD715" s="30"/>
      <c r="AE715" s="71"/>
      <c r="AF715" s="73"/>
    </row>
    <row r="716" ht="15.75" customHeight="1">
      <c r="X716" s="72"/>
      <c r="Y716" s="68"/>
      <c r="Z716" s="69"/>
      <c r="AA716" s="30"/>
      <c r="AB716" s="29"/>
      <c r="AC716" s="70"/>
      <c r="AD716" s="30"/>
      <c r="AE716" s="71"/>
      <c r="AF716" s="73"/>
    </row>
    <row r="717" ht="15.75" customHeight="1">
      <c r="X717" s="72"/>
      <c r="Y717" s="68"/>
      <c r="Z717" s="69"/>
      <c r="AA717" s="30"/>
      <c r="AB717" s="29"/>
      <c r="AC717" s="70"/>
      <c r="AD717" s="30"/>
      <c r="AE717" s="71"/>
      <c r="AF717" s="73"/>
    </row>
    <row r="718" ht="15.75" customHeight="1">
      <c r="X718" s="72"/>
      <c r="Y718" s="68"/>
      <c r="Z718" s="69"/>
      <c r="AA718" s="30"/>
      <c r="AB718" s="29"/>
      <c r="AC718" s="70"/>
      <c r="AD718" s="30"/>
      <c r="AE718" s="71"/>
      <c r="AF718" s="73"/>
    </row>
    <row r="719" ht="15.75" customHeight="1">
      <c r="X719" s="72"/>
      <c r="Y719" s="68"/>
      <c r="Z719" s="69"/>
      <c r="AA719" s="30"/>
      <c r="AB719" s="29"/>
      <c r="AC719" s="70"/>
      <c r="AD719" s="30"/>
      <c r="AE719" s="71"/>
      <c r="AF719" s="73"/>
    </row>
    <row r="720" ht="15.75" customHeight="1">
      <c r="X720" s="72"/>
      <c r="Y720" s="68"/>
      <c r="Z720" s="69"/>
      <c r="AA720" s="30"/>
      <c r="AB720" s="29"/>
      <c r="AC720" s="70"/>
      <c r="AD720" s="30"/>
      <c r="AE720" s="71"/>
      <c r="AF720" s="73"/>
    </row>
    <row r="721" ht="15.75" customHeight="1">
      <c r="X721" s="72"/>
      <c r="Y721" s="68"/>
      <c r="Z721" s="69"/>
      <c r="AA721" s="30"/>
      <c r="AB721" s="29"/>
      <c r="AC721" s="70"/>
      <c r="AD721" s="30"/>
      <c r="AE721" s="71"/>
      <c r="AF721" s="73"/>
    </row>
    <row r="722" ht="15.75" customHeight="1">
      <c r="X722" s="72"/>
      <c r="Y722" s="68"/>
      <c r="Z722" s="69"/>
      <c r="AA722" s="30"/>
      <c r="AB722" s="29"/>
      <c r="AC722" s="70"/>
      <c r="AD722" s="30"/>
      <c r="AE722" s="71"/>
      <c r="AF722" s="73"/>
    </row>
    <row r="723" ht="15.75" customHeight="1">
      <c r="X723" s="72"/>
      <c r="Y723" s="68"/>
      <c r="Z723" s="69"/>
      <c r="AA723" s="30"/>
      <c r="AB723" s="29"/>
      <c r="AC723" s="70"/>
      <c r="AD723" s="30"/>
      <c r="AE723" s="71"/>
      <c r="AF723" s="73"/>
    </row>
    <row r="724" ht="15.75" customHeight="1">
      <c r="X724" s="72"/>
      <c r="Y724" s="68"/>
      <c r="Z724" s="69"/>
      <c r="AA724" s="30"/>
      <c r="AB724" s="29"/>
      <c r="AC724" s="70"/>
      <c r="AD724" s="30"/>
      <c r="AE724" s="71"/>
      <c r="AF724" s="73"/>
    </row>
    <row r="725" ht="15.75" customHeight="1">
      <c r="X725" s="72"/>
      <c r="Y725" s="68"/>
      <c r="Z725" s="69"/>
      <c r="AA725" s="30"/>
      <c r="AB725" s="29"/>
      <c r="AC725" s="70"/>
      <c r="AD725" s="30"/>
      <c r="AE725" s="71"/>
      <c r="AF725" s="73"/>
    </row>
    <row r="726" ht="15.75" customHeight="1">
      <c r="X726" s="72"/>
      <c r="Y726" s="68"/>
      <c r="Z726" s="69"/>
      <c r="AA726" s="30"/>
      <c r="AB726" s="29"/>
      <c r="AC726" s="70"/>
      <c r="AD726" s="30"/>
      <c r="AE726" s="71"/>
      <c r="AF726" s="73"/>
    </row>
    <row r="727" ht="15.75" customHeight="1">
      <c r="X727" s="72"/>
      <c r="Y727" s="68"/>
      <c r="Z727" s="69"/>
      <c r="AA727" s="30"/>
      <c r="AB727" s="29"/>
      <c r="AC727" s="70"/>
      <c r="AD727" s="30"/>
      <c r="AE727" s="71"/>
      <c r="AF727" s="73"/>
    </row>
    <row r="728" ht="15.75" customHeight="1">
      <c r="X728" s="72"/>
      <c r="Y728" s="68"/>
      <c r="Z728" s="69"/>
      <c r="AA728" s="30"/>
      <c r="AB728" s="29"/>
      <c r="AC728" s="70"/>
      <c r="AD728" s="30"/>
      <c r="AE728" s="71"/>
      <c r="AF728" s="73"/>
    </row>
    <row r="729" ht="15.75" customHeight="1">
      <c r="X729" s="72"/>
      <c r="Y729" s="68"/>
      <c r="Z729" s="69"/>
      <c r="AA729" s="30"/>
      <c r="AB729" s="29"/>
      <c r="AC729" s="70"/>
      <c r="AD729" s="30"/>
      <c r="AE729" s="71"/>
      <c r="AF729" s="73"/>
    </row>
    <row r="730" ht="15.75" customHeight="1">
      <c r="X730" s="72"/>
      <c r="Y730" s="68"/>
      <c r="Z730" s="69"/>
      <c r="AA730" s="30"/>
      <c r="AB730" s="29"/>
      <c r="AC730" s="70"/>
      <c r="AD730" s="30"/>
      <c r="AE730" s="71"/>
      <c r="AF730" s="73"/>
    </row>
    <row r="731" ht="15.75" customHeight="1">
      <c r="X731" s="72"/>
      <c r="Y731" s="68"/>
      <c r="Z731" s="69"/>
      <c r="AA731" s="30"/>
      <c r="AB731" s="29"/>
      <c r="AC731" s="70"/>
      <c r="AD731" s="30"/>
      <c r="AE731" s="71"/>
      <c r="AF731" s="73"/>
    </row>
    <row r="732" ht="15.75" customHeight="1">
      <c r="X732" s="72"/>
      <c r="Y732" s="68"/>
      <c r="Z732" s="69"/>
      <c r="AA732" s="30"/>
      <c r="AB732" s="29"/>
      <c r="AC732" s="70"/>
      <c r="AD732" s="30"/>
      <c r="AE732" s="71"/>
      <c r="AF732" s="73"/>
    </row>
    <row r="733" ht="15.75" customHeight="1">
      <c r="X733" s="72"/>
      <c r="Y733" s="68"/>
      <c r="Z733" s="69"/>
      <c r="AA733" s="30"/>
      <c r="AB733" s="29"/>
      <c r="AC733" s="70"/>
      <c r="AD733" s="30"/>
      <c r="AE733" s="71"/>
      <c r="AF733" s="73"/>
    </row>
    <row r="734" ht="15.75" customHeight="1">
      <c r="X734" s="72"/>
      <c r="Y734" s="68"/>
      <c r="Z734" s="69"/>
      <c r="AA734" s="30"/>
      <c r="AB734" s="29"/>
      <c r="AC734" s="70"/>
      <c r="AD734" s="30"/>
      <c r="AE734" s="71"/>
      <c r="AF734" s="73"/>
    </row>
    <row r="735" ht="15.75" customHeight="1">
      <c r="X735" s="72"/>
      <c r="Y735" s="68"/>
      <c r="Z735" s="69"/>
      <c r="AA735" s="30"/>
      <c r="AB735" s="29"/>
      <c r="AC735" s="70"/>
      <c r="AD735" s="30"/>
      <c r="AE735" s="71"/>
      <c r="AF735" s="73"/>
    </row>
    <row r="736" ht="15.75" customHeight="1">
      <c r="X736" s="72"/>
      <c r="Y736" s="68"/>
      <c r="Z736" s="69"/>
      <c r="AA736" s="30"/>
      <c r="AB736" s="29"/>
      <c r="AC736" s="70"/>
      <c r="AD736" s="30"/>
      <c r="AE736" s="71"/>
      <c r="AF736" s="73"/>
    </row>
    <row r="737" ht="15.75" customHeight="1">
      <c r="X737" s="72"/>
      <c r="Y737" s="68"/>
      <c r="Z737" s="69"/>
      <c r="AA737" s="30"/>
      <c r="AB737" s="29"/>
      <c r="AC737" s="70"/>
      <c r="AD737" s="30"/>
      <c r="AE737" s="71"/>
      <c r="AF737" s="73"/>
    </row>
    <row r="738" ht="15.75" customHeight="1">
      <c r="X738" s="72"/>
      <c r="Y738" s="68"/>
      <c r="Z738" s="69"/>
      <c r="AA738" s="30"/>
      <c r="AB738" s="29"/>
      <c r="AC738" s="70"/>
      <c r="AD738" s="30"/>
      <c r="AE738" s="71"/>
      <c r="AF738" s="73"/>
    </row>
    <row r="739" ht="15.75" customHeight="1">
      <c r="X739" s="72"/>
      <c r="Y739" s="68"/>
      <c r="Z739" s="69"/>
      <c r="AA739" s="30"/>
      <c r="AB739" s="29"/>
      <c r="AC739" s="70"/>
      <c r="AD739" s="30"/>
      <c r="AE739" s="71"/>
      <c r="AF739" s="73"/>
    </row>
    <row r="740" ht="15.75" customHeight="1">
      <c r="X740" s="72"/>
      <c r="Y740" s="68"/>
      <c r="Z740" s="69"/>
      <c r="AA740" s="30"/>
      <c r="AB740" s="29"/>
      <c r="AC740" s="70"/>
      <c r="AD740" s="30"/>
      <c r="AE740" s="71"/>
      <c r="AF740" s="73"/>
    </row>
    <row r="741" ht="15.75" customHeight="1">
      <c r="X741" s="72"/>
      <c r="Y741" s="68"/>
      <c r="Z741" s="69"/>
      <c r="AA741" s="30"/>
      <c r="AB741" s="29"/>
      <c r="AC741" s="70"/>
      <c r="AD741" s="30"/>
      <c r="AE741" s="71"/>
      <c r="AF741" s="73"/>
    </row>
    <row r="742" ht="15.75" customHeight="1">
      <c r="X742" s="72"/>
      <c r="Y742" s="68"/>
      <c r="Z742" s="69"/>
      <c r="AA742" s="30"/>
      <c r="AB742" s="29"/>
      <c r="AC742" s="70"/>
      <c r="AD742" s="30"/>
      <c r="AE742" s="71"/>
      <c r="AF742" s="73"/>
    </row>
    <row r="743" ht="15.75" customHeight="1">
      <c r="X743" s="72"/>
      <c r="Y743" s="68"/>
      <c r="Z743" s="69"/>
      <c r="AA743" s="30"/>
      <c r="AB743" s="29"/>
      <c r="AC743" s="70"/>
      <c r="AD743" s="30"/>
      <c r="AE743" s="71"/>
      <c r="AF743" s="73"/>
    </row>
    <row r="744" ht="15.75" customHeight="1">
      <c r="X744" s="72"/>
      <c r="Y744" s="68"/>
      <c r="Z744" s="69"/>
      <c r="AA744" s="30"/>
      <c r="AB744" s="29"/>
      <c r="AC744" s="70"/>
      <c r="AD744" s="30"/>
      <c r="AE744" s="71"/>
      <c r="AF744" s="73"/>
    </row>
    <row r="745" ht="15.75" customHeight="1">
      <c r="X745" s="72"/>
      <c r="Y745" s="68"/>
      <c r="Z745" s="69"/>
      <c r="AA745" s="30"/>
      <c r="AB745" s="29"/>
      <c r="AC745" s="70"/>
      <c r="AD745" s="30"/>
      <c r="AE745" s="71"/>
      <c r="AF745" s="73"/>
    </row>
    <row r="746" ht="15.75" customHeight="1">
      <c r="X746" s="72"/>
      <c r="Y746" s="68"/>
      <c r="Z746" s="69"/>
      <c r="AA746" s="30"/>
      <c r="AB746" s="29"/>
      <c r="AC746" s="70"/>
      <c r="AD746" s="30"/>
      <c r="AE746" s="71"/>
      <c r="AF746" s="73"/>
    </row>
    <row r="747" ht="15.75" customHeight="1">
      <c r="X747" s="72"/>
      <c r="Y747" s="68"/>
      <c r="Z747" s="69"/>
      <c r="AA747" s="30"/>
      <c r="AB747" s="29"/>
      <c r="AC747" s="70"/>
      <c r="AD747" s="30"/>
      <c r="AE747" s="71"/>
      <c r="AF747" s="73"/>
    </row>
    <row r="748" ht="15.75" customHeight="1">
      <c r="X748" s="72"/>
      <c r="Y748" s="68"/>
      <c r="Z748" s="69"/>
      <c r="AA748" s="30"/>
      <c r="AB748" s="29"/>
      <c r="AC748" s="70"/>
      <c r="AD748" s="30"/>
      <c r="AE748" s="71"/>
      <c r="AF748" s="73"/>
    </row>
    <row r="749" ht="15.75" customHeight="1">
      <c r="X749" s="72"/>
      <c r="Y749" s="68"/>
      <c r="Z749" s="69"/>
      <c r="AA749" s="30"/>
      <c r="AB749" s="29"/>
      <c r="AC749" s="70"/>
      <c r="AD749" s="30"/>
      <c r="AE749" s="71"/>
      <c r="AF749" s="73"/>
    </row>
    <row r="750" ht="15.75" customHeight="1">
      <c r="X750" s="72"/>
      <c r="Y750" s="68"/>
      <c r="Z750" s="69"/>
      <c r="AA750" s="30"/>
      <c r="AB750" s="29"/>
      <c r="AC750" s="70"/>
      <c r="AD750" s="30"/>
      <c r="AE750" s="71"/>
      <c r="AF750" s="73"/>
    </row>
    <row r="751" ht="15.75" customHeight="1">
      <c r="X751" s="72"/>
      <c r="Y751" s="68"/>
      <c r="Z751" s="69"/>
      <c r="AA751" s="30"/>
      <c r="AB751" s="29"/>
      <c r="AC751" s="70"/>
      <c r="AD751" s="30"/>
      <c r="AE751" s="71"/>
      <c r="AF751" s="73"/>
    </row>
    <row r="752" ht="15.75" customHeight="1">
      <c r="X752" s="72"/>
      <c r="Y752" s="68"/>
      <c r="Z752" s="69"/>
      <c r="AA752" s="30"/>
      <c r="AB752" s="29"/>
      <c r="AC752" s="70"/>
      <c r="AD752" s="30"/>
      <c r="AE752" s="71"/>
      <c r="AF752" s="73"/>
    </row>
    <row r="753" ht="15.75" customHeight="1">
      <c r="X753" s="72"/>
      <c r="Y753" s="68"/>
      <c r="Z753" s="69"/>
      <c r="AA753" s="30"/>
      <c r="AB753" s="29"/>
      <c r="AC753" s="70"/>
      <c r="AD753" s="30"/>
      <c r="AE753" s="71"/>
      <c r="AF753" s="73"/>
    </row>
    <row r="754" ht="15.75" customHeight="1">
      <c r="X754" s="72"/>
      <c r="Y754" s="68"/>
      <c r="Z754" s="69"/>
      <c r="AA754" s="30"/>
      <c r="AB754" s="29"/>
      <c r="AC754" s="70"/>
      <c r="AD754" s="30"/>
      <c r="AE754" s="71"/>
      <c r="AF754" s="73"/>
    </row>
    <row r="755" ht="15.75" customHeight="1">
      <c r="X755" s="72"/>
      <c r="Y755" s="68"/>
      <c r="Z755" s="69"/>
      <c r="AA755" s="30"/>
      <c r="AB755" s="29"/>
      <c r="AC755" s="70"/>
      <c r="AD755" s="30"/>
      <c r="AE755" s="71"/>
      <c r="AF755" s="73"/>
    </row>
    <row r="756" ht="15.75" customHeight="1">
      <c r="X756" s="72"/>
      <c r="Y756" s="68"/>
      <c r="Z756" s="69"/>
      <c r="AA756" s="30"/>
      <c r="AB756" s="29"/>
      <c r="AC756" s="70"/>
      <c r="AD756" s="30"/>
      <c r="AE756" s="71"/>
      <c r="AF756" s="73"/>
    </row>
    <row r="757" ht="15.75" customHeight="1">
      <c r="X757" s="72"/>
      <c r="Y757" s="68"/>
      <c r="Z757" s="69"/>
      <c r="AA757" s="30"/>
      <c r="AB757" s="29"/>
      <c r="AC757" s="70"/>
      <c r="AD757" s="30"/>
      <c r="AE757" s="71"/>
      <c r="AF757" s="73"/>
    </row>
    <row r="758" ht="15.75" customHeight="1">
      <c r="X758" s="72"/>
      <c r="Y758" s="68"/>
      <c r="Z758" s="69"/>
      <c r="AA758" s="30"/>
      <c r="AB758" s="29"/>
      <c r="AC758" s="70"/>
      <c r="AD758" s="30"/>
      <c r="AE758" s="71"/>
      <c r="AF758" s="73"/>
    </row>
    <row r="759" ht="15.75" customHeight="1">
      <c r="X759" s="72"/>
      <c r="Y759" s="68"/>
      <c r="Z759" s="69"/>
      <c r="AA759" s="30"/>
      <c r="AB759" s="29"/>
      <c r="AC759" s="70"/>
      <c r="AD759" s="30"/>
      <c r="AE759" s="71"/>
      <c r="AF759" s="73"/>
    </row>
    <row r="760" ht="15.75" customHeight="1">
      <c r="X760" s="72"/>
      <c r="Y760" s="68"/>
      <c r="Z760" s="69"/>
      <c r="AA760" s="30"/>
      <c r="AB760" s="29"/>
      <c r="AC760" s="70"/>
      <c r="AD760" s="30"/>
      <c r="AE760" s="71"/>
      <c r="AF760" s="73"/>
    </row>
    <row r="761" ht="15.75" customHeight="1">
      <c r="X761" s="72"/>
      <c r="Y761" s="68"/>
      <c r="Z761" s="69"/>
      <c r="AA761" s="30"/>
      <c r="AB761" s="29"/>
      <c r="AC761" s="70"/>
      <c r="AD761" s="30"/>
      <c r="AE761" s="71"/>
      <c r="AF761" s="73"/>
    </row>
    <row r="762" ht="15.75" customHeight="1">
      <c r="X762" s="72"/>
      <c r="Y762" s="68"/>
      <c r="Z762" s="69"/>
      <c r="AA762" s="30"/>
      <c r="AB762" s="29"/>
      <c r="AC762" s="70"/>
      <c r="AD762" s="30"/>
      <c r="AE762" s="71"/>
      <c r="AF762" s="73"/>
    </row>
    <row r="763" ht="15.75" customHeight="1">
      <c r="X763" s="72"/>
      <c r="Y763" s="68"/>
      <c r="Z763" s="69"/>
      <c r="AA763" s="30"/>
      <c r="AB763" s="29"/>
      <c r="AC763" s="70"/>
      <c r="AD763" s="30"/>
      <c r="AE763" s="71"/>
      <c r="AF763" s="73"/>
    </row>
    <row r="764" ht="15.75" customHeight="1">
      <c r="X764" s="72"/>
      <c r="Y764" s="68"/>
      <c r="Z764" s="69"/>
      <c r="AA764" s="30"/>
      <c r="AB764" s="29"/>
      <c r="AC764" s="70"/>
      <c r="AD764" s="30"/>
      <c r="AE764" s="71"/>
      <c r="AF764" s="73"/>
    </row>
    <row r="765" ht="15.75" customHeight="1">
      <c r="X765" s="72"/>
      <c r="Y765" s="68"/>
      <c r="Z765" s="69"/>
      <c r="AA765" s="30"/>
      <c r="AB765" s="29"/>
      <c r="AC765" s="70"/>
      <c r="AD765" s="30"/>
      <c r="AE765" s="71"/>
      <c r="AF765" s="73"/>
    </row>
    <row r="766" ht="15.75" customHeight="1">
      <c r="X766" s="72"/>
      <c r="Y766" s="68"/>
      <c r="Z766" s="69"/>
      <c r="AA766" s="30"/>
      <c r="AB766" s="29"/>
      <c r="AC766" s="70"/>
      <c r="AD766" s="30"/>
      <c r="AE766" s="71"/>
      <c r="AF766" s="73"/>
    </row>
    <row r="767" ht="15.75" customHeight="1">
      <c r="X767" s="72"/>
      <c r="Y767" s="68"/>
      <c r="Z767" s="69"/>
      <c r="AA767" s="30"/>
      <c r="AB767" s="29"/>
      <c r="AC767" s="70"/>
      <c r="AD767" s="30"/>
      <c r="AE767" s="71"/>
      <c r="AF767" s="73"/>
    </row>
    <row r="768" ht="15.75" customHeight="1">
      <c r="X768" s="72"/>
      <c r="Y768" s="68"/>
      <c r="Z768" s="69"/>
      <c r="AA768" s="30"/>
      <c r="AB768" s="29"/>
      <c r="AC768" s="70"/>
      <c r="AD768" s="30"/>
      <c r="AE768" s="71"/>
      <c r="AF768" s="73"/>
    </row>
    <row r="769" ht="15.75" customHeight="1">
      <c r="X769" s="72"/>
      <c r="Y769" s="68"/>
      <c r="Z769" s="69"/>
      <c r="AA769" s="30"/>
      <c r="AB769" s="29"/>
      <c r="AC769" s="70"/>
      <c r="AD769" s="30"/>
      <c r="AE769" s="71"/>
      <c r="AF769" s="73"/>
    </row>
    <row r="770" ht="15.75" customHeight="1">
      <c r="X770" s="72"/>
      <c r="Y770" s="68"/>
      <c r="Z770" s="69"/>
      <c r="AA770" s="30"/>
      <c r="AB770" s="29"/>
      <c r="AC770" s="70"/>
      <c r="AD770" s="30"/>
      <c r="AE770" s="71"/>
      <c r="AF770" s="73"/>
    </row>
    <row r="771" ht="15.75" customHeight="1">
      <c r="X771" s="72"/>
      <c r="Y771" s="68"/>
      <c r="Z771" s="69"/>
      <c r="AA771" s="30"/>
      <c r="AB771" s="29"/>
      <c r="AC771" s="70"/>
      <c r="AD771" s="30"/>
      <c r="AE771" s="71"/>
      <c r="AF771" s="73"/>
    </row>
    <row r="772" ht="15.75" customHeight="1">
      <c r="X772" s="72"/>
      <c r="Y772" s="68"/>
      <c r="Z772" s="69"/>
      <c r="AA772" s="30"/>
      <c r="AB772" s="29"/>
      <c r="AC772" s="70"/>
      <c r="AD772" s="30"/>
      <c r="AE772" s="71"/>
      <c r="AF772" s="73"/>
    </row>
    <row r="773" ht="15.75" customHeight="1">
      <c r="X773" s="72"/>
      <c r="Y773" s="68"/>
      <c r="Z773" s="69"/>
      <c r="AA773" s="30"/>
      <c r="AB773" s="29"/>
      <c r="AC773" s="70"/>
      <c r="AD773" s="30"/>
      <c r="AE773" s="71"/>
      <c r="AF773" s="73"/>
    </row>
    <row r="774" ht="15.75" customHeight="1">
      <c r="X774" s="72"/>
      <c r="Y774" s="68"/>
      <c r="Z774" s="69"/>
      <c r="AA774" s="30"/>
      <c r="AB774" s="29"/>
      <c r="AC774" s="70"/>
      <c r="AD774" s="30"/>
      <c r="AE774" s="71"/>
      <c r="AF774" s="73"/>
    </row>
    <row r="775" ht="15.75" customHeight="1">
      <c r="X775" s="72"/>
      <c r="Y775" s="68"/>
      <c r="Z775" s="69"/>
      <c r="AA775" s="30"/>
      <c r="AB775" s="29"/>
      <c r="AC775" s="70"/>
      <c r="AD775" s="30"/>
      <c r="AE775" s="71"/>
      <c r="AF775" s="73"/>
    </row>
    <row r="776" ht="15.75" customHeight="1">
      <c r="X776" s="72"/>
      <c r="Y776" s="68"/>
      <c r="Z776" s="69"/>
      <c r="AA776" s="30"/>
      <c r="AB776" s="29"/>
      <c r="AC776" s="70"/>
      <c r="AD776" s="30"/>
      <c r="AE776" s="71"/>
      <c r="AF776" s="73"/>
    </row>
    <row r="777" ht="15.75" customHeight="1">
      <c r="X777" s="72"/>
      <c r="Y777" s="68"/>
      <c r="Z777" s="69"/>
      <c r="AA777" s="30"/>
      <c r="AB777" s="29"/>
      <c r="AC777" s="70"/>
      <c r="AD777" s="30"/>
      <c r="AE777" s="71"/>
      <c r="AF777" s="73"/>
    </row>
    <row r="778" ht="15.75" customHeight="1">
      <c r="X778" s="72"/>
      <c r="Y778" s="68"/>
      <c r="Z778" s="69"/>
      <c r="AA778" s="30"/>
      <c r="AB778" s="29"/>
      <c r="AC778" s="70"/>
      <c r="AD778" s="30"/>
      <c r="AE778" s="71"/>
      <c r="AF778" s="73"/>
    </row>
    <row r="779" ht="15.75" customHeight="1">
      <c r="X779" s="72"/>
      <c r="Y779" s="68"/>
      <c r="Z779" s="69"/>
      <c r="AA779" s="30"/>
      <c r="AB779" s="29"/>
      <c r="AC779" s="70"/>
      <c r="AD779" s="30"/>
      <c r="AE779" s="71"/>
      <c r="AF779" s="73"/>
    </row>
    <row r="780" ht="15.75" customHeight="1">
      <c r="X780" s="72"/>
      <c r="Y780" s="68"/>
      <c r="Z780" s="69"/>
      <c r="AA780" s="30"/>
      <c r="AB780" s="29"/>
      <c r="AC780" s="70"/>
      <c r="AD780" s="30"/>
      <c r="AE780" s="71"/>
      <c r="AF780" s="73"/>
    </row>
    <row r="781" ht="15.75" customHeight="1">
      <c r="X781" s="72"/>
      <c r="Y781" s="68"/>
      <c r="Z781" s="69"/>
      <c r="AA781" s="30"/>
      <c r="AB781" s="29"/>
      <c r="AC781" s="70"/>
      <c r="AD781" s="30"/>
      <c r="AE781" s="71"/>
      <c r="AF781" s="73"/>
    </row>
    <row r="782" ht="15.75" customHeight="1">
      <c r="X782" s="72"/>
      <c r="Y782" s="68"/>
      <c r="Z782" s="69"/>
      <c r="AA782" s="30"/>
      <c r="AB782" s="29"/>
      <c r="AC782" s="70"/>
      <c r="AD782" s="30"/>
      <c r="AE782" s="71"/>
      <c r="AF782" s="73"/>
    </row>
    <row r="783" ht="15.75" customHeight="1">
      <c r="X783" s="72"/>
      <c r="Y783" s="68"/>
      <c r="Z783" s="69"/>
      <c r="AA783" s="30"/>
      <c r="AB783" s="29"/>
      <c r="AC783" s="70"/>
      <c r="AD783" s="30"/>
      <c r="AE783" s="71"/>
      <c r="AF783" s="73"/>
    </row>
    <row r="784" ht="15.75" customHeight="1">
      <c r="X784" s="72"/>
      <c r="Y784" s="68"/>
      <c r="Z784" s="69"/>
      <c r="AA784" s="30"/>
      <c r="AB784" s="29"/>
      <c r="AC784" s="70"/>
      <c r="AD784" s="30"/>
      <c r="AE784" s="71"/>
      <c r="AF784" s="73"/>
    </row>
    <row r="785" ht="15.75" customHeight="1">
      <c r="X785" s="72"/>
      <c r="Y785" s="68"/>
      <c r="Z785" s="69"/>
      <c r="AA785" s="30"/>
      <c r="AB785" s="29"/>
      <c r="AC785" s="70"/>
      <c r="AD785" s="30"/>
      <c r="AE785" s="71"/>
      <c r="AF785" s="73"/>
    </row>
    <row r="786" ht="15.75" customHeight="1">
      <c r="X786" s="72"/>
      <c r="Y786" s="68"/>
      <c r="Z786" s="69"/>
      <c r="AA786" s="30"/>
      <c r="AB786" s="29"/>
      <c r="AC786" s="70"/>
      <c r="AD786" s="30"/>
      <c r="AE786" s="71"/>
      <c r="AF786" s="73"/>
    </row>
    <row r="787" ht="15.75" customHeight="1">
      <c r="X787" s="72"/>
      <c r="Y787" s="68"/>
      <c r="Z787" s="69"/>
      <c r="AA787" s="30"/>
      <c r="AB787" s="29"/>
      <c r="AC787" s="70"/>
      <c r="AD787" s="30"/>
      <c r="AE787" s="71"/>
      <c r="AF787" s="73"/>
    </row>
    <row r="788" ht="15.75" customHeight="1">
      <c r="X788" s="72"/>
      <c r="Y788" s="68"/>
      <c r="Z788" s="69"/>
      <c r="AA788" s="30"/>
      <c r="AB788" s="29"/>
      <c r="AC788" s="70"/>
      <c r="AD788" s="30"/>
      <c r="AE788" s="71"/>
      <c r="AF788" s="73"/>
    </row>
    <row r="789" ht="15.75" customHeight="1">
      <c r="X789" s="72"/>
      <c r="Y789" s="68"/>
      <c r="Z789" s="69"/>
      <c r="AA789" s="30"/>
      <c r="AB789" s="29"/>
      <c r="AC789" s="70"/>
      <c r="AD789" s="30"/>
      <c r="AE789" s="71"/>
      <c r="AF789" s="73"/>
    </row>
    <row r="790" ht="15.75" customHeight="1">
      <c r="X790" s="72"/>
      <c r="Y790" s="68"/>
      <c r="Z790" s="69"/>
      <c r="AA790" s="30"/>
      <c r="AB790" s="29"/>
      <c r="AC790" s="70"/>
      <c r="AD790" s="30"/>
      <c r="AE790" s="71"/>
      <c r="AF790" s="73"/>
    </row>
    <row r="791" ht="15.75" customHeight="1">
      <c r="X791" s="72"/>
      <c r="Y791" s="68"/>
      <c r="Z791" s="69"/>
      <c r="AA791" s="30"/>
      <c r="AB791" s="29"/>
      <c r="AC791" s="70"/>
      <c r="AD791" s="30"/>
      <c r="AE791" s="71"/>
      <c r="AF791" s="73"/>
    </row>
    <row r="792" ht="15.75" customHeight="1">
      <c r="X792" s="72"/>
      <c r="Y792" s="68"/>
      <c r="Z792" s="69"/>
      <c r="AA792" s="30"/>
      <c r="AB792" s="29"/>
      <c r="AC792" s="70"/>
      <c r="AD792" s="30"/>
      <c r="AE792" s="71"/>
      <c r="AF792" s="73"/>
    </row>
    <row r="793" ht="15.75" customHeight="1">
      <c r="X793" s="72"/>
      <c r="Y793" s="68"/>
      <c r="Z793" s="69"/>
      <c r="AA793" s="30"/>
      <c r="AB793" s="29"/>
      <c r="AC793" s="70"/>
      <c r="AD793" s="30"/>
      <c r="AE793" s="71"/>
      <c r="AF793" s="73"/>
    </row>
    <row r="794" ht="15.75" customHeight="1">
      <c r="X794" s="72"/>
      <c r="Y794" s="68"/>
      <c r="Z794" s="69"/>
      <c r="AA794" s="30"/>
      <c r="AB794" s="29"/>
      <c r="AC794" s="70"/>
      <c r="AD794" s="30"/>
      <c r="AE794" s="71"/>
      <c r="AF794" s="73"/>
    </row>
    <row r="795" ht="15.75" customHeight="1">
      <c r="X795" s="72"/>
      <c r="Y795" s="68"/>
      <c r="Z795" s="69"/>
      <c r="AA795" s="30"/>
      <c r="AB795" s="29"/>
      <c r="AC795" s="70"/>
      <c r="AD795" s="30"/>
      <c r="AE795" s="71"/>
      <c r="AF795" s="73"/>
    </row>
    <row r="796" ht="15.75" customHeight="1">
      <c r="X796" s="72"/>
      <c r="Y796" s="68"/>
      <c r="Z796" s="69"/>
      <c r="AA796" s="30"/>
      <c r="AB796" s="29"/>
      <c r="AC796" s="70"/>
      <c r="AD796" s="30"/>
      <c r="AE796" s="71"/>
      <c r="AF796" s="73"/>
    </row>
    <row r="797" ht="15.75" customHeight="1">
      <c r="X797" s="72"/>
      <c r="Y797" s="68"/>
      <c r="Z797" s="69"/>
      <c r="AA797" s="30"/>
      <c r="AB797" s="29"/>
      <c r="AC797" s="70"/>
      <c r="AD797" s="30"/>
      <c r="AE797" s="71"/>
      <c r="AF797" s="73"/>
    </row>
    <row r="798" ht="15.75" customHeight="1">
      <c r="X798" s="72"/>
      <c r="Y798" s="68"/>
      <c r="Z798" s="69"/>
      <c r="AA798" s="30"/>
      <c r="AB798" s="29"/>
      <c r="AC798" s="70"/>
      <c r="AD798" s="30"/>
      <c r="AE798" s="71"/>
      <c r="AF798" s="73"/>
    </row>
    <row r="799" ht="15.75" customHeight="1">
      <c r="X799" s="72"/>
      <c r="Y799" s="68"/>
      <c r="Z799" s="69"/>
      <c r="AA799" s="30"/>
      <c r="AB799" s="29"/>
      <c r="AC799" s="70"/>
      <c r="AD799" s="30"/>
      <c r="AE799" s="71"/>
      <c r="AF799" s="73"/>
    </row>
    <row r="800" ht="15.75" customHeight="1">
      <c r="X800" s="72"/>
      <c r="Y800" s="68"/>
      <c r="Z800" s="69"/>
      <c r="AA800" s="30"/>
      <c r="AB800" s="29"/>
      <c r="AC800" s="70"/>
      <c r="AD800" s="30"/>
      <c r="AE800" s="71"/>
      <c r="AF800" s="73"/>
    </row>
    <row r="801" ht="15.75" customHeight="1">
      <c r="X801" s="72"/>
      <c r="Y801" s="68"/>
      <c r="Z801" s="69"/>
      <c r="AA801" s="30"/>
      <c r="AB801" s="29"/>
      <c r="AC801" s="70"/>
      <c r="AD801" s="30"/>
      <c r="AE801" s="71"/>
      <c r="AF801" s="73"/>
    </row>
    <row r="802" ht="15.75" customHeight="1">
      <c r="X802" s="72"/>
      <c r="Y802" s="68"/>
      <c r="Z802" s="69"/>
      <c r="AA802" s="30"/>
      <c r="AB802" s="29"/>
      <c r="AC802" s="70"/>
      <c r="AD802" s="30"/>
      <c r="AE802" s="71"/>
      <c r="AF802" s="73"/>
    </row>
    <row r="803" ht="15.75" customHeight="1">
      <c r="X803" s="72"/>
      <c r="Y803" s="68"/>
      <c r="Z803" s="69"/>
      <c r="AA803" s="30"/>
      <c r="AB803" s="29"/>
      <c r="AC803" s="70"/>
      <c r="AD803" s="30"/>
      <c r="AE803" s="71"/>
      <c r="AF803" s="73"/>
    </row>
    <row r="804" ht="15.75" customHeight="1">
      <c r="X804" s="72"/>
      <c r="Y804" s="68"/>
      <c r="Z804" s="69"/>
      <c r="AA804" s="30"/>
      <c r="AB804" s="29"/>
      <c r="AC804" s="70"/>
      <c r="AD804" s="30"/>
      <c r="AE804" s="71"/>
      <c r="AF804" s="73"/>
    </row>
    <row r="805" ht="15.75" customHeight="1">
      <c r="X805" s="72"/>
      <c r="Y805" s="68"/>
      <c r="Z805" s="69"/>
      <c r="AA805" s="30"/>
      <c r="AB805" s="29"/>
      <c r="AC805" s="70"/>
      <c r="AD805" s="30"/>
      <c r="AE805" s="71"/>
      <c r="AF805" s="73"/>
    </row>
    <row r="806" ht="15.75" customHeight="1">
      <c r="X806" s="72"/>
      <c r="Y806" s="68"/>
      <c r="Z806" s="69"/>
      <c r="AA806" s="30"/>
      <c r="AB806" s="29"/>
      <c r="AC806" s="70"/>
      <c r="AD806" s="30"/>
      <c r="AE806" s="71"/>
      <c r="AF806" s="73"/>
    </row>
    <row r="807" ht="15.75" customHeight="1">
      <c r="X807" s="72"/>
      <c r="Y807" s="68"/>
      <c r="Z807" s="69"/>
      <c r="AA807" s="30"/>
      <c r="AB807" s="29"/>
      <c r="AC807" s="70"/>
      <c r="AD807" s="30"/>
      <c r="AE807" s="71"/>
      <c r="AF807" s="73"/>
    </row>
    <row r="808" ht="15.75" customHeight="1">
      <c r="X808" s="72"/>
      <c r="Y808" s="68"/>
      <c r="Z808" s="69"/>
      <c r="AA808" s="30"/>
      <c r="AB808" s="29"/>
      <c r="AC808" s="70"/>
      <c r="AD808" s="30"/>
      <c r="AE808" s="71"/>
      <c r="AF808" s="73"/>
    </row>
    <row r="809" ht="15.75" customHeight="1">
      <c r="X809" s="72"/>
      <c r="Y809" s="68"/>
      <c r="Z809" s="69"/>
      <c r="AA809" s="30"/>
      <c r="AB809" s="29"/>
      <c r="AC809" s="70"/>
      <c r="AD809" s="30"/>
      <c r="AE809" s="71"/>
      <c r="AF809" s="73"/>
    </row>
    <row r="810" ht="15.75" customHeight="1">
      <c r="X810" s="72"/>
      <c r="Y810" s="68"/>
      <c r="Z810" s="69"/>
      <c r="AA810" s="30"/>
      <c r="AB810" s="29"/>
      <c r="AC810" s="70"/>
      <c r="AD810" s="30"/>
      <c r="AE810" s="71"/>
      <c r="AF810" s="73"/>
    </row>
    <row r="811" ht="15.75" customHeight="1">
      <c r="X811" s="72"/>
      <c r="Y811" s="68"/>
      <c r="Z811" s="69"/>
      <c r="AA811" s="30"/>
      <c r="AB811" s="29"/>
      <c r="AC811" s="70"/>
      <c r="AD811" s="30"/>
      <c r="AE811" s="71"/>
      <c r="AF811" s="73"/>
    </row>
    <row r="812" ht="15.75" customHeight="1">
      <c r="X812" s="72"/>
      <c r="Y812" s="68"/>
      <c r="Z812" s="69"/>
      <c r="AA812" s="30"/>
      <c r="AB812" s="29"/>
      <c r="AC812" s="70"/>
      <c r="AD812" s="30"/>
      <c r="AE812" s="71"/>
      <c r="AF812" s="73"/>
    </row>
    <row r="813" ht="15.75" customHeight="1">
      <c r="X813" s="72"/>
      <c r="Y813" s="68"/>
      <c r="Z813" s="69"/>
      <c r="AA813" s="30"/>
      <c r="AB813" s="29"/>
      <c r="AC813" s="70"/>
      <c r="AD813" s="30"/>
      <c r="AE813" s="71"/>
      <c r="AF813" s="73"/>
    </row>
    <row r="814" ht="15.75" customHeight="1">
      <c r="X814" s="72"/>
      <c r="Y814" s="68"/>
      <c r="Z814" s="69"/>
      <c r="AA814" s="30"/>
      <c r="AB814" s="29"/>
      <c r="AC814" s="70"/>
      <c r="AD814" s="30"/>
      <c r="AE814" s="71"/>
      <c r="AF814" s="73"/>
    </row>
    <row r="815" ht="15.75" customHeight="1">
      <c r="X815" s="72"/>
      <c r="Y815" s="68"/>
      <c r="Z815" s="69"/>
      <c r="AA815" s="30"/>
      <c r="AB815" s="29"/>
      <c r="AC815" s="70"/>
      <c r="AD815" s="30"/>
      <c r="AE815" s="71"/>
      <c r="AF815" s="73"/>
    </row>
    <row r="816" ht="15.75" customHeight="1">
      <c r="X816" s="72"/>
      <c r="Y816" s="68"/>
      <c r="Z816" s="69"/>
      <c r="AA816" s="30"/>
      <c r="AB816" s="29"/>
      <c r="AC816" s="70"/>
      <c r="AD816" s="30"/>
      <c r="AE816" s="71"/>
      <c r="AF816" s="73"/>
    </row>
    <row r="817" ht="15.75" customHeight="1">
      <c r="X817" s="72"/>
      <c r="Y817" s="68"/>
      <c r="Z817" s="69"/>
      <c r="AA817" s="30"/>
      <c r="AB817" s="29"/>
      <c r="AC817" s="70"/>
      <c r="AD817" s="30"/>
      <c r="AE817" s="71"/>
      <c r="AF817" s="73"/>
    </row>
    <row r="818" ht="15.75" customHeight="1">
      <c r="X818" s="72"/>
      <c r="Y818" s="68"/>
      <c r="Z818" s="69"/>
      <c r="AA818" s="30"/>
      <c r="AB818" s="29"/>
      <c r="AC818" s="70"/>
      <c r="AD818" s="30"/>
      <c r="AE818" s="71"/>
      <c r="AF818" s="73"/>
    </row>
    <row r="819" ht="15.75" customHeight="1">
      <c r="X819" s="72"/>
      <c r="Y819" s="68"/>
      <c r="Z819" s="69"/>
      <c r="AA819" s="30"/>
      <c r="AB819" s="29"/>
      <c r="AC819" s="70"/>
      <c r="AD819" s="30"/>
      <c r="AE819" s="71"/>
      <c r="AF819" s="73"/>
    </row>
    <row r="820" ht="15.75" customHeight="1">
      <c r="X820" s="72"/>
      <c r="Y820" s="68"/>
      <c r="Z820" s="69"/>
      <c r="AA820" s="30"/>
      <c r="AB820" s="29"/>
      <c r="AC820" s="70"/>
      <c r="AD820" s="30"/>
      <c r="AE820" s="71"/>
      <c r="AF820" s="73"/>
    </row>
    <row r="821" ht="15.75" customHeight="1">
      <c r="X821" s="72"/>
      <c r="Y821" s="68"/>
      <c r="Z821" s="69"/>
      <c r="AA821" s="30"/>
      <c r="AB821" s="29"/>
      <c r="AC821" s="70"/>
      <c r="AD821" s="30"/>
      <c r="AE821" s="71"/>
      <c r="AF821" s="73"/>
    </row>
    <row r="822" ht="15.75" customHeight="1">
      <c r="X822" s="72"/>
      <c r="Y822" s="68"/>
      <c r="Z822" s="69"/>
      <c r="AA822" s="30"/>
      <c r="AB822" s="29"/>
      <c r="AC822" s="70"/>
      <c r="AD822" s="30"/>
      <c r="AE822" s="71"/>
      <c r="AF822" s="73"/>
    </row>
    <row r="823" ht="15.75" customHeight="1">
      <c r="X823" s="72"/>
      <c r="Y823" s="68"/>
      <c r="Z823" s="69"/>
      <c r="AA823" s="30"/>
      <c r="AB823" s="29"/>
      <c r="AC823" s="70"/>
      <c r="AD823" s="30"/>
      <c r="AE823" s="71"/>
      <c r="AF823" s="73"/>
    </row>
    <row r="824" ht="15.75" customHeight="1">
      <c r="X824" s="72"/>
      <c r="Y824" s="68"/>
      <c r="Z824" s="69"/>
      <c r="AA824" s="30"/>
      <c r="AB824" s="29"/>
      <c r="AC824" s="70"/>
      <c r="AD824" s="30"/>
      <c r="AE824" s="71"/>
      <c r="AF824" s="73"/>
    </row>
    <row r="825" ht="15.75" customHeight="1">
      <c r="X825" s="72"/>
      <c r="Y825" s="68"/>
      <c r="Z825" s="69"/>
      <c r="AA825" s="30"/>
      <c r="AB825" s="29"/>
      <c r="AC825" s="70"/>
      <c r="AD825" s="30"/>
      <c r="AE825" s="71"/>
      <c r="AF825" s="73"/>
    </row>
    <row r="826" ht="15.75" customHeight="1">
      <c r="X826" s="72"/>
      <c r="Y826" s="68"/>
      <c r="Z826" s="69"/>
      <c r="AA826" s="30"/>
      <c r="AB826" s="29"/>
      <c r="AC826" s="70"/>
      <c r="AD826" s="30"/>
      <c r="AE826" s="71"/>
      <c r="AF826" s="73"/>
    </row>
    <row r="827" ht="15.75" customHeight="1">
      <c r="X827" s="72"/>
      <c r="Y827" s="68"/>
      <c r="Z827" s="69"/>
      <c r="AA827" s="30"/>
      <c r="AB827" s="29"/>
      <c r="AC827" s="70"/>
      <c r="AD827" s="30"/>
      <c r="AE827" s="71"/>
      <c r="AF827" s="73"/>
    </row>
    <row r="828" ht="15.75" customHeight="1">
      <c r="X828" s="72"/>
      <c r="Y828" s="68"/>
      <c r="Z828" s="69"/>
      <c r="AA828" s="30"/>
      <c r="AB828" s="29"/>
      <c r="AC828" s="70"/>
      <c r="AD828" s="30"/>
      <c r="AE828" s="71"/>
      <c r="AF828" s="73"/>
    </row>
    <row r="829" ht="15.75" customHeight="1">
      <c r="X829" s="72"/>
      <c r="Y829" s="68"/>
      <c r="Z829" s="69"/>
      <c r="AA829" s="30"/>
      <c r="AB829" s="29"/>
      <c r="AC829" s="70"/>
      <c r="AD829" s="30"/>
      <c r="AE829" s="71"/>
      <c r="AF829" s="73"/>
    </row>
    <row r="830" ht="15.75" customHeight="1">
      <c r="X830" s="72"/>
      <c r="Y830" s="68"/>
      <c r="Z830" s="69"/>
      <c r="AA830" s="30"/>
      <c r="AB830" s="29"/>
      <c r="AC830" s="70"/>
      <c r="AD830" s="30"/>
      <c r="AE830" s="71"/>
      <c r="AF830" s="73"/>
    </row>
    <row r="831" ht="15.75" customHeight="1">
      <c r="X831" s="72"/>
      <c r="Y831" s="68"/>
      <c r="Z831" s="69"/>
      <c r="AA831" s="30"/>
      <c r="AB831" s="29"/>
      <c r="AC831" s="70"/>
      <c r="AD831" s="30"/>
      <c r="AE831" s="71"/>
      <c r="AF831" s="73"/>
    </row>
    <row r="832" ht="15.75" customHeight="1">
      <c r="X832" s="72"/>
      <c r="Y832" s="68"/>
      <c r="Z832" s="69"/>
      <c r="AA832" s="30"/>
      <c r="AB832" s="29"/>
      <c r="AC832" s="70"/>
      <c r="AD832" s="30"/>
      <c r="AE832" s="71"/>
      <c r="AF832" s="73"/>
    </row>
    <row r="833" ht="15.75" customHeight="1">
      <c r="X833" s="72"/>
      <c r="Y833" s="68"/>
      <c r="Z833" s="69"/>
      <c r="AA833" s="30"/>
      <c r="AB833" s="29"/>
      <c r="AC833" s="70"/>
      <c r="AD833" s="30"/>
      <c r="AE833" s="71"/>
      <c r="AF833" s="73"/>
    </row>
    <row r="834" ht="15.75" customHeight="1">
      <c r="X834" s="72"/>
      <c r="Y834" s="68"/>
      <c r="Z834" s="69"/>
      <c r="AA834" s="30"/>
      <c r="AB834" s="29"/>
      <c r="AC834" s="70"/>
      <c r="AD834" s="30"/>
      <c r="AE834" s="71"/>
      <c r="AF834" s="73"/>
    </row>
    <row r="835" ht="15.75" customHeight="1">
      <c r="X835" s="72"/>
      <c r="Y835" s="68"/>
      <c r="Z835" s="69"/>
      <c r="AA835" s="30"/>
      <c r="AB835" s="29"/>
      <c r="AC835" s="70"/>
      <c r="AD835" s="30"/>
      <c r="AE835" s="71"/>
      <c r="AF835" s="73"/>
    </row>
    <row r="836" ht="15.75" customHeight="1">
      <c r="X836" s="72"/>
      <c r="Y836" s="68"/>
      <c r="Z836" s="69"/>
      <c r="AA836" s="30"/>
      <c r="AB836" s="29"/>
      <c r="AC836" s="70"/>
      <c r="AD836" s="30"/>
      <c r="AE836" s="71"/>
      <c r="AF836" s="73"/>
    </row>
    <row r="837" ht="15.75" customHeight="1">
      <c r="X837" s="72"/>
      <c r="Y837" s="68"/>
      <c r="Z837" s="69"/>
      <c r="AA837" s="30"/>
      <c r="AB837" s="29"/>
      <c r="AC837" s="70"/>
      <c r="AD837" s="30"/>
      <c r="AE837" s="71"/>
      <c r="AF837" s="73"/>
    </row>
    <row r="838" ht="15.75" customHeight="1">
      <c r="X838" s="72"/>
      <c r="Y838" s="68"/>
      <c r="Z838" s="69"/>
      <c r="AA838" s="30"/>
      <c r="AB838" s="29"/>
      <c r="AC838" s="70"/>
      <c r="AD838" s="30"/>
      <c r="AE838" s="71"/>
      <c r="AF838" s="73"/>
    </row>
    <row r="839" ht="15.75" customHeight="1">
      <c r="X839" s="72"/>
      <c r="Y839" s="68"/>
      <c r="Z839" s="69"/>
      <c r="AA839" s="30"/>
      <c r="AB839" s="29"/>
      <c r="AC839" s="70"/>
      <c r="AD839" s="30"/>
      <c r="AE839" s="71"/>
      <c r="AF839" s="73"/>
    </row>
    <row r="840" ht="15.75" customHeight="1">
      <c r="X840" s="72"/>
      <c r="Y840" s="68"/>
      <c r="Z840" s="69"/>
      <c r="AA840" s="30"/>
      <c r="AB840" s="29"/>
      <c r="AC840" s="70"/>
      <c r="AD840" s="30"/>
      <c r="AE840" s="71"/>
      <c r="AF840" s="73"/>
    </row>
    <row r="841" ht="15.75" customHeight="1">
      <c r="X841" s="72"/>
      <c r="Y841" s="68"/>
      <c r="Z841" s="69"/>
      <c r="AA841" s="30"/>
      <c r="AB841" s="29"/>
      <c r="AC841" s="70"/>
      <c r="AD841" s="30"/>
      <c r="AE841" s="71"/>
      <c r="AF841" s="73"/>
    </row>
    <row r="842" ht="15.75" customHeight="1">
      <c r="X842" s="72"/>
      <c r="Y842" s="68"/>
      <c r="Z842" s="69"/>
      <c r="AA842" s="30"/>
      <c r="AB842" s="29"/>
      <c r="AC842" s="70"/>
      <c r="AD842" s="30"/>
      <c r="AE842" s="71"/>
      <c r="AF842" s="73"/>
    </row>
    <row r="843" ht="15.75" customHeight="1">
      <c r="X843" s="72"/>
      <c r="Y843" s="68"/>
      <c r="Z843" s="69"/>
      <c r="AA843" s="30"/>
      <c r="AB843" s="29"/>
      <c r="AC843" s="70"/>
      <c r="AD843" s="30"/>
      <c r="AE843" s="71"/>
      <c r="AF843" s="73"/>
    </row>
    <row r="844" ht="15.75" customHeight="1">
      <c r="X844" s="72"/>
      <c r="Y844" s="68"/>
      <c r="Z844" s="69"/>
      <c r="AA844" s="30"/>
      <c r="AB844" s="29"/>
      <c r="AC844" s="70"/>
      <c r="AD844" s="30"/>
      <c r="AE844" s="71"/>
      <c r="AF844" s="73"/>
    </row>
    <row r="845" ht="15.75" customHeight="1">
      <c r="X845" s="72"/>
      <c r="Y845" s="68"/>
      <c r="Z845" s="69"/>
      <c r="AA845" s="30"/>
      <c r="AB845" s="29"/>
      <c r="AC845" s="70"/>
      <c r="AD845" s="30"/>
      <c r="AE845" s="71"/>
      <c r="AF845" s="73"/>
    </row>
    <row r="846" ht="15.75" customHeight="1">
      <c r="X846" s="72"/>
      <c r="Y846" s="68"/>
      <c r="Z846" s="69"/>
      <c r="AA846" s="30"/>
      <c r="AB846" s="29"/>
      <c r="AC846" s="70"/>
      <c r="AD846" s="30"/>
      <c r="AE846" s="71"/>
      <c r="AF846" s="73"/>
    </row>
    <row r="847" ht="15.75" customHeight="1">
      <c r="X847" s="72"/>
      <c r="Y847" s="68"/>
      <c r="Z847" s="69"/>
      <c r="AA847" s="30"/>
      <c r="AB847" s="29"/>
      <c r="AC847" s="70"/>
      <c r="AD847" s="30"/>
      <c r="AE847" s="71"/>
      <c r="AF847" s="73"/>
    </row>
    <row r="848" ht="15.75" customHeight="1">
      <c r="X848" s="72"/>
      <c r="Y848" s="68"/>
      <c r="Z848" s="69"/>
      <c r="AA848" s="30"/>
      <c r="AB848" s="29"/>
      <c r="AC848" s="70"/>
      <c r="AD848" s="30"/>
      <c r="AE848" s="71"/>
      <c r="AF848" s="73"/>
    </row>
    <row r="849" ht="15.75" customHeight="1">
      <c r="X849" s="72"/>
      <c r="Y849" s="68"/>
      <c r="Z849" s="69"/>
      <c r="AA849" s="30"/>
      <c r="AB849" s="29"/>
      <c r="AC849" s="70"/>
      <c r="AD849" s="30"/>
      <c r="AE849" s="71"/>
      <c r="AF849" s="73"/>
    </row>
    <row r="850" ht="15.75" customHeight="1">
      <c r="X850" s="72"/>
      <c r="Y850" s="68"/>
      <c r="Z850" s="69"/>
      <c r="AA850" s="30"/>
      <c r="AB850" s="29"/>
      <c r="AC850" s="70"/>
      <c r="AD850" s="30"/>
      <c r="AE850" s="71"/>
      <c r="AF850" s="73"/>
    </row>
    <row r="851" ht="15.75" customHeight="1">
      <c r="X851" s="72"/>
      <c r="Y851" s="68"/>
      <c r="Z851" s="69"/>
      <c r="AA851" s="30"/>
      <c r="AB851" s="29"/>
      <c r="AC851" s="70"/>
      <c r="AD851" s="30"/>
      <c r="AE851" s="71"/>
      <c r="AF851" s="73"/>
    </row>
    <row r="852" ht="15.75" customHeight="1">
      <c r="X852" s="72"/>
      <c r="Y852" s="68"/>
      <c r="Z852" s="69"/>
      <c r="AA852" s="30"/>
      <c r="AB852" s="29"/>
      <c r="AC852" s="70"/>
      <c r="AD852" s="30"/>
      <c r="AE852" s="71"/>
      <c r="AF852" s="73"/>
    </row>
    <row r="853" ht="15.75" customHeight="1">
      <c r="X853" s="72"/>
      <c r="Y853" s="68"/>
      <c r="Z853" s="69"/>
      <c r="AA853" s="30"/>
      <c r="AB853" s="29"/>
      <c r="AC853" s="70"/>
      <c r="AD853" s="30"/>
      <c r="AE853" s="71"/>
      <c r="AF853" s="73"/>
    </row>
    <row r="854" ht="15.75" customHeight="1">
      <c r="X854" s="72"/>
      <c r="Y854" s="68"/>
      <c r="Z854" s="69"/>
      <c r="AA854" s="30"/>
      <c r="AB854" s="29"/>
      <c r="AC854" s="70"/>
      <c r="AD854" s="30"/>
      <c r="AE854" s="71"/>
      <c r="AF854" s="73"/>
    </row>
    <row r="855" ht="15.75" customHeight="1">
      <c r="X855" s="72"/>
      <c r="Y855" s="68"/>
      <c r="Z855" s="69"/>
      <c r="AA855" s="30"/>
      <c r="AB855" s="29"/>
      <c r="AC855" s="70"/>
      <c r="AD855" s="30"/>
      <c r="AE855" s="71"/>
      <c r="AF855" s="73"/>
    </row>
    <row r="856" ht="15.75" customHeight="1">
      <c r="X856" s="72"/>
      <c r="Y856" s="68"/>
      <c r="Z856" s="69"/>
      <c r="AA856" s="30"/>
      <c r="AB856" s="29"/>
      <c r="AC856" s="70"/>
      <c r="AD856" s="30"/>
      <c r="AE856" s="71"/>
      <c r="AF856" s="73"/>
    </row>
    <row r="857" ht="15.75" customHeight="1">
      <c r="X857" s="72"/>
      <c r="Y857" s="68"/>
      <c r="Z857" s="69"/>
      <c r="AA857" s="30"/>
      <c r="AB857" s="29"/>
      <c r="AC857" s="70"/>
      <c r="AD857" s="30"/>
      <c r="AE857" s="71"/>
      <c r="AF857" s="73"/>
    </row>
    <row r="858" ht="15.75" customHeight="1">
      <c r="X858" s="72"/>
      <c r="Y858" s="68"/>
      <c r="Z858" s="69"/>
      <c r="AA858" s="30"/>
      <c r="AB858" s="29"/>
      <c r="AC858" s="70"/>
      <c r="AD858" s="30"/>
      <c r="AE858" s="71"/>
      <c r="AF858" s="73"/>
    </row>
    <row r="859" ht="15.75" customHeight="1">
      <c r="X859" s="72"/>
      <c r="Y859" s="68"/>
      <c r="Z859" s="69"/>
      <c r="AA859" s="30"/>
      <c r="AB859" s="29"/>
      <c r="AC859" s="70"/>
      <c r="AD859" s="30"/>
      <c r="AE859" s="71"/>
      <c r="AF859" s="73"/>
    </row>
    <row r="860" ht="15.75" customHeight="1">
      <c r="X860" s="72"/>
      <c r="Y860" s="68"/>
      <c r="Z860" s="69"/>
      <c r="AA860" s="30"/>
      <c r="AB860" s="29"/>
      <c r="AC860" s="70"/>
      <c r="AD860" s="30"/>
      <c r="AE860" s="71"/>
      <c r="AF860" s="73"/>
    </row>
    <row r="861" ht="15.75" customHeight="1">
      <c r="X861" s="72"/>
      <c r="Y861" s="68"/>
      <c r="Z861" s="69"/>
      <c r="AA861" s="30"/>
      <c r="AB861" s="29"/>
      <c r="AC861" s="70"/>
      <c r="AD861" s="30"/>
      <c r="AE861" s="71"/>
      <c r="AF861" s="73"/>
    </row>
    <row r="862" ht="15.75" customHeight="1">
      <c r="X862" s="72"/>
      <c r="Y862" s="68"/>
      <c r="Z862" s="69"/>
      <c r="AA862" s="30"/>
      <c r="AB862" s="29"/>
      <c r="AC862" s="70"/>
      <c r="AD862" s="30"/>
      <c r="AE862" s="71"/>
      <c r="AF862" s="73"/>
    </row>
    <row r="863" ht="15.75" customHeight="1">
      <c r="X863" s="72"/>
      <c r="Y863" s="68"/>
      <c r="Z863" s="69"/>
      <c r="AA863" s="30"/>
      <c r="AB863" s="29"/>
      <c r="AC863" s="70"/>
      <c r="AD863" s="30"/>
      <c r="AE863" s="71"/>
      <c r="AF863" s="73"/>
    </row>
    <row r="864" ht="15.75" customHeight="1">
      <c r="X864" s="72"/>
      <c r="Y864" s="68"/>
      <c r="Z864" s="69"/>
      <c r="AA864" s="30"/>
      <c r="AB864" s="29"/>
      <c r="AC864" s="70"/>
      <c r="AD864" s="30"/>
      <c r="AE864" s="71"/>
      <c r="AF864" s="73"/>
    </row>
    <row r="865" ht="15.75" customHeight="1">
      <c r="X865" s="72"/>
      <c r="Y865" s="68"/>
      <c r="Z865" s="69"/>
      <c r="AA865" s="30"/>
      <c r="AB865" s="29"/>
      <c r="AC865" s="70"/>
      <c r="AD865" s="30"/>
      <c r="AE865" s="71"/>
      <c r="AF865" s="73"/>
    </row>
    <row r="866" ht="15.75" customHeight="1">
      <c r="X866" s="72"/>
      <c r="Y866" s="68"/>
      <c r="Z866" s="69"/>
      <c r="AA866" s="30"/>
      <c r="AB866" s="29"/>
      <c r="AC866" s="70"/>
      <c r="AD866" s="30"/>
      <c r="AE866" s="71"/>
      <c r="AF866" s="73"/>
    </row>
    <row r="867" ht="15.75" customHeight="1">
      <c r="X867" s="72"/>
      <c r="Y867" s="68"/>
      <c r="Z867" s="69"/>
      <c r="AA867" s="30"/>
      <c r="AB867" s="29"/>
      <c r="AC867" s="70"/>
      <c r="AD867" s="30"/>
      <c r="AE867" s="71"/>
      <c r="AF867" s="73"/>
    </row>
    <row r="868" ht="15.75" customHeight="1">
      <c r="X868" s="72"/>
      <c r="Y868" s="68"/>
      <c r="Z868" s="69"/>
      <c r="AA868" s="30"/>
      <c r="AB868" s="29"/>
      <c r="AC868" s="70"/>
      <c r="AD868" s="30"/>
      <c r="AE868" s="71"/>
      <c r="AF868" s="73"/>
    </row>
    <row r="869" ht="15.75" customHeight="1">
      <c r="X869" s="72"/>
      <c r="Y869" s="68"/>
      <c r="Z869" s="69"/>
      <c r="AA869" s="30"/>
      <c r="AB869" s="29"/>
      <c r="AC869" s="70"/>
      <c r="AD869" s="30"/>
      <c r="AE869" s="71"/>
      <c r="AF869" s="73"/>
    </row>
    <row r="870" ht="15.75" customHeight="1">
      <c r="X870" s="72"/>
      <c r="Y870" s="68"/>
      <c r="Z870" s="69"/>
      <c r="AA870" s="30"/>
      <c r="AB870" s="29"/>
      <c r="AC870" s="70"/>
      <c r="AD870" s="30"/>
      <c r="AE870" s="71"/>
      <c r="AF870" s="73"/>
    </row>
    <row r="871" ht="15.75" customHeight="1">
      <c r="X871" s="72"/>
      <c r="Y871" s="68"/>
      <c r="Z871" s="69"/>
      <c r="AA871" s="30"/>
      <c r="AB871" s="29"/>
      <c r="AC871" s="70"/>
      <c r="AD871" s="30"/>
      <c r="AE871" s="71"/>
      <c r="AF871" s="73"/>
    </row>
    <row r="872" ht="15.75" customHeight="1">
      <c r="X872" s="72"/>
      <c r="Y872" s="68"/>
      <c r="Z872" s="69"/>
      <c r="AA872" s="30"/>
      <c r="AB872" s="29"/>
      <c r="AC872" s="70"/>
      <c r="AD872" s="30"/>
      <c r="AE872" s="71"/>
      <c r="AF872" s="73"/>
    </row>
    <row r="873" ht="15.75" customHeight="1">
      <c r="X873" s="72"/>
      <c r="Y873" s="68"/>
      <c r="Z873" s="69"/>
      <c r="AA873" s="30"/>
      <c r="AB873" s="29"/>
      <c r="AC873" s="70"/>
      <c r="AD873" s="30"/>
      <c r="AE873" s="71"/>
      <c r="AF873" s="73"/>
    </row>
    <row r="874" ht="15.75" customHeight="1">
      <c r="X874" s="72"/>
      <c r="Y874" s="68"/>
      <c r="Z874" s="69"/>
      <c r="AA874" s="30"/>
      <c r="AB874" s="29"/>
      <c r="AC874" s="70"/>
      <c r="AD874" s="30"/>
      <c r="AE874" s="71"/>
      <c r="AF874" s="73"/>
    </row>
    <row r="875" ht="15.75" customHeight="1">
      <c r="X875" s="72"/>
      <c r="Y875" s="68"/>
      <c r="Z875" s="69"/>
      <c r="AA875" s="30"/>
      <c r="AB875" s="29"/>
      <c r="AC875" s="70"/>
      <c r="AD875" s="30"/>
      <c r="AE875" s="71"/>
      <c r="AF875" s="73"/>
    </row>
    <row r="876" ht="15.75" customHeight="1">
      <c r="X876" s="72"/>
      <c r="Y876" s="68"/>
      <c r="Z876" s="69"/>
      <c r="AA876" s="30"/>
      <c r="AB876" s="29"/>
      <c r="AC876" s="70"/>
      <c r="AD876" s="30"/>
      <c r="AE876" s="71"/>
      <c r="AF876" s="73"/>
    </row>
    <row r="877" ht="15.75" customHeight="1">
      <c r="X877" s="72"/>
      <c r="Y877" s="68"/>
      <c r="Z877" s="69"/>
      <c r="AA877" s="30"/>
      <c r="AB877" s="29"/>
      <c r="AC877" s="70"/>
      <c r="AD877" s="30"/>
      <c r="AE877" s="71"/>
      <c r="AF877" s="73"/>
    </row>
    <row r="878" ht="15.75" customHeight="1">
      <c r="X878" s="72"/>
      <c r="Y878" s="68"/>
      <c r="Z878" s="69"/>
      <c r="AA878" s="30"/>
      <c r="AB878" s="29"/>
      <c r="AC878" s="70"/>
      <c r="AD878" s="30"/>
      <c r="AE878" s="71"/>
      <c r="AF878" s="73"/>
    </row>
    <row r="879" ht="15.75" customHeight="1">
      <c r="X879" s="72"/>
      <c r="Y879" s="68"/>
      <c r="Z879" s="69"/>
      <c r="AA879" s="30"/>
      <c r="AB879" s="29"/>
      <c r="AC879" s="70"/>
      <c r="AD879" s="30"/>
      <c r="AE879" s="71"/>
      <c r="AF879" s="73"/>
    </row>
    <row r="880" ht="15.75" customHeight="1">
      <c r="X880" s="72"/>
      <c r="Y880" s="68"/>
      <c r="Z880" s="69"/>
      <c r="AA880" s="30"/>
      <c r="AB880" s="29"/>
      <c r="AC880" s="70"/>
      <c r="AD880" s="30"/>
      <c r="AE880" s="71"/>
      <c r="AF880" s="73"/>
    </row>
    <row r="881" ht="15.75" customHeight="1">
      <c r="X881" s="72"/>
      <c r="Y881" s="68"/>
      <c r="Z881" s="69"/>
      <c r="AA881" s="30"/>
      <c r="AB881" s="29"/>
      <c r="AC881" s="70"/>
      <c r="AD881" s="30"/>
      <c r="AE881" s="71"/>
      <c r="AF881" s="73"/>
    </row>
    <row r="882" ht="15.75" customHeight="1">
      <c r="X882" s="72"/>
      <c r="Y882" s="68"/>
      <c r="Z882" s="69"/>
      <c r="AA882" s="30"/>
      <c r="AB882" s="29"/>
      <c r="AC882" s="70"/>
      <c r="AD882" s="30"/>
      <c r="AE882" s="71"/>
      <c r="AF882" s="73"/>
    </row>
    <row r="883" ht="15.75" customHeight="1">
      <c r="X883" s="72"/>
      <c r="Y883" s="68"/>
      <c r="Z883" s="69"/>
      <c r="AA883" s="30"/>
      <c r="AB883" s="29"/>
      <c r="AC883" s="70"/>
      <c r="AD883" s="30"/>
      <c r="AE883" s="71"/>
      <c r="AF883" s="73"/>
    </row>
    <row r="884" ht="15.75" customHeight="1">
      <c r="X884" s="72"/>
      <c r="Y884" s="68"/>
      <c r="Z884" s="69"/>
      <c r="AA884" s="30"/>
      <c r="AB884" s="29"/>
      <c r="AC884" s="70"/>
      <c r="AD884" s="30"/>
      <c r="AE884" s="71"/>
      <c r="AF884" s="73"/>
    </row>
    <row r="885" ht="15.75" customHeight="1">
      <c r="X885" s="72"/>
      <c r="Y885" s="68"/>
      <c r="Z885" s="69"/>
      <c r="AA885" s="30"/>
      <c r="AB885" s="29"/>
      <c r="AC885" s="70"/>
      <c r="AD885" s="30"/>
      <c r="AE885" s="71"/>
      <c r="AF885" s="73"/>
    </row>
    <row r="886" ht="15.75" customHeight="1">
      <c r="X886" s="72"/>
      <c r="Y886" s="68"/>
      <c r="Z886" s="69"/>
      <c r="AA886" s="30"/>
      <c r="AB886" s="29"/>
      <c r="AC886" s="70"/>
      <c r="AD886" s="30"/>
      <c r="AE886" s="71"/>
      <c r="AF886" s="73"/>
    </row>
    <row r="887" ht="15.75" customHeight="1">
      <c r="X887" s="72"/>
      <c r="Y887" s="68"/>
      <c r="Z887" s="69"/>
      <c r="AA887" s="30"/>
      <c r="AB887" s="29"/>
      <c r="AC887" s="70"/>
      <c r="AD887" s="30"/>
      <c r="AE887" s="71"/>
      <c r="AF887" s="73"/>
    </row>
    <row r="888" ht="15.75" customHeight="1">
      <c r="X888" s="72"/>
      <c r="Y888" s="68"/>
      <c r="Z888" s="69"/>
      <c r="AA888" s="30"/>
      <c r="AB888" s="29"/>
      <c r="AC888" s="70"/>
      <c r="AD888" s="30"/>
      <c r="AE888" s="71"/>
      <c r="AF888" s="73"/>
    </row>
    <row r="889" ht="15.75" customHeight="1">
      <c r="X889" s="72"/>
      <c r="Y889" s="68"/>
      <c r="Z889" s="69"/>
      <c r="AA889" s="30"/>
      <c r="AB889" s="29"/>
      <c r="AC889" s="70"/>
      <c r="AD889" s="30"/>
      <c r="AE889" s="71"/>
      <c r="AF889" s="73"/>
    </row>
    <row r="890" ht="15.75" customHeight="1">
      <c r="X890" s="72"/>
      <c r="Y890" s="68"/>
      <c r="Z890" s="69"/>
      <c r="AA890" s="30"/>
      <c r="AB890" s="29"/>
      <c r="AC890" s="70"/>
      <c r="AD890" s="30"/>
      <c r="AE890" s="71"/>
      <c r="AF890" s="73"/>
    </row>
    <row r="891" ht="15.75" customHeight="1">
      <c r="X891" s="72"/>
      <c r="Y891" s="68"/>
      <c r="Z891" s="69"/>
      <c r="AA891" s="30"/>
      <c r="AB891" s="29"/>
      <c r="AC891" s="70"/>
      <c r="AD891" s="30"/>
      <c r="AE891" s="71"/>
      <c r="AF891" s="73"/>
    </row>
    <row r="892" ht="15.75" customHeight="1">
      <c r="X892" s="72"/>
      <c r="Y892" s="68"/>
      <c r="Z892" s="69"/>
      <c r="AA892" s="30"/>
      <c r="AB892" s="29"/>
      <c r="AC892" s="70"/>
      <c r="AD892" s="30"/>
      <c r="AE892" s="71"/>
      <c r="AF892" s="73"/>
    </row>
    <row r="893" ht="15.75" customHeight="1">
      <c r="X893" s="72"/>
      <c r="Y893" s="68"/>
      <c r="Z893" s="69"/>
      <c r="AA893" s="30"/>
      <c r="AB893" s="29"/>
      <c r="AC893" s="70"/>
      <c r="AD893" s="30"/>
      <c r="AE893" s="71"/>
      <c r="AF893" s="73"/>
    </row>
    <row r="894" ht="15.75" customHeight="1">
      <c r="X894" s="72"/>
      <c r="Y894" s="68"/>
      <c r="Z894" s="69"/>
      <c r="AA894" s="30"/>
      <c r="AB894" s="29"/>
      <c r="AC894" s="70"/>
      <c r="AD894" s="30"/>
      <c r="AE894" s="71"/>
      <c r="AF894" s="73"/>
    </row>
    <row r="895" ht="15.75" customHeight="1">
      <c r="X895" s="72"/>
      <c r="Y895" s="68"/>
      <c r="Z895" s="69"/>
      <c r="AA895" s="30"/>
      <c r="AB895" s="29"/>
      <c r="AC895" s="70"/>
      <c r="AD895" s="30"/>
      <c r="AE895" s="71"/>
      <c r="AF895" s="73"/>
    </row>
    <row r="896" ht="15.75" customHeight="1">
      <c r="X896" s="72"/>
      <c r="Y896" s="68"/>
      <c r="Z896" s="69"/>
      <c r="AA896" s="30"/>
      <c r="AB896" s="29"/>
      <c r="AC896" s="70"/>
      <c r="AD896" s="30"/>
      <c r="AE896" s="71"/>
      <c r="AF896" s="73"/>
    </row>
    <row r="897" ht="15.75" customHeight="1">
      <c r="X897" s="72"/>
      <c r="Y897" s="68"/>
      <c r="Z897" s="69"/>
      <c r="AA897" s="30"/>
      <c r="AB897" s="29"/>
      <c r="AC897" s="70"/>
      <c r="AD897" s="30"/>
      <c r="AE897" s="71"/>
      <c r="AF897" s="73"/>
    </row>
    <row r="898" ht="15.75" customHeight="1">
      <c r="X898" s="72"/>
      <c r="Y898" s="68"/>
      <c r="Z898" s="69"/>
      <c r="AA898" s="30"/>
      <c r="AB898" s="29"/>
      <c r="AC898" s="70"/>
      <c r="AD898" s="30"/>
      <c r="AE898" s="71"/>
      <c r="AF898" s="73"/>
    </row>
    <row r="899" ht="15.75" customHeight="1">
      <c r="X899" s="72"/>
      <c r="Y899" s="68"/>
      <c r="Z899" s="69"/>
      <c r="AA899" s="30"/>
      <c r="AB899" s="29"/>
      <c r="AC899" s="70"/>
      <c r="AD899" s="30"/>
      <c r="AE899" s="71"/>
      <c r="AF899" s="73"/>
    </row>
    <row r="900" ht="15.75" customHeight="1">
      <c r="X900" s="72"/>
      <c r="Y900" s="68"/>
      <c r="Z900" s="69"/>
      <c r="AA900" s="30"/>
      <c r="AB900" s="29"/>
      <c r="AC900" s="70"/>
      <c r="AD900" s="30"/>
      <c r="AE900" s="71"/>
      <c r="AF900" s="73"/>
    </row>
    <row r="901" ht="15.75" customHeight="1">
      <c r="X901" s="72"/>
      <c r="Y901" s="68"/>
      <c r="Z901" s="69"/>
      <c r="AA901" s="30"/>
      <c r="AB901" s="29"/>
      <c r="AC901" s="70"/>
      <c r="AD901" s="30"/>
      <c r="AE901" s="71"/>
      <c r="AF901" s="73"/>
    </row>
    <row r="902" ht="15.75" customHeight="1">
      <c r="X902" s="72"/>
      <c r="Y902" s="68"/>
      <c r="Z902" s="69"/>
      <c r="AA902" s="30"/>
      <c r="AB902" s="29"/>
      <c r="AC902" s="70"/>
      <c r="AD902" s="30"/>
      <c r="AE902" s="71"/>
      <c r="AF902" s="73"/>
    </row>
    <row r="903" ht="15.75" customHeight="1">
      <c r="X903" s="72"/>
      <c r="Y903" s="68"/>
      <c r="Z903" s="69"/>
      <c r="AA903" s="30"/>
      <c r="AB903" s="29"/>
      <c r="AC903" s="70"/>
      <c r="AD903" s="30"/>
      <c r="AE903" s="71"/>
      <c r="AF903" s="73"/>
    </row>
    <row r="904" ht="15.75" customHeight="1">
      <c r="X904" s="72"/>
      <c r="Y904" s="68"/>
      <c r="Z904" s="69"/>
      <c r="AA904" s="30"/>
      <c r="AB904" s="29"/>
      <c r="AC904" s="70"/>
      <c r="AD904" s="30"/>
      <c r="AE904" s="71"/>
      <c r="AF904" s="73"/>
    </row>
    <row r="905" ht="15.75" customHeight="1">
      <c r="X905" s="72"/>
      <c r="Y905" s="68"/>
      <c r="Z905" s="69"/>
      <c r="AA905" s="30"/>
      <c r="AB905" s="29"/>
      <c r="AC905" s="70"/>
      <c r="AD905" s="30"/>
      <c r="AE905" s="71"/>
      <c r="AF905" s="73"/>
    </row>
    <row r="906" ht="15.75" customHeight="1">
      <c r="X906" s="72"/>
      <c r="Y906" s="68"/>
      <c r="Z906" s="69"/>
      <c r="AA906" s="30"/>
      <c r="AB906" s="29"/>
      <c r="AC906" s="70"/>
      <c r="AD906" s="30"/>
      <c r="AE906" s="71"/>
      <c r="AF906" s="73"/>
    </row>
    <row r="907" ht="15.75" customHeight="1">
      <c r="X907" s="72"/>
      <c r="Y907" s="68"/>
      <c r="Z907" s="69"/>
      <c r="AA907" s="30"/>
      <c r="AB907" s="29"/>
      <c r="AC907" s="70"/>
      <c r="AD907" s="30"/>
      <c r="AE907" s="71"/>
      <c r="AF907" s="73"/>
    </row>
    <row r="908" ht="15.75" customHeight="1">
      <c r="X908" s="72"/>
      <c r="Y908" s="68"/>
      <c r="Z908" s="69"/>
      <c r="AA908" s="30"/>
      <c r="AB908" s="29"/>
      <c r="AC908" s="70"/>
      <c r="AD908" s="30"/>
      <c r="AE908" s="71"/>
      <c r="AF908" s="73"/>
    </row>
    <row r="909" ht="15.75" customHeight="1">
      <c r="X909" s="72"/>
      <c r="Y909" s="68"/>
      <c r="Z909" s="69"/>
      <c r="AA909" s="30"/>
      <c r="AB909" s="29"/>
      <c r="AC909" s="70"/>
      <c r="AD909" s="30"/>
      <c r="AE909" s="71"/>
      <c r="AF909" s="73"/>
    </row>
    <row r="910" ht="15.75" customHeight="1">
      <c r="X910" s="72"/>
      <c r="Y910" s="68"/>
      <c r="Z910" s="69"/>
      <c r="AA910" s="30"/>
      <c r="AB910" s="29"/>
      <c r="AC910" s="70"/>
      <c r="AD910" s="30"/>
      <c r="AE910" s="71"/>
      <c r="AF910" s="73"/>
    </row>
    <row r="911" ht="15.75" customHeight="1">
      <c r="X911" s="72"/>
      <c r="Y911" s="68"/>
      <c r="Z911" s="69"/>
      <c r="AA911" s="30"/>
      <c r="AB911" s="29"/>
      <c r="AC911" s="70"/>
      <c r="AD911" s="30"/>
      <c r="AE911" s="71"/>
      <c r="AF911" s="73"/>
    </row>
    <row r="912" ht="15.75" customHeight="1">
      <c r="X912" s="72"/>
      <c r="Y912" s="68"/>
      <c r="Z912" s="69"/>
      <c r="AA912" s="30"/>
      <c r="AB912" s="29"/>
      <c r="AC912" s="70"/>
      <c r="AD912" s="30"/>
      <c r="AE912" s="71"/>
      <c r="AF912" s="73"/>
    </row>
    <row r="913" ht="15.75" customHeight="1">
      <c r="X913" s="72"/>
      <c r="Y913" s="68"/>
      <c r="Z913" s="69"/>
      <c r="AA913" s="30"/>
      <c r="AB913" s="29"/>
      <c r="AC913" s="70"/>
      <c r="AD913" s="30"/>
      <c r="AE913" s="71"/>
      <c r="AF913" s="73"/>
    </row>
    <row r="914" ht="15.75" customHeight="1">
      <c r="X914" s="72"/>
      <c r="Y914" s="68"/>
      <c r="Z914" s="69"/>
      <c r="AA914" s="30"/>
      <c r="AB914" s="29"/>
      <c r="AC914" s="70"/>
      <c r="AD914" s="30"/>
      <c r="AE914" s="71"/>
      <c r="AF914" s="73"/>
    </row>
    <row r="915" ht="15.75" customHeight="1">
      <c r="X915" s="72"/>
      <c r="Y915" s="68"/>
      <c r="Z915" s="69"/>
      <c r="AA915" s="30"/>
      <c r="AB915" s="29"/>
      <c r="AC915" s="70"/>
      <c r="AD915" s="30"/>
      <c r="AE915" s="71"/>
      <c r="AF915" s="73"/>
    </row>
    <row r="916" ht="15.75" customHeight="1">
      <c r="X916" s="72"/>
      <c r="Y916" s="68"/>
      <c r="Z916" s="69"/>
      <c r="AA916" s="30"/>
      <c r="AB916" s="29"/>
      <c r="AC916" s="70"/>
      <c r="AD916" s="30"/>
      <c r="AE916" s="71"/>
      <c r="AF916" s="73"/>
    </row>
    <row r="917" ht="15.75" customHeight="1">
      <c r="X917" s="72"/>
      <c r="Y917" s="68"/>
      <c r="Z917" s="69"/>
      <c r="AA917" s="30"/>
      <c r="AB917" s="29"/>
      <c r="AC917" s="70"/>
      <c r="AD917" s="30"/>
      <c r="AE917" s="71"/>
      <c r="AF917" s="73"/>
    </row>
    <row r="918" ht="15.75" customHeight="1">
      <c r="X918" s="72"/>
      <c r="Y918" s="68"/>
      <c r="Z918" s="69"/>
      <c r="AA918" s="30"/>
      <c r="AB918" s="29"/>
      <c r="AC918" s="70"/>
      <c r="AD918" s="30"/>
      <c r="AE918" s="71"/>
      <c r="AF918" s="73"/>
    </row>
    <row r="919" ht="15.75" customHeight="1">
      <c r="X919" s="72"/>
      <c r="Y919" s="68"/>
      <c r="Z919" s="69"/>
      <c r="AA919" s="30"/>
      <c r="AB919" s="29"/>
      <c r="AC919" s="70"/>
      <c r="AD919" s="30"/>
      <c r="AE919" s="71"/>
      <c r="AF919" s="73"/>
    </row>
    <row r="920" ht="15.75" customHeight="1">
      <c r="X920" s="72"/>
      <c r="Y920" s="68"/>
      <c r="Z920" s="69"/>
      <c r="AA920" s="30"/>
      <c r="AB920" s="29"/>
      <c r="AC920" s="70"/>
      <c r="AD920" s="30"/>
      <c r="AE920" s="71"/>
      <c r="AF920" s="73"/>
    </row>
    <row r="921" ht="15.75" customHeight="1">
      <c r="X921" s="72"/>
      <c r="Y921" s="68"/>
      <c r="Z921" s="69"/>
      <c r="AA921" s="30"/>
      <c r="AB921" s="29"/>
      <c r="AC921" s="70"/>
      <c r="AD921" s="30"/>
      <c r="AE921" s="71"/>
      <c r="AF921" s="73"/>
    </row>
    <row r="922" ht="15.75" customHeight="1">
      <c r="X922" s="72"/>
      <c r="Y922" s="68"/>
      <c r="Z922" s="69"/>
      <c r="AA922" s="30"/>
      <c r="AB922" s="29"/>
      <c r="AC922" s="70"/>
      <c r="AD922" s="30"/>
      <c r="AE922" s="71"/>
      <c r="AF922" s="73"/>
    </row>
    <row r="923" ht="15.75" customHeight="1">
      <c r="X923" s="72"/>
      <c r="Y923" s="68"/>
      <c r="Z923" s="69"/>
      <c r="AA923" s="30"/>
      <c r="AB923" s="29"/>
      <c r="AC923" s="70"/>
      <c r="AD923" s="30"/>
      <c r="AE923" s="71"/>
      <c r="AF923" s="73"/>
    </row>
    <row r="924" ht="15.75" customHeight="1">
      <c r="X924" s="72"/>
      <c r="Y924" s="68"/>
      <c r="Z924" s="69"/>
      <c r="AA924" s="30"/>
      <c r="AB924" s="29"/>
      <c r="AC924" s="70"/>
      <c r="AD924" s="30"/>
      <c r="AE924" s="71"/>
      <c r="AF924" s="73"/>
    </row>
    <row r="925" ht="15.75" customHeight="1">
      <c r="X925" s="72"/>
      <c r="Y925" s="68"/>
      <c r="Z925" s="69"/>
      <c r="AA925" s="30"/>
      <c r="AB925" s="29"/>
      <c r="AC925" s="70"/>
      <c r="AD925" s="30"/>
      <c r="AE925" s="71"/>
      <c r="AF925" s="73"/>
    </row>
    <row r="926" ht="15.75" customHeight="1">
      <c r="X926" s="72"/>
      <c r="Y926" s="68"/>
      <c r="Z926" s="69"/>
      <c r="AA926" s="30"/>
      <c r="AB926" s="29"/>
      <c r="AC926" s="70"/>
      <c r="AD926" s="30"/>
      <c r="AE926" s="71"/>
      <c r="AF926" s="73"/>
    </row>
    <row r="927" ht="15.75" customHeight="1">
      <c r="X927" s="72"/>
      <c r="Y927" s="68"/>
      <c r="Z927" s="69"/>
      <c r="AA927" s="30"/>
      <c r="AB927" s="29"/>
      <c r="AC927" s="70"/>
      <c r="AD927" s="30"/>
      <c r="AE927" s="71"/>
      <c r="AF927" s="73"/>
    </row>
    <row r="928" ht="15.75" customHeight="1">
      <c r="X928" s="72"/>
      <c r="Y928" s="68"/>
      <c r="Z928" s="69"/>
      <c r="AA928" s="30"/>
      <c r="AB928" s="29"/>
      <c r="AC928" s="70"/>
      <c r="AD928" s="30"/>
      <c r="AE928" s="71"/>
      <c r="AF928" s="73"/>
    </row>
    <row r="929" ht="15.75" customHeight="1">
      <c r="X929" s="72"/>
      <c r="Y929" s="68"/>
      <c r="Z929" s="69"/>
      <c r="AA929" s="30"/>
      <c r="AB929" s="29"/>
      <c r="AC929" s="70"/>
      <c r="AD929" s="30"/>
      <c r="AE929" s="71"/>
      <c r="AF929" s="73"/>
    </row>
    <row r="930" ht="15.75" customHeight="1">
      <c r="X930" s="72"/>
      <c r="Y930" s="68"/>
      <c r="Z930" s="69"/>
      <c r="AA930" s="30"/>
      <c r="AB930" s="29"/>
      <c r="AC930" s="70"/>
      <c r="AD930" s="30"/>
      <c r="AE930" s="71"/>
      <c r="AF930" s="73"/>
    </row>
    <row r="931" ht="15.75" customHeight="1">
      <c r="X931" s="72"/>
      <c r="Y931" s="68"/>
      <c r="Z931" s="69"/>
      <c r="AA931" s="30"/>
      <c r="AB931" s="29"/>
      <c r="AC931" s="70"/>
      <c r="AD931" s="30"/>
      <c r="AE931" s="71"/>
      <c r="AF931" s="73"/>
    </row>
    <row r="932" ht="15.75" customHeight="1">
      <c r="X932" s="72"/>
      <c r="Y932" s="68"/>
      <c r="Z932" s="69"/>
      <c r="AA932" s="30"/>
      <c r="AB932" s="29"/>
      <c r="AC932" s="70"/>
      <c r="AD932" s="30"/>
      <c r="AE932" s="71"/>
      <c r="AF932" s="73"/>
    </row>
    <row r="933" ht="15.75" customHeight="1">
      <c r="X933" s="72"/>
      <c r="Y933" s="68"/>
      <c r="Z933" s="69"/>
      <c r="AA933" s="30"/>
      <c r="AB933" s="29"/>
      <c r="AC933" s="70"/>
      <c r="AD933" s="30"/>
      <c r="AE933" s="71"/>
      <c r="AF933" s="73"/>
    </row>
    <row r="934" ht="15.75" customHeight="1">
      <c r="X934" s="72"/>
      <c r="Y934" s="68"/>
      <c r="Z934" s="69"/>
      <c r="AA934" s="30"/>
      <c r="AB934" s="29"/>
      <c r="AC934" s="70"/>
      <c r="AD934" s="30"/>
      <c r="AE934" s="71"/>
      <c r="AF934" s="73"/>
    </row>
    <row r="935" ht="15.75" customHeight="1">
      <c r="X935" s="72"/>
      <c r="Y935" s="68"/>
      <c r="Z935" s="69"/>
      <c r="AA935" s="30"/>
      <c r="AB935" s="29"/>
      <c r="AC935" s="70"/>
      <c r="AD935" s="30"/>
      <c r="AE935" s="71"/>
      <c r="AF935" s="73"/>
    </row>
    <row r="936" ht="15.75" customHeight="1">
      <c r="X936" s="72"/>
      <c r="Y936" s="68"/>
      <c r="Z936" s="69"/>
      <c r="AA936" s="30"/>
      <c r="AB936" s="29"/>
      <c r="AC936" s="70"/>
      <c r="AD936" s="30"/>
      <c r="AE936" s="71"/>
      <c r="AF936" s="73"/>
    </row>
    <row r="937" ht="15.75" customHeight="1">
      <c r="X937" s="72"/>
      <c r="Y937" s="68"/>
      <c r="Z937" s="69"/>
      <c r="AA937" s="30"/>
      <c r="AB937" s="29"/>
      <c r="AC937" s="70"/>
      <c r="AD937" s="30"/>
      <c r="AE937" s="71"/>
      <c r="AF937" s="73"/>
    </row>
    <row r="938" ht="15.75" customHeight="1">
      <c r="X938" s="72"/>
      <c r="Y938" s="68"/>
      <c r="Z938" s="69"/>
      <c r="AA938" s="30"/>
      <c r="AB938" s="29"/>
      <c r="AC938" s="70"/>
      <c r="AD938" s="30"/>
      <c r="AE938" s="71"/>
      <c r="AF938" s="73"/>
    </row>
    <row r="939" ht="15.75" customHeight="1">
      <c r="X939" s="72"/>
      <c r="Y939" s="68"/>
      <c r="Z939" s="69"/>
      <c r="AA939" s="30"/>
      <c r="AB939" s="29"/>
      <c r="AC939" s="70"/>
      <c r="AD939" s="30"/>
      <c r="AE939" s="71"/>
      <c r="AF939" s="73"/>
    </row>
    <row r="940" ht="15.75" customHeight="1">
      <c r="X940" s="72"/>
      <c r="Y940" s="68"/>
      <c r="Z940" s="69"/>
      <c r="AA940" s="30"/>
      <c r="AB940" s="29"/>
      <c r="AC940" s="70"/>
      <c r="AD940" s="30"/>
      <c r="AE940" s="71"/>
      <c r="AF940" s="73"/>
    </row>
    <row r="941" ht="15.75" customHeight="1">
      <c r="X941" s="72"/>
      <c r="Y941" s="68"/>
      <c r="Z941" s="69"/>
      <c r="AA941" s="30"/>
      <c r="AB941" s="29"/>
      <c r="AC941" s="70"/>
      <c r="AD941" s="30"/>
      <c r="AE941" s="71"/>
      <c r="AF941" s="73"/>
    </row>
    <row r="942" ht="15.75" customHeight="1">
      <c r="X942" s="72"/>
      <c r="Y942" s="68"/>
      <c r="Z942" s="69"/>
      <c r="AA942" s="30"/>
      <c r="AB942" s="29"/>
      <c r="AC942" s="70"/>
      <c r="AD942" s="30"/>
      <c r="AE942" s="71"/>
      <c r="AF942" s="73"/>
    </row>
    <row r="943" ht="15.75" customHeight="1">
      <c r="X943" s="72"/>
      <c r="Y943" s="68"/>
      <c r="Z943" s="69"/>
      <c r="AA943" s="30"/>
      <c r="AB943" s="29"/>
      <c r="AC943" s="70"/>
      <c r="AD943" s="30"/>
      <c r="AE943" s="71"/>
      <c r="AF943" s="73"/>
    </row>
    <row r="944" ht="15.75" customHeight="1">
      <c r="X944" s="72"/>
      <c r="Y944" s="68"/>
      <c r="Z944" s="69"/>
      <c r="AA944" s="30"/>
      <c r="AB944" s="29"/>
      <c r="AC944" s="70"/>
      <c r="AD944" s="30"/>
      <c r="AE944" s="71"/>
      <c r="AF944" s="73"/>
    </row>
    <row r="945" ht="15.75" customHeight="1">
      <c r="X945" s="72"/>
      <c r="Y945" s="68"/>
      <c r="Z945" s="69"/>
      <c r="AA945" s="30"/>
      <c r="AB945" s="29"/>
      <c r="AC945" s="70"/>
      <c r="AD945" s="30"/>
      <c r="AE945" s="71"/>
      <c r="AF945" s="73"/>
    </row>
    <row r="946" ht="15.75" customHeight="1">
      <c r="X946" s="72"/>
      <c r="Y946" s="68"/>
      <c r="Z946" s="69"/>
      <c r="AA946" s="30"/>
      <c r="AB946" s="29"/>
      <c r="AC946" s="70"/>
      <c r="AD946" s="30"/>
      <c r="AE946" s="71"/>
      <c r="AF946" s="73"/>
    </row>
    <row r="947" ht="15.75" customHeight="1">
      <c r="X947" s="72"/>
      <c r="Y947" s="68"/>
      <c r="Z947" s="69"/>
      <c r="AA947" s="30"/>
      <c r="AB947" s="29"/>
      <c r="AC947" s="70"/>
      <c r="AD947" s="30"/>
      <c r="AE947" s="71"/>
      <c r="AF947" s="73"/>
    </row>
    <row r="948" ht="15.75" customHeight="1">
      <c r="X948" s="72"/>
      <c r="Y948" s="68"/>
      <c r="Z948" s="69"/>
      <c r="AA948" s="30"/>
      <c r="AB948" s="29"/>
      <c r="AC948" s="70"/>
      <c r="AD948" s="30"/>
      <c r="AE948" s="71"/>
      <c r="AF948" s="73"/>
    </row>
    <row r="949" ht="15.75" customHeight="1">
      <c r="X949" s="72"/>
      <c r="Y949" s="68"/>
      <c r="Z949" s="69"/>
      <c r="AA949" s="30"/>
      <c r="AB949" s="29"/>
      <c r="AC949" s="70"/>
      <c r="AD949" s="30"/>
      <c r="AE949" s="71"/>
      <c r="AF949" s="73"/>
    </row>
    <row r="950" ht="15.75" customHeight="1">
      <c r="X950" s="72"/>
      <c r="Y950" s="68"/>
      <c r="Z950" s="69"/>
      <c r="AA950" s="30"/>
      <c r="AB950" s="29"/>
      <c r="AC950" s="70"/>
      <c r="AD950" s="30"/>
      <c r="AE950" s="71"/>
      <c r="AF950" s="73"/>
    </row>
    <row r="951" ht="15.75" customHeight="1">
      <c r="X951" s="72"/>
      <c r="Y951" s="68"/>
      <c r="Z951" s="69"/>
      <c r="AA951" s="30"/>
      <c r="AB951" s="29"/>
      <c r="AC951" s="70"/>
      <c r="AD951" s="30"/>
      <c r="AE951" s="71"/>
      <c r="AF951" s="73"/>
    </row>
    <row r="952" ht="15.75" customHeight="1">
      <c r="X952" s="72"/>
      <c r="Y952" s="68"/>
      <c r="Z952" s="69"/>
      <c r="AA952" s="30"/>
      <c r="AB952" s="29"/>
      <c r="AC952" s="70"/>
      <c r="AD952" s="30"/>
      <c r="AE952" s="71"/>
      <c r="AF952" s="73"/>
    </row>
    <row r="953" ht="15.75" customHeight="1">
      <c r="X953" s="72"/>
      <c r="Y953" s="68"/>
      <c r="Z953" s="69"/>
      <c r="AA953" s="30"/>
      <c r="AB953" s="29"/>
      <c r="AC953" s="70"/>
      <c r="AD953" s="30"/>
      <c r="AE953" s="71"/>
      <c r="AF953" s="73"/>
    </row>
    <row r="954" ht="15.75" customHeight="1">
      <c r="X954" s="72"/>
      <c r="Y954" s="68"/>
      <c r="Z954" s="69"/>
      <c r="AA954" s="30"/>
      <c r="AB954" s="29"/>
      <c r="AC954" s="70"/>
      <c r="AD954" s="30"/>
      <c r="AE954" s="71"/>
      <c r="AF954" s="73"/>
    </row>
    <row r="955" ht="15.75" customHeight="1">
      <c r="X955" s="72"/>
      <c r="Y955" s="68"/>
      <c r="Z955" s="69"/>
      <c r="AA955" s="30"/>
      <c r="AB955" s="29"/>
      <c r="AC955" s="70"/>
      <c r="AD955" s="30"/>
      <c r="AE955" s="71"/>
      <c r="AF955" s="73"/>
    </row>
    <row r="956" ht="15.75" customHeight="1">
      <c r="X956" s="72"/>
      <c r="Y956" s="68"/>
      <c r="Z956" s="69"/>
      <c r="AA956" s="30"/>
      <c r="AB956" s="29"/>
      <c r="AC956" s="70"/>
      <c r="AD956" s="30"/>
      <c r="AE956" s="71"/>
      <c r="AF956" s="73"/>
    </row>
    <row r="957" ht="15.75" customHeight="1">
      <c r="X957" s="72"/>
      <c r="Y957" s="68"/>
      <c r="Z957" s="69"/>
      <c r="AA957" s="30"/>
      <c r="AB957" s="29"/>
      <c r="AC957" s="70"/>
      <c r="AD957" s="30"/>
      <c r="AE957" s="71"/>
      <c r="AF957" s="73"/>
    </row>
    <row r="958" ht="15.75" customHeight="1">
      <c r="X958" s="72"/>
      <c r="Y958" s="68"/>
      <c r="Z958" s="69"/>
      <c r="AA958" s="30"/>
      <c r="AB958" s="29"/>
      <c r="AC958" s="70"/>
      <c r="AD958" s="30"/>
      <c r="AE958" s="71"/>
      <c r="AF958" s="73"/>
    </row>
    <row r="959" ht="15.75" customHeight="1">
      <c r="X959" s="72"/>
      <c r="Y959" s="68"/>
      <c r="Z959" s="69"/>
      <c r="AA959" s="30"/>
      <c r="AB959" s="29"/>
      <c r="AC959" s="70"/>
      <c r="AD959" s="30"/>
      <c r="AE959" s="71"/>
      <c r="AF959" s="73"/>
    </row>
    <row r="960" ht="15.75" customHeight="1">
      <c r="X960" s="72"/>
      <c r="Y960" s="68"/>
      <c r="Z960" s="69"/>
      <c r="AA960" s="30"/>
      <c r="AB960" s="29"/>
      <c r="AC960" s="70"/>
      <c r="AD960" s="30"/>
      <c r="AE960" s="71"/>
      <c r="AF960" s="73"/>
    </row>
    <row r="961" ht="15.75" customHeight="1">
      <c r="X961" s="72"/>
      <c r="Y961" s="68"/>
      <c r="Z961" s="69"/>
      <c r="AA961" s="30"/>
      <c r="AB961" s="29"/>
      <c r="AC961" s="70"/>
      <c r="AD961" s="30"/>
      <c r="AE961" s="71"/>
      <c r="AF961" s="73"/>
    </row>
    <row r="962" ht="15.75" customHeight="1">
      <c r="X962" s="72"/>
      <c r="Y962" s="68"/>
      <c r="Z962" s="69"/>
      <c r="AA962" s="30"/>
      <c r="AB962" s="29"/>
      <c r="AC962" s="70"/>
      <c r="AD962" s="30"/>
      <c r="AE962" s="71"/>
      <c r="AF962" s="73"/>
    </row>
    <row r="963" ht="15.75" customHeight="1">
      <c r="X963" s="72"/>
      <c r="Y963" s="68"/>
      <c r="Z963" s="69"/>
      <c r="AA963" s="30"/>
      <c r="AB963" s="29"/>
      <c r="AC963" s="70"/>
      <c r="AD963" s="30"/>
      <c r="AE963" s="71"/>
      <c r="AF963" s="73"/>
    </row>
    <row r="964" ht="15.75" customHeight="1">
      <c r="X964" s="72"/>
      <c r="Y964" s="68"/>
      <c r="Z964" s="69"/>
      <c r="AA964" s="30"/>
      <c r="AB964" s="29"/>
      <c r="AC964" s="70"/>
      <c r="AD964" s="30"/>
      <c r="AE964" s="71"/>
      <c r="AF964" s="73"/>
    </row>
    <row r="965" ht="15.75" customHeight="1">
      <c r="X965" s="72"/>
      <c r="Y965" s="68"/>
      <c r="Z965" s="69"/>
      <c r="AA965" s="30"/>
      <c r="AB965" s="29"/>
      <c r="AC965" s="70"/>
      <c r="AD965" s="30"/>
      <c r="AE965" s="71"/>
      <c r="AF965" s="73"/>
    </row>
    <row r="966" ht="15.75" customHeight="1">
      <c r="X966" s="72"/>
      <c r="Y966" s="68"/>
      <c r="Z966" s="69"/>
      <c r="AA966" s="30"/>
      <c r="AB966" s="29"/>
      <c r="AC966" s="70"/>
      <c r="AD966" s="30"/>
      <c r="AE966" s="71"/>
      <c r="AF966" s="73"/>
    </row>
    <row r="967" ht="15.75" customHeight="1">
      <c r="X967" s="72"/>
      <c r="Y967" s="68"/>
      <c r="Z967" s="69"/>
      <c r="AA967" s="30"/>
      <c r="AB967" s="29"/>
      <c r="AC967" s="70"/>
      <c r="AD967" s="30"/>
      <c r="AE967" s="71"/>
      <c r="AF967" s="73"/>
    </row>
    <row r="968" ht="15.75" customHeight="1">
      <c r="X968" s="72"/>
      <c r="Y968" s="68"/>
      <c r="Z968" s="69"/>
      <c r="AA968" s="30"/>
      <c r="AB968" s="29"/>
      <c r="AC968" s="70"/>
      <c r="AD968" s="30"/>
      <c r="AE968" s="71"/>
      <c r="AF968" s="73"/>
    </row>
    <row r="969" ht="15.75" customHeight="1">
      <c r="X969" s="72"/>
      <c r="Y969" s="68"/>
      <c r="Z969" s="69"/>
      <c r="AA969" s="30"/>
      <c r="AB969" s="29"/>
      <c r="AC969" s="70"/>
      <c r="AD969" s="30"/>
      <c r="AE969" s="71"/>
      <c r="AF969" s="73"/>
    </row>
    <row r="970" ht="15.75" customHeight="1">
      <c r="X970" s="72"/>
      <c r="Y970" s="68"/>
      <c r="Z970" s="69"/>
      <c r="AA970" s="30"/>
      <c r="AB970" s="29"/>
      <c r="AC970" s="70"/>
      <c r="AD970" s="30"/>
      <c r="AE970" s="71"/>
      <c r="AF970" s="73"/>
    </row>
    <row r="971" ht="15.75" customHeight="1">
      <c r="X971" s="72"/>
      <c r="Y971" s="68"/>
      <c r="Z971" s="69"/>
      <c r="AA971" s="30"/>
      <c r="AB971" s="29"/>
      <c r="AC971" s="70"/>
      <c r="AD971" s="30"/>
      <c r="AE971" s="71"/>
      <c r="AF971" s="73"/>
    </row>
    <row r="972" ht="15.75" customHeight="1">
      <c r="X972" s="72"/>
      <c r="Y972" s="68"/>
      <c r="Z972" s="69"/>
      <c r="AA972" s="30"/>
      <c r="AB972" s="29"/>
      <c r="AC972" s="70"/>
      <c r="AD972" s="30"/>
      <c r="AE972" s="71"/>
      <c r="AF972" s="73"/>
    </row>
    <row r="973" ht="15.75" customHeight="1">
      <c r="X973" s="72"/>
      <c r="Y973" s="68"/>
      <c r="Z973" s="69"/>
      <c r="AA973" s="30"/>
      <c r="AB973" s="29"/>
      <c r="AC973" s="70"/>
      <c r="AD973" s="30"/>
      <c r="AE973" s="71"/>
      <c r="AF973" s="73"/>
    </row>
    <row r="974" ht="15.75" customHeight="1">
      <c r="X974" s="72"/>
      <c r="Y974" s="68"/>
      <c r="Z974" s="69"/>
      <c r="AA974" s="30"/>
      <c r="AB974" s="29"/>
      <c r="AC974" s="70"/>
      <c r="AD974" s="30"/>
      <c r="AE974" s="71"/>
      <c r="AF974" s="73"/>
    </row>
    <row r="975" ht="15.75" customHeight="1">
      <c r="X975" s="72"/>
      <c r="Y975" s="68"/>
      <c r="Z975" s="69"/>
      <c r="AA975" s="30"/>
      <c r="AB975" s="29"/>
      <c r="AC975" s="70"/>
      <c r="AD975" s="30"/>
      <c r="AE975" s="71"/>
      <c r="AF975" s="73"/>
    </row>
    <row r="976" ht="15.75" customHeight="1">
      <c r="X976" s="72"/>
      <c r="Y976" s="68"/>
      <c r="Z976" s="69"/>
      <c r="AA976" s="30"/>
      <c r="AB976" s="29"/>
      <c r="AC976" s="70"/>
      <c r="AD976" s="30"/>
      <c r="AE976" s="71"/>
      <c r="AF976" s="73"/>
    </row>
    <row r="977" ht="15.75" customHeight="1">
      <c r="X977" s="72"/>
      <c r="Y977" s="68"/>
      <c r="Z977" s="69"/>
      <c r="AA977" s="30"/>
      <c r="AB977" s="29"/>
      <c r="AC977" s="70"/>
      <c r="AD977" s="30"/>
      <c r="AE977" s="71"/>
      <c r="AF977" s="73"/>
    </row>
    <row r="978" ht="15.75" customHeight="1">
      <c r="X978" s="72"/>
      <c r="Y978" s="68"/>
      <c r="Z978" s="69"/>
      <c r="AA978" s="30"/>
      <c r="AB978" s="29"/>
      <c r="AC978" s="70"/>
      <c r="AD978" s="30"/>
      <c r="AE978" s="71"/>
      <c r="AF978" s="73"/>
    </row>
    <row r="979" ht="15.75" customHeight="1">
      <c r="X979" s="72"/>
      <c r="Y979" s="68"/>
      <c r="Z979" s="69"/>
      <c r="AA979" s="30"/>
      <c r="AB979" s="29"/>
      <c r="AC979" s="70"/>
      <c r="AD979" s="30"/>
      <c r="AE979" s="71"/>
      <c r="AF979" s="73"/>
    </row>
    <row r="980" ht="15.75" customHeight="1">
      <c r="X980" s="72"/>
      <c r="Y980" s="68"/>
      <c r="Z980" s="69"/>
      <c r="AA980" s="30"/>
      <c r="AB980" s="29"/>
      <c r="AC980" s="70"/>
      <c r="AD980" s="30"/>
      <c r="AE980" s="71"/>
      <c r="AF980" s="73"/>
    </row>
    <row r="981" ht="15.75" customHeight="1">
      <c r="X981" s="72"/>
      <c r="Y981" s="68"/>
      <c r="Z981" s="69"/>
      <c r="AA981" s="30"/>
      <c r="AB981" s="29"/>
      <c r="AC981" s="70"/>
      <c r="AD981" s="30"/>
      <c r="AE981" s="71"/>
      <c r="AF981" s="73"/>
    </row>
    <row r="982" ht="15.75" customHeight="1">
      <c r="X982" s="72"/>
      <c r="Y982" s="68"/>
      <c r="Z982" s="69"/>
      <c r="AA982" s="30"/>
      <c r="AB982" s="29"/>
      <c r="AC982" s="70"/>
      <c r="AD982" s="30"/>
      <c r="AE982" s="71"/>
      <c r="AF982" s="73"/>
    </row>
    <row r="983" ht="15.75" customHeight="1">
      <c r="X983" s="72"/>
      <c r="Y983" s="68"/>
      <c r="Z983" s="69"/>
      <c r="AA983" s="30"/>
      <c r="AB983" s="29"/>
      <c r="AC983" s="70"/>
      <c r="AD983" s="30"/>
      <c r="AE983" s="71"/>
      <c r="AF983" s="73"/>
    </row>
    <row r="984" ht="15.75" customHeight="1">
      <c r="X984" s="72"/>
      <c r="Y984" s="68"/>
      <c r="Z984" s="69"/>
      <c r="AA984" s="30"/>
      <c r="AB984" s="29"/>
      <c r="AC984" s="70"/>
      <c r="AD984" s="30"/>
      <c r="AE984" s="71"/>
      <c r="AF984" s="73"/>
    </row>
    <row r="985" ht="15.75" customHeight="1">
      <c r="X985" s="72"/>
      <c r="Y985" s="68"/>
      <c r="Z985" s="69"/>
      <c r="AA985" s="30"/>
      <c r="AB985" s="29"/>
      <c r="AC985" s="70"/>
      <c r="AD985" s="30"/>
      <c r="AE985" s="71"/>
      <c r="AF985" s="73"/>
    </row>
    <row r="986" ht="15.75" customHeight="1">
      <c r="X986" s="72"/>
      <c r="Y986" s="68"/>
      <c r="Z986" s="69"/>
      <c r="AA986" s="30"/>
      <c r="AB986" s="29"/>
      <c r="AC986" s="70"/>
      <c r="AD986" s="30"/>
      <c r="AE986" s="71"/>
      <c r="AF986" s="73"/>
    </row>
    <row r="987" ht="15.75" customHeight="1">
      <c r="X987" s="72"/>
      <c r="Y987" s="68"/>
      <c r="Z987" s="69"/>
      <c r="AA987" s="30"/>
      <c r="AB987" s="29"/>
      <c r="AC987" s="70"/>
      <c r="AD987" s="30"/>
      <c r="AE987" s="71"/>
      <c r="AF987" s="73"/>
    </row>
    <row r="988" ht="15.75" customHeight="1">
      <c r="X988" s="72"/>
      <c r="Y988" s="68"/>
      <c r="Z988" s="69"/>
      <c r="AA988" s="30"/>
      <c r="AB988" s="29"/>
      <c r="AC988" s="70"/>
      <c r="AD988" s="30"/>
      <c r="AE988" s="71"/>
      <c r="AF988" s="73"/>
    </row>
    <row r="989" ht="15.75" customHeight="1">
      <c r="X989" s="72"/>
      <c r="Y989" s="68"/>
      <c r="Z989" s="69"/>
      <c r="AA989" s="30"/>
      <c r="AB989" s="29"/>
      <c r="AC989" s="70"/>
      <c r="AD989" s="30"/>
      <c r="AE989" s="71"/>
      <c r="AF989" s="73"/>
    </row>
    <row r="990" ht="15.75" customHeight="1">
      <c r="X990" s="72"/>
      <c r="Y990" s="68"/>
      <c r="Z990" s="69"/>
      <c r="AA990" s="30"/>
      <c r="AB990" s="29"/>
      <c r="AC990" s="70"/>
      <c r="AD990" s="30"/>
      <c r="AE990" s="71"/>
      <c r="AF990" s="73"/>
    </row>
    <row r="991" ht="15.75" customHeight="1">
      <c r="X991" s="72"/>
      <c r="Y991" s="68"/>
      <c r="Z991" s="69"/>
      <c r="AA991" s="30"/>
      <c r="AB991" s="29"/>
      <c r="AC991" s="70"/>
      <c r="AD991" s="30"/>
      <c r="AE991" s="71"/>
      <c r="AF991" s="73"/>
    </row>
    <row r="992" ht="15.75" customHeight="1">
      <c r="X992" s="72"/>
      <c r="Y992" s="68"/>
      <c r="Z992" s="69"/>
      <c r="AA992" s="30"/>
      <c r="AB992" s="29"/>
      <c r="AC992" s="70"/>
      <c r="AD992" s="30"/>
      <c r="AE992" s="71"/>
      <c r="AF992" s="73"/>
    </row>
    <row r="993" ht="15.75" customHeight="1">
      <c r="X993" s="72"/>
      <c r="Y993" s="68"/>
      <c r="Z993" s="69"/>
      <c r="AA993" s="30"/>
      <c r="AB993" s="29"/>
      <c r="AC993" s="70"/>
      <c r="AD993" s="30"/>
      <c r="AE993" s="71"/>
      <c r="AF993" s="73"/>
    </row>
    <row r="994" ht="15.75" customHeight="1">
      <c r="X994" s="72"/>
      <c r="Y994" s="68"/>
      <c r="Z994" s="69"/>
      <c r="AA994" s="30"/>
      <c r="AB994" s="29"/>
      <c r="AC994" s="70"/>
      <c r="AD994" s="30"/>
      <c r="AE994" s="71"/>
      <c r="AF994" s="73"/>
    </row>
    <row r="995" ht="15.75" customHeight="1">
      <c r="X995" s="72"/>
      <c r="Y995" s="68"/>
      <c r="Z995" s="69"/>
      <c r="AA995" s="30"/>
      <c r="AB995" s="29"/>
      <c r="AC995" s="70"/>
      <c r="AD995" s="30"/>
      <c r="AE995" s="71"/>
      <c r="AF995" s="73"/>
    </row>
    <row r="996" ht="15.75" customHeight="1">
      <c r="X996" s="72"/>
      <c r="Y996" s="68"/>
      <c r="Z996" s="69"/>
      <c r="AA996" s="30"/>
      <c r="AB996" s="29"/>
      <c r="AC996" s="70"/>
      <c r="AD996" s="30"/>
      <c r="AE996" s="71"/>
      <c r="AF996" s="73"/>
    </row>
    <row r="997" ht="15.75" customHeight="1">
      <c r="X997" s="72"/>
      <c r="Y997" s="68"/>
      <c r="Z997" s="69"/>
      <c r="AA997" s="30"/>
      <c r="AB997" s="29"/>
      <c r="AC997" s="70"/>
      <c r="AD997" s="30"/>
      <c r="AE997" s="71"/>
      <c r="AF997" s="73"/>
    </row>
    <row r="998" ht="15.75" customHeight="1">
      <c r="X998" s="72"/>
      <c r="Y998" s="68"/>
      <c r="Z998" s="69"/>
      <c r="AA998" s="30"/>
      <c r="AB998" s="29"/>
      <c r="AC998" s="70"/>
      <c r="AD998" s="30"/>
      <c r="AE998" s="71"/>
      <c r="AF998" s="73"/>
    </row>
    <row r="999" ht="15.75" customHeight="1">
      <c r="X999" s="72"/>
      <c r="Y999" s="68"/>
      <c r="Z999" s="69"/>
      <c r="AA999" s="30"/>
      <c r="AB999" s="29"/>
      <c r="AC999" s="70"/>
      <c r="AD999" s="30"/>
      <c r="AE999" s="71"/>
      <c r="AF999" s="73"/>
    </row>
    <row r="1000" ht="15.75" customHeight="1">
      <c r="X1000" s="72"/>
      <c r="Y1000" s="68"/>
      <c r="Z1000" s="69"/>
      <c r="AA1000" s="30"/>
      <c r="AB1000" s="29"/>
      <c r="AC1000" s="70"/>
      <c r="AD1000" s="30"/>
      <c r="AE1000" s="71"/>
      <c r="AF1000" s="73"/>
    </row>
    <row r="1001" ht="15.75" customHeight="1">
      <c r="X1001" s="72"/>
      <c r="Y1001" s="68"/>
      <c r="Z1001" s="69"/>
      <c r="AA1001" s="30"/>
      <c r="AB1001" s="29"/>
      <c r="AC1001" s="70"/>
      <c r="AD1001" s="30"/>
      <c r="AE1001" s="71"/>
      <c r="AF1001" s="73"/>
    </row>
    <row r="1002" ht="15.75" customHeight="1">
      <c r="X1002" s="72"/>
      <c r="Y1002" s="68"/>
      <c r="Z1002" s="69"/>
      <c r="AA1002" s="30"/>
      <c r="AB1002" s="29"/>
      <c r="AC1002" s="70"/>
      <c r="AD1002" s="30"/>
      <c r="AE1002" s="71"/>
      <c r="AF1002" s="73"/>
    </row>
    <row r="1003" ht="15.75" customHeight="1">
      <c r="X1003" s="72"/>
      <c r="Y1003" s="68"/>
      <c r="Z1003" s="69"/>
      <c r="AA1003" s="30"/>
      <c r="AB1003" s="29"/>
      <c r="AC1003" s="70"/>
      <c r="AD1003" s="30"/>
      <c r="AE1003" s="71"/>
      <c r="AF1003" s="73"/>
    </row>
    <row r="1004" ht="15.75" customHeight="1">
      <c r="X1004" s="72"/>
      <c r="Y1004" s="68"/>
      <c r="Z1004" s="69"/>
      <c r="AA1004" s="30"/>
      <c r="AB1004" s="29"/>
      <c r="AC1004" s="70"/>
      <c r="AD1004" s="30"/>
      <c r="AE1004" s="71"/>
      <c r="AF1004" s="73"/>
    </row>
    <row r="1005" ht="15.75" customHeight="1">
      <c r="X1005" s="72"/>
      <c r="Y1005" s="68"/>
      <c r="Z1005" s="69"/>
      <c r="AA1005" s="30"/>
      <c r="AB1005" s="29"/>
      <c r="AC1005" s="70"/>
      <c r="AD1005" s="30"/>
      <c r="AE1005" s="71"/>
      <c r="AF1005" s="73"/>
    </row>
  </sheetData>
  <conditionalFormatting sqref="C2:E205">
    <cfRule type="expression" dxfId="0" priority="1">
      <formula>AND($A2&lt;&gt;"",ROUND($C2+IF($D2="",0,$E2),6)&lt;&gt;1)</formula>
    </cfRule>
  </conditionalFormatting>
  <dataValidations>
    <dataValidation type="list" allowBlank="1" sqref="I2:I205">
      <formula1>Pabilos!$A$2:$A$500</formula1>
    </dataValidation>
    <dataValidation type="list" allowBlank="1" sqref="B2:B205 D2:D205">
      <formula1>Ceras!$A$2:$A$500</formula1>
    </dataValidation>
    <dataValidation type="list" allowBlank="1" sqref="O2:O205">
      <formula1>Colores!$A$2:$A$500</formula1>
    </dataValidation>
    <dataValidation type="list" allowBlank="1" sqref="L2:L205">
      <formula1>Esencias!$A$2:$A$501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5"/>
    <col customWidth="1" min="2" max="2" width="13.63"/>
    <col customWidth="1" min="3" max="4" width="14.13"/>
    <col customWidth="1" min="8" max="8" width="30.13"/>
    <col customWidth="1" min="10" max="10" width="16.63"/>
  </cols>
  <sheetData>
    <row r="1">
      <c r="A1" s="7" t="s">
        <v>157</v>
      </c>
      <c r="B1" s="74" t="s">
        <v>162</v>
      </c>
      <c r="C1" s="28">
        <v>46215.0</v>
      </c>
      <c r="D1" s="7" t="s">
        <v>256</v>
      </c>
      <c r="E1" s="74" t="s">
        <v>257</v>
      </c>
      <c r="F1" s="74" t="s">
        <v>258</v>
      </c>
      <c r="I1" s="30"/>
    </row>
    <row r="2">
      <c r="A2" s="27" t="str">
        <f>Velas!A2</f>
        <v>Vela Margarita en yeso sin tapa</v>
      </c>
      <c r="B2" s="30">
        <f>PRODUCT(Precios!B2,Ventas!F2)</f>
        <v>0</v>
      </c>
      <c r="C2" s="30">
        <f>PRODUCT(Precios!B2,Ventas!G2)</f>
        <v>0</v>
      </c>
      <c r="D2" s="27">
        <f>SUM(Ventas!F2:G2)</f>
        <v>0</v>
      </c>
      <c r="E2" s="30">
        <f t="shared" ref="E2:E45" si="1">B2+C2</f>
        <v>0</v>
      </c>
      <c r="F2" s="30">
        <f>D2*Precios!C2</f>
        <v>0</v>
      </c>
      <c r="I2" s="30"/>
    </row>
    <row r="3">
      <c r="A3" s="27" t="str">
        <f>Velas!A3</f>
        <v>Vela Margarita en yeso con tapa</v>
      </c>
      <c r="B3" s="30">
        <f>PRODUCT(Precios!B3,Ventas!F3)</f>
        <v>0</v>
      </c>
      <c r="C3" s="30">
        <f>PRODUCT(Precios!B3,Ventas!G3)</f>
        <v>0</v>
      </c>
      <c r="D3" s="27">
        <f>SUM(Ventas!F3:G3)</f>
        <v>0</v>
      </c>
      <c r="E3" s="30">
        <f t="shared" si="1"/>
        <v>0</v>
      </c>
      <c r="F3" s="30">
        <f>D3*Precios!C3</f>
        <v>0</v>
      </c>
      <c r="I3" s="30"/>
    </row>
    <row r="4">
      <c r="A4" s="27" t="str">
        <f>Velas!A4</f>
        <v>Vela Margarita sola</v>
      </c>
      <c r="B4" s="30">
        <f>PRODUCT(Precios!B4,Ventas!F4)</f>
        <v>2500</v>
      </c>
      <c r="C4" s="30">
        <f>PRODUCT(Precios!B4,Ventas!G4)</f>
        <v>5000</v>
      </c>
      <c r="D4" s="27">
        <f>SUM(Ventas!F4:G4)</f>
        <v>3</v>
      </c>
      <c r="E4" s="30">
        <f t="shared" si="1"/>
        <v>7500</v>
      </c>
      <c r="F4" s="30">
        <f>D4*Precios!C4</f>
        <v>5057.414951</v>
      </c>
      <c r="I4" s="30"/>
    </row>
    <row r="5">
      <c r="A5" s="27" t="str">
        <f>Velas!A5</f>
        <v>Vela Margarita en papel azucar</v>
      </c>
      <c r="B5" s="30">
        <f>PRODUCT(Precios!B5,Ventas!F5)</f>
        <v>0</v>
      </c>
      <c r="C5" s="30">
        <f>PRODUCT(Precios!B5,Ventas!G5)</f>
        <v>0</v>
      </c>
      <c r="D5" s="27">
        <f>SUM(Ventas!F5:G5)</f>
        <v>0</v>
      </c>
      <c r="E5" s="30">
        <f t="shared" si="1"/>
        <v>0</v>
      </c>
      <c r="F5" s="30">
        <f>D5*Precios!C5</f>
        <v>0</v>
      </c>
      <c r="I5" s="30"/>
    </row>
    <row r="6">
      <c r="A6" s="27" t="str">
        <f>Velas!A6</f>
        <v>Vela Margarita en TUL</v>
      </c>
      <c r="B6" s="30">
        <f>PRODUCT(Precios!B6,Ventas!F6)</f>
        <v>0</v>
      </c>
      <c r="C6" s="30">
        <f>PRODUCT(Precios!B6,Ventas!G6)</f>
        <v>4000</v>
      </c>
      <c r="D6" s="27">
        <f>SUM(Ventas!F6:G6)</f>
        <v>1</v>
      </c>
      <c r="E6" s="30">
        <f t="shared" si="1"/>
        <v>4000</v>
      </c>
      <c r="F6" s="30">
        <f>D6*Precios!C6</f>
        <v>2518.833153</v>
      </c>
      <c r="H6" s="7" t="s">
        <v>259</v>
      </c>
      <c r="I6" s="30">
        <f>SUM(E2:E45)</f>
        <v>313000</v>
      </c>
    </row>
    <row r="7">
      <c r="A7" s="27" t="str">
        <f>Velas!A7</f>
        <v>Velon corto con cara de rosas mediano</v>
      </c>
      <c r="B7" s="30">
        <f>PRODUCT(Precios!B7,Ventas!F7)</f>
        <v>0</v>
      </c>
      <c r="C7" s="30">
        <f>PRODUCT(Precios!B7,Ventas!G7)</f>
        <v>0</v>
      </c>
      <c r="D7" s="27">
        <f>SUM(Ventas!F7:G7)</f>
        <v>0</v>
      </c>
      <c r="E7" s="30">
        <f t="shared" si="1"/>
        <v>0</v>
      </c>
      <c r="F7" s="30">
        <f>D7*Precios!C7</f>
        <v>0</v>
      </c>
      <c r="H7" s="7" t="s">
        <v>260</v>
      </c>
      <c r="I7" s="30">
        <f>I6-I8</f>
        <v>90521.71885</v>
      </c>
      <c r="J7" s="75">
        <v>0.85</v>
      </c>
      <c r="K7" s="75">
        <v>0.15</v>
      </c>
    </row>
    <row r="8">
      <c r="A8" s="27" t="str">
        <f>Velas!A8</f>
        <v>Vela bubble candle sola</v>
      </c>
      <c r="B8" s="30">
        <f>PRODUCT(Precios!B8,Ventas!F8)</f>
        <v>0</v>
      </c>
      <c r="C8" s="30">
        <f>PRODUCT(Precios!B8,Ventas!G8)</f>
        <v>14000</v>
      </c>
      <c r="D8" s="27">
        <f>SUM(Ventas!F8:G8)</f>
        <v>1</v>
      </c>
      <c r="E8" s="30">
        <f t="shared" si="1"/>
        <v>14000</v>
      </c>
      <c r="F8" s="30">
        <f>D8*Precios!C8</f>
        <v>9298.692308</v>
      </c>
      <c r="H8" s="7" t="s">
        <v>261</v>
      </c>
      <c r="I8" s="30">
        <f>SUM(F2:F45)</f>
        <v>222478.2811</v>
      </c>
      <c r="J8" s="30">
        <f>I8*J7</f>
        <v>189106.539</v>
      </c>
      <c r="K8" s="30">
        <f>I8*K7</f>
        <v>33371.74217</v>
      </c>
    </row>
    <row r="9">
      <c r="A9" s="27" t="str">
        <f>Velas!A9</f>
        <v>Vela ramo de tulipanes</v>
      </c>
      <c r="B9" s="30">
        <f>PRODUCT(Precios!B9,Ventas!F9)</f>
        <v>0</v>
      </c>
      <c r="C9" s="30">
        <f>PRODUCT(Precios!B9,Ventas!G9)</f>
        <v>24000</v>
      </c>
      <c r="D9" s="27">
        <f>SUM(Ventas!F9:G9)</f>
        <v>2</v>
      </c>
      <c r="E9" s="30">
        <f t="shared" si="1"/>
        <v>24000</v>
      </c>
      <c r="F9" s="30">
        <f>D9*Precios!C9</f>
        <v>17906.69447</v>
      </c>
      <c r="I9" s="30"/>
    </row>
    <row r="10">
      <c r="A10" s="27" t="str">
        <f>Velas!A10</f>
        <v>Vela Oso floreado</v>
      </c>
      <c r="B10" s="30">
        <f>PRODUCT(Precios!B10,Ventas!F10)</f>
        <v>10000</v>
      </c>
      <c r="C10" s="30">
        <f>PRODUCT(Precios!B10,Ventas!G10)</f>
        <v>30000</v>
      </c>
      <c r="D10" s="27">
        <f>SUM(Ventas!F10:G10)</f>
        <v>4</v>
      </c>
      <c r="E10" s="30">
        <f t="shared" si="1"/>
        <v>40000</v>
      </c>
      <c r="F10" s="30">
        <f>D10*Precios!C10</f>
        <v>31468</v>
      </c>
      <c r="H10" s="7" t="s">
        <v>262</v>
      </c>
      <c r="I10" s="74">
        <v>286000.0</v>
      </c>
    </row>
    <row r="11">
      <c r="A11" s="27" t="str">
        <f>Velas!A11</f>
        <v>Vela Oso xs</v>
      </c>
      <c r="B11" s="30">
        <f>PRODUCT(Precios!B11,Ventas!F11)</f>
        <v>0</v>
      </c>
      <c r="C11" s="30">
        <f>PRODUCT(Precios!B11,Ventas!G11)</f>
        <v>24000</v>
      </c>
      <c r="D11" s="27">
        <f>SUM(Ventas!F11:G11)</f>
        <v>6</v>
      </c>
      <c r="E11" s="30">
        <f t="shared" si="1"/>
        <v>24000</v>
      </c>
      <c r="F11" s="30">
        <f>D11*Precios!C11</f>
        <v>20052</v>
      </c>
      <c r="H11" s="7" t="s">
        <v>263</v>
      </c>
      <c r="I11" s="76">
        <f>SUM(I12:I14)</f>
        <v>1004073</v>
      </c>
      <c r="J11" s="7" t="s">
        <v>264</v>
      </c>
      <c r="K11" s="7" t="s">
        <v>265</v>
      </c>
    </row>
    <row r="12">
      <c r="A12" s="27" t="str">
        <f>Velas!A12</f>
        <v>Vela Repollo</v>
      </c>
      <c r="B12" s="30">
        <f>PRODUCT(Precios!B12,Ventas!F12)</f>
        <v>0</v>
      </c>
      <c r="C12" s="30">
        <f>PRODUCT(Precios!B12,Ventas!G12)</f>
        <v>0</v>
      </c>
      <c r="D12" s="27">
        <f>SUM(Ventas!F12:G12)</f>
        <v>0</v>
      </c>
      <c r="E12" s="30">
        <f t="shared" si="1"/>
        <v>0</v>
      </c>
      <c r="F12" s="30">
        <f>D12*Precios!C12</f>
        <v>0</v>
      </c>
      <c r="H12" s="7" t="s">
        <v>266</v>
      </c>
      <c r="I12" s="74">
        <v>64273.0</v>
      </c>
      <c r="J12" s="74">
        <v>64273.0</v>
      </c>
      <c r="K12" s="30">
        <f t="shared" ref="K12:K14" si="2">I12-J12</f>
        <v>0</v>
      </c>
    </row>
    <row r="13">
      <c r="A13" s="27" t="str">
        <f>Velas!A13</f>
        <v>Vela cactus mediana</v>
      </c>
      <c r="B13" s="30">
        <f>PRODUCT(Precios!B13,Ventas!F13)</f>
        <v>0</v>
      </c>
      <c r="C13" s="30">
        <f>PRODUCT(Precios!B13,Ventas!G13)</f>
        <v>4000</v>
      </c>
      <c r="D13" s="27">
        <f>SUM(Ventas!F13:G13)</f>
        <v>1</v>
      </c>
      <c r="E13" s="30">
        <f t="shared" si="1"/>
        <v>4000</v>
      </c>
      <c r="F13" s="30">
        <f>D13*Precios!C13</f>
        <v>2663.8039</v>
      </c>
      <c r="H13" s="7" t="s">
        <v>267</v>
      </c>
      <c r="I13" s="74">
        <v>704200.0</v>
      </c>
      <c r="J13" s="74">
        <v>682000.0</v>
      </c>
      <c r="K13" s="30">
        <f t="shared" si="2"/>
        <v>22200</v>
      </c>
    </row>
    <row r="14">
      <c r="A14" s="27" t="str">
        <f>Velas!A14</f>
        <v>Vela Peonia XS</v>
      </c>
      <c r="B14" s="30">
        <f>PRODUCT(Precios!B14,Ventas!F14)</f>
        <v>0</v>
      </c>
      <c r="C14" s="30">
        <f>PRODUCT(Precios!B14,Ventas!G14)</f>
        <v>0</v>
      </c>
      <c r="D14" s="27">
        <f>SUM(Ventas!F14:G14)</f>
        <v>0</v>
      </c>
      <c r="E14" s="30">
        <f t="shared" si="1"/>
        <v>0</v>
      </c>
      <c r="F14" s="30">
        <f>D14*Precios!C14</f>
        <v>0</v>
      </c>
      <c r="H14" s="7" t="s">
        <v>268</v>
      </c>
      <c r="I14" s="74">
        <v>235600.0</v>
      </c>
      <c r="J14" s="74">
        <v>159000.0</v>
      </c>
      <c r="K14" s="30">
        <f t="shared" si="2"/>
        <v>76600</v>
      </c>
    </row>
    <row r="15">
      <c r="A15" s="27" t="str">
        <f>Velas!A15</f>
        <v>Vela Peonia S</v>
      </c>
      <c r="B15" s="30">
        <f>PRODUCT(Precios!B15,Ventas!F15)</f>
        <v>0</v>
      </c>
      <c r="C15" s="30">
        <f>PRODUCT(Precios!B15,Ventas!G15)</f>
        <v>3500</v>
      </c>
      <c r="D15" s="27">
        <f>SUM(Ventas!F15:G15)</f>
        <v>1</v>
      </c>
      <c r="E15" s="30">
        <f t="shared" si="1"/>
        <v>3500</v>
      </c>
      <c r="F15" s="30">
        <f>D15*Precios!C15</f>
        <v>2361.741603</v>
      </c>
      <c r="I15" s="30"/>
    </row>
    <row r="16">
      <c r="A16" s="27" t="str">
        <f>Velas!A16</f>
        <v>Vela Peonia M</v>
      </c>
      <c r="B16" s="30">
        <f>PRODUCT(Precios!B16,Ventas!F16)</f>
        <v>0</v>
      </c>
      <c r="C16" s="30">
        <f>PRODUCT(Precios!B16,Ventas!G16)</f>
        <v>32000</v>
      </c>
      <c r="D16" s="27">
        <f>SUM(Ventas!F16:G16)</f>
        <v>4</v>
      </c>
      <c r="E16" s="30">
        <f t="shared" si="1"/>
        <v>32000</v>
      </c>
      <c r="F16" s="30">
        <f>D16*Precios!C16</f>
        <v>20694.06501</v>
      </c>
      <c r="I16" s="30"/>
      <c r="J16" s="7" t="s">
        <v>269</v>
      </c>
      <c r="K16" s="30">
        <f>K12+K13+K14</f>
        <v>98800</v>
      </c>
    </row>
    <row r="17">
      <c r="A17" s="27" t="str">
        <f>Velas!A17</f>
        <v>Vela Leon</v>
      </c>
      <c r="B17" s="30">
        <f>PRODUCT(Precios!B17,Ventas!F17)</f>
        <v>0</v>
      </c>
      <c r="C17" s="30">
        <f>PRODUCT(Precios!B17,Ventas!G17)</f>
        <v>3000</v>
      </c>
      <c r="D17" s="27">
        <f>SUM(Ventas!F17:G17)</f>
        <v>1</v>
      </c>
      <c r="E17" s="30">
        <f t="shared" si="1"/>
        <v>3000</v>
      </c>
      <c r="F17" s="30">
        <f>D17*Precios!C17</f>
        <v>2011.664139</v>
      </c>
      <c r="I17" s="30"/>
    </row>
    <row r="18">
      <c r="A18" s="27" t="str">
        <f>Velas!A18</f>
        <v>Vela Frutilla</v>
      </c>
      <c r="B18" s="30">
        <f>PRODUCT(Precios!B18,Ventas!F18)</f>
        <v>0</v>
      </c>
      <c r="C18" s="30">
        <f>PRODUCT(Precios!B18,Ventas!G18)</f>
        <v>6000</v>
      </c>
      <c r="D18" s="27">
        <f>SUM(Ventas!F18:G18)</f>
        <v>1</v>
      </c>
      <c r="E18" s="30">
        <f t="shared" si="1"/>
        <v>6000</v>
      </c>
      <c r="F18" s="30">
        <f>D18*Precios!C18</f>
        <v>2505.832069</v>
      </c>
      <c r="I18" s="30"/>
    </row>
    <row r="19">
      <c r="A19" s="27" t="str">
        <f>Velas!A19</f>
        <v>Vela Cebolla</v>
      </c>
      <c r="B19" s="30">
        <f>PRODUCT(Precios!B19,Ventas!F19)</f>
        <v>0</v>
      </c>
      <c r="C19" s="30">
        <f>PRODUCT(Precios!B19,Ventas!G19)</f>
        <v>12000</v>
      </c>
      <c r="D19" s="27">
        <f>SUM(Ventas!F19:G19)</f>
        <v>1</v>
      </c>
      <c r="E19" s="30">
        <f t="shared" si="1"/>
        <v>12000</v>
      </c>
      <c r="F19" s="30">
        <f>D19*Precios!C19</f>
        <v>8033.396533</v>
      </c>
      <c r="H19" s="7" t="s">
        <v>270</v>
      </c>
      <c r="I19" s="30">
        <f>I10+K16</f>
        <v>384800</v>
      </c>
    </row>
    <row r="20">
      <c r="A20" s="27" t="str">
        <f>Velas!A20</f>
        <v>Vela Manzana geométrica</v>
      </c>
      <c r="B20" s="30">
        <f>PRODUCT(Precios!B20,Ventas!F20)</f>
        <v>0</v>
      </c>
      <c r="C20" s="30">
        <f>PRODUCT(Precios!B20,Ventas!G20)</f>
        <v>9000</v>
      </c>
      <c r="D20" s="27">
        <f>SUM(Ventas!F20:G20)</f>
        <v>1</v>
      </c>
      <c r="E20" s="30">
        <f t="shared" si="1"/>
        <v>9000</v>
      </c>
      <c r="F20" s="30">
        <f>D20*Precios!C20</f>
        <v>6033.76273</v>
      </c>
      <c r="H20" s="7" t="s">
        <v>259</v>
      </c>
      <c r="I20" s="30">
        <f>I6</f>
        <v>313000</v>
      </c>
    </row>
    <row r="21">
      <c r="A21" s="27" t="str">
        <f>Velas!A21</f>
        <v/>
      </c>
      <c r="B21" s="30">
        <f>PRODUCT(Precios!B21,Ventas!F21)</f>
        <v>0</v>
      </c>
      <c r="C21" s="30">
        <f>PRODUCT(Precios!B21,Ventas!G21)</f>
        <v>0</v>
      </c>
      <c r="D21" s="27">
        <f>SUM(Ventas!F21:G21)</f>
        <v>0</v>
      </c>
      <c r="E21" s="30">
        <f t="shared" si="1"/>
        <v>0</v>
      </c>
      <c r="F21" s="30">
        <f>D21*Precios!C21</f>
        <v>0</v>
      </c>
      <c r="H21" s="7" t="s">
        <v>271</v>
      </c>
      <c r="I21" s="30">
        <f>I19-I20</f>
        <v>71800</v>
      </c>
    </row>
    <row r="22">
      <c r="A22" s="27" t="str">
        <f>Velas!A22</f>
        <v>Vela rosa S</v>
      </c>
      <c r="B22" s="30">
        <f>PRODUCT(Precios!B22,Ventas!F22)</f>
        <v>0</v>
      </c>
      <c r="C22" s="30">
        <f>PRODUCT(Precios!B22,Ventas!G22)</f>
        <v>0</v>
      </c>
      <c r="D22" s="27">
        <f>SUM(Ventas!F22:G22)</f>
        <v>0</v>
      </c>
      <c r="E22" s="30">
        <f t="shared" si="1"/>
        <v>0</v>
      </c>
      <c r="F22" s="30">
        <f>D22*Precios!C22</f>
        <v>0</v>
      </c>
      <c r="I22" s="30"/>
    </row>
    <row r="23">
      <c r="A23" s="27" t="str">
        <f>Velas!A23</f>
        <v>Vela rosa M</v>
      </c>
      <c r="B23" s="30">
        <f>PRODUCT(Precios!B23,Ventas!F23)</f>
        <v>0</v>
      </c>
      <c r="C23" s="30">
        <f>PRODUCT(Precios!B23,Ventas!G23)</f>
        <v>5500</v>
      </c>
      <c r="D23" s="27">
        <f>SUM(Ventas!F23:G23)</f>
        <v>1</v>
      </c>
      <c r="E23" s="30">
        <f t="shared" si="1"/>
        <v>5500</v>
      </c>
      <c r="F23" s="30">
        <f>D23*Precios!C23</f>
        <v>3604.882449</v>
      </c>
      <c r="I23" s="30"/>
    </row>
    <row r="24">
      <c r="A24" s="27" t="str">
        <f>Velas!A24</f>
        <v>Vela rosa L</v>
      </c>
      <c r="B24" s="30">
        <f>PRODUCT(Precios!B24,Ventas!F24)</f>
        <v>0</v>
      </c>
      <c r="C24" s="30">
        <f>PRODUCT(Precios!B24,Ventas!G24)</f>
        <v>9500</v>
      </c>
      <c r="D24" s="27">
        <f>SUM(Ventas!F24:G24)</f>
        <v>1</v>
      </c>
      <c r="E24" s="30">
        <f t="shared" si="1"/>
        <v>9500</v>
      </c>
      <c r="F24" s="30">
        <f>D24*Precios!C24</f>
        <v>6298.671181</v>
      </c>
      <c r="I24" s="30"/>
    </row>
    <row r="25">
      <c r="A25" s="27" t="str">
        <f>Velas!A25</f>
        <v>Vela la Virgen Maria con bebé</v>
      </c>
      <c r="B25" s="30">
        <f>PRODUCT(Precios!B25,Ventas!F25)</f>
        <v>0</v>
      </c>
      <c r="C25" s="30">
        <f>PRODUCT(Precios!B25,Ventas!G25)</f>
        <v>0</v>
      </c>
      <c r="D25" s="27">
        <f>SUM(Ventas!F25:G25)</f>
        <v>0</v>
      </c>
      <c r="E25" s="30">
        <f t="shared" si="1"/>
        <v>0</v>
      </c>
      <c r="F25" s="30">
        <f>D25*Precios!C25</f>
        <v>0</v>
      </c>
      <c r="I25" s="30"/>
    </row>
    <row r="26">
      <c r="A26" s="27" t="str">
        <f>Velas!A26</f>
        <v>Vela Mano Turca</v>
      </c>
      <c r="B26" s="30">
        <f>PRODUCT(Precios!B26,Ventas!F26)</f>
        <v>0</v>
      </c>
      <c r="C26" s="30">
        <f>PRODUCT(Precios!B26,Ventas!G26)</f>
        <v>0</v>
      </c>
      <c r="D26" s="27">
        <f>SUM(Ventas!F26:G26)</f>
        <v>0</v>
      </c>
      <c r="E26" s="30">
        <f t="shared" si="1"/>
        <v>0</v>
      </c>
      <c r="F26" s="30">
        <f>D26*Precios!C26</f>
        <v>0</v>
      </c>
      <c r="I26" s="30"/>
    </row>
    <row r="27">
      <c r="A27" s="27" t="str">
        <f>Velas!A27</f>
        <v>Vela Zuculenta Punta M</v>
      </c>
      <c r="B27" s="30">
        <f>PRODUCT(Precios!B27,Ventas!F27)</f>
        <v>0</v>
      </c>
      <c r="C27" s="30">
        <f>PRODUCT(Precios!B27,Ventas!G27)</f>
        <v>0</v>
      </c>
      <c r="D27" s="27">
        <f>SUM(Ventas!F27:G27)</f>
        <v>0</v>
      </c>
      <c r="E27" s="30">
        <f t="shared" si="1"/>
        <v>0</v>
      </c>
      <c r="F27" s="30">
        <f>D27*Precios!C27</f>
        <v>0</v>
      </c>
      <c r="I27" s="30"/>
    </row>
    <row r="28">
      <c r="A28" s="27" t="str">
        <f>Velas!A28</f>
        <v>Vela Zuculenta Punta S</v>
      </c>
      <c r="B28" s="30">
        <f>PRODUCT(Precios!B28,Ventas!F28)</f>
        <v>0</v>
      </c>
      <c r="C28" s="30">
        <f>PRODUCT(Precios!B28,Ventas!G28)</f>
        <v>0</v>
      </c>
      <c r="D28" s="27">
        <f>SUM(Ventas!F28:G28)</f>
        <v>0</v>
      </c>
      <c r="E28" s="30">
        <f t="shared" si="1"/>
        <v>0</v>
      </c>
      <c r="F28" s="30">
        <f>D28*Precios!C28</f>
        <v>0</v>
      </c>
      <c r="I28" s="30"/>
    </row>
    <row r="29">
      <c r="A29" s="27" t="str">
        <f>Velas!A29</f>
        <v>Vela zuculenta redonda S</v>
      </c>
      <c r="B29" s="30">
        <f>PRODUCT(Precios!B29,Ventas!F29)</f>
        <v>0</v>
      </c>
      <c r="C29" s="30">
        <f>PRODUCT(Precios!B29,Ventas!G29)</f>
        <v>0</v>
      </c>
      <c r="D29" s="27">
        <f>SUM(Ventas!F29:G29)</f>
        <v>0</v>
      </c>
      <c r="E29" s="30">
        <f t="shared" si="1"/>
        <v>0</v>
      </c>
      <c r="F29" s="30">
        <f>D29*Precios!C29</f>
        <v>0</v>
      </c>
      <c r="I29" s="30"/>
    </row>
    <row r="30">
      <c r="A30" s="27" t="str">
        <f>Velas!A30</f>
        <v>Vela zuculenta redonda M</v>
      </c>
      <c r="B30" s="30">
        <f>PRODUCT(Precios!B30,Ventas!F30)</f>
        <v>0</v>
      </c>
      <c r="C30" s="30">
        <f>PRODUCT(Precios!B30,Ventas!G30)</f>
        <v>0</v>
      </c>
      <c r="D30" s="27">
        <f>SUM(Ventas!F30:G30)</f>
        <v>0</v>
      </c>
      <c r="E30" s="30">
        <f t="shared" si="1"/>
        <v>0</v>
      </c>
      <c r="F30" s="30">
        <f>D30*Precios!C30</f>
        <v>0</v>
      </c>
      <c r="I30" s="30"/>
    </row>
    <row r="31">
      <c r="A31" s="27" t="str">
        <f>Velas!A31</f>
        <v>Vela Zuculenta Pasto</v>
      </c>
      <c r="B31" s="30">
        <f>PRODUCT(Precios!B31,Ventas!F31)</f>
        <v>0</v>
      </c>
      <c r="C31" s="30">
        <f>PRODUCT(Precios!B31,Ventas!G31)</f>
        <v>0</v>
      </c>
      <c r="D31" s="27">
        <f>SUM(Ventas!F31:G31)</f>
        <v>0</v>
      </c>
      <c r="E31" s="30">
        <f t="shared" si="1"/>
        <v>0</v>
      </c>
      <c r="F31" s="30">
        <f>D31*Precios!C31</f>
        <v>0</v>
      </c>
      <c r="I31" s="30"/>
    </row>
    <row r="32">
      <c r="A32" s="27" t="str">
        <f>Velas!A32</f>
        <v>Vela Zuculenta rollo</v>
      </c>
      <c r="B32" s="30">
        <f>PRODUCT(Precios!B32,Ventas!F32)</f>
        <v>0</v>
      </c>
      <c r="C32" s="30">
        <f>PRODUCT(Precios!B32,Ventas!G32)</f>
        <v>0</v>
      </c>
      <c r="D32" s="27">
        <f>SUM(Ventas!F32:G32)</f>
        <v>0</v>
      </c>
      <c r="E32" s="30">
        <f t="shared" si="1"/>
        <v>0</v>
      </c>
      <c r="F32" s="30">
        <f>D32*Precios!C32</f>
        <v>0</v>
      </c>
      <c r="I32" s="30"/>
    </row>
    <row r="33">
      <c r="A33" s="27" t="str">
        <f>Velas!A33</f>
        <v>Vela carro</v>
      </c>
      <c r="B33" s="30">
        <f>PRODUCT(Precios!B33,Ventas!F33)</f>
        <v>0</v>
      </c>
      <c r="C33" s="30">
        <f>PRODUCT(Precios!B33,Ventas!G33)</f>
        <v>0</v>
      </c>
      <c r="D33" s="27">
        <f>SUM(Ventas!F33:G33)</f>
        <v>0</v>
      </c>
      <c r="E33" s="30">
        <f t="shared" si="1"/>
        <v>0</v>
      </c>
      <c r="F33" s="30">
        <f>D33*Precios!C33</f>
        <v>0</v>
      </c>
      <c r="I33" s="30"/>
    </row>
    <row r="34">
      <c r="A34" s="27" t="str">
        <f>Velas!A34</f>
        <v>Vela elefante </v>
      </c>
      <c r="B34" s="30">
        <f>PRODUCT(Precios!B34,Ventas!F34)</f>
        <v>0</v>
      </c>
      <c r="C34" s="30">
        <f>PRODUCT(Precios!B34,Ventas!G34)</f>
        <v>0</v>
      </c>
      <c r="D34" s="27">
        <f>SUM(Ventas!F34:G34)</f>
        <v>0</v>
      </c>
      <c r="E34" s="30">
        <f t="shared" si="1"/>
        <v>0</v>
      </c>
      <c r="F34" s="30">
        <f>D34*Precios!C34</f>
        <v>0</v>
      </c>
      <c r="I34" s="30"/>
    </row>
    <row r="35">
      <c r="A35" s="27" t="str">
        <f>Velas!A35</f>
        <v>Buquet Pequeño</v>
      </c>
      <c r="B35" s="30">
        <f>PRODUCT(Precios!B35,Ventas!F35)</f>
        <v>23000</v>
      </c>
      <c r="C35" s="30">
        <f>PRODUCT(Precios!B35,Ventas!G35)</f>
        <v>0</v>
      </c>
      <c r="D35" s="27">
        <f>SUM(Ventas!F35:G35)</f>
        <v>1</v>
      </c>
      <c r="E35" s="30">
        <f t="shared" si="1"/>
        <v>23000</v>
      </c>
      <c r="F35" s="30">
        <f>D35*Precios!C35</f>
        <v>15963.13434</v>
      </c>
      <c r="I35" s="30"/>
    </row>
    <row r="36">
      <c r="A36" s="27" t="str">
        <f>Velas!A36</f>
        <v>Vela de postre</v>
      </c>
      <c r="B36" s="30">
        <f>PRODUCT(Precios!B36,Ventas!F36)</f>
        <v>0</v>
      </c>
      <c r="C36" s="30">
        <f>PRODUCT(Precios!B36,Ventas!G36)</f>
        <v>90000</v>
      </c>
      <c r="D36" s="27">
        <f>SUM(Ventas!F36:G36)</f>
        <v>3</v>
      </c>
      <c r="E36" s="30">
        <f t="shared" si="1"/>
        <v>90000</v>
      </c>
      <c r="F36" s="30">
        <f>D36*Precios!C36</f>
        <v>64884</v>
      </c>
      <c r="I36" s="30"/>
    </row>
    <row r="37">
      <c r="A37" s="27" t="str">
        <f>Velas!A37</f>
        <v>Vela tarrito de vidrio pequeño corcho</v>
      </c>
      <c r="B37" s="30">
        <f>PRODUCT(Precios!B37,Ventas!F37)</f>
        <v>0</v>
      </c>
      <c r="C37" s="30">
        <f>PRODUCT(Precios!B37,Ventas!G37)</f>
        <v>0</v>
      </c>
      <c r="D37" s="27">
        <f>SUM(Ventas!F37:G37)</f>
        <v>0</v>
      </c>
      <c r="E37" s="30">
        <f t="shared" si="1"/>
        <v>0</v>
      </c>
      <c r="F37" s="30">
        <f>D37*Precios!C37</f>
        <v>0</v>
      </c>
      <c r="I37" s="30"/>
    </row>
    <row r="38">
      <c r="A38" s="27" t="str">
        <f>Velas!A38</f>
        <v>Vela larga</v>
      </c>
      <c r="B38" s="30">
        <f>PRODUCT(Precios!B38,Ventas!F38)</f>
        <v>0</v>
      </c>
      <c r="C38" s="30">
        <f>PRODUCT(Precios!B38,Ventas!G38)</f>
        <v>0</v>
      </c>
      <c r="D38" s="27">
        <f>SUM(Ventas!F38:G38)</f>
        <v>0</v>
      </c>
      <c r="E38" s="30">
        <f t="shared" si="1"/>
        <v>0</v>
      </c>
      <c r="F38" s="30">
        <f>D38*Precios!C38</f>
        <v>0</v>
      </c>
      <c r="I38" s="30"/>
    </row>
    <row r="39">
      <c r="A39" s="27" t="str">
        <f>Velas!A39</f>
        <v>Kit 4 Rosas M con empaque</v>
      </c>
      <c r="B39" s="30">
        <f>PRODUCT(Precios!B39,Ventas!F39)</f>
        <v>0</v>
      </c>
      <c r="C39" s="30">
        <f>PRODUCT(Precios!B39,Ventas!G39)</f>
        <v>0</v>
      </c>
      <c r="D39" s="27">
        <f>SUM(Ventas!F39:G39)</f>
        <v>0</v>
      </c>
      <c r="E39" s="30">
        <f t="shared" si="1"/>
        <v>0</v>
      </c>
      <c r="F39" s="30">
        <f>D39*Precios!C39</f>
        <v>0</v>
      </c>
      <c r="I39" s="30"/>
    </row>
    <row r="40">
      <c r="A40" s="27" t="str">
        <f>Velas!A40</f>
        <v>Wax smell 30G</v>
      </c>
      <c r="B40" s="30">
        <f>PRODUCT(Precios!B40,Ventas!F40)</f>
        <v>0</v>
      </c>
      <c r="C40" s="30">
        <f>PRODUCT(Precios!B40,Ventas!G40)</f>
        <v>0</v>
      </c>
      <c r="D40" s="27">
        <f>SUM(Ventas!F40:G40)</f>
        <v>0</v>
      </c>
      <c r="E40" s="30">
        <f t="shared" si="1"/>
        <v>0</v>
      </c>
      <c r="F40" s="30">
        <f>D40*Precios!C40</f>
        <v>0</v>
      </c>
      <c r="I40" s="30"/>
    </row>
    <row r="41">
      <c r="A41" s="27" t="str">
        <f>Velas!A41</f>
        <v>Wax smell 20G</v>
      </c>
      <c r="B41" s="30">
        <f>PRODUCT(Precios!B41,Ventas!F41)</f>
        <v>0</v>
      </c>
      <c r="C41" s="30">
        <f>PRODUCT(Precios!B41,Ventas!G41)</f>
        <v>2000</v>
      </c>
      <c r="D41" s="27">
        <f>SUM(Ventas!F41:G41)</f>
        <v>1</v>
      </c>
      <c r="E41" s="30">
        <f t="shared" si="1"/>
        <v>2000</v>
      </c>
      <c r="F41" s="30">
        <f>D41*Precios!C41</f>
        <v>1121.692308</v>
      </c>
      <c r="I41" s="30"/>
    </row>
    <row r="42">
      <c r="A42" s="27" t="str">
        <f>Velas!A42</f>
        <v>Vela pebetero</v>
      </c>
      <c r="B42" s="30">
        <f>PRODUCT(Precios!B42,Ventas!F42)</f>
        <v>0</v>
      </c>
      <c r="C42" s="30">
        <f>PRODUCT(Precios!B42,Ventas!G42)</f>
        <v>0</v>
      </c>
      <c r="D42" s="27">
        <f>SUM(Ventas!F42:G42)</f>
        <v>0</v>
      </c>
      <c r="E42" s="30">
        <f t="shared" si="1"/>
        <v>0</v>
      </c>
      <c r="F42" s="30">
        <f>D42*Precios!C42</f>
        <v>0</v>
      </c>
      <c r="I42" s="30"/>
    </row>
    <row r="43">
      <c r="A43" s="27" t="str">
        <f>Velas!A43</f>
        <v>Vela bautizo</v>
      </c>
      <c r="B43" s="30">
        <f>PRODUCT(Precios!B43,Ventas!F43)</f>
        <v>0</v>
      </c>
      <c r="C43" s="30">
        <f>PRODUCT(Precios!B43,Ventas!G43)</f>
        <v>0</v>
      </c>
      <c r="D43" s="27">
        <f>SUM(Ventas!F43:G43)</f>
        <v>0</v>
      </c>
      <c r="E43" s="30">
        <f t="shared" si="1"/>
        <v>0</v>
      </c>
      <c r="F43" s="30">
        <f>D43*Precios!C43</f>
        <v>0</v>
      </c>
      <c r="I43" s="30"/>
    </row>
    <row r="44">
      <c r="A44" s="27" t="str">
        <f>Velas!A44</f>
        <v>Vela Virgen</v>
      </c>
      <c r="B44" s="30">
        <f>PRODUCT(Precios!B44,Ventas!F44)</f>
        <v>0</v>
      </c>
      <c r="C44" s="30">
        <f>PRODUCT(Precios!B44,Ventas!G44)</f>
        <v>0</v>
      </c>
      <c r="D44" s="27">
        <f>SUM(Ventas!F44:G44)</f>
        <v>0</v>
      </c>
      <c r="E44" s="30">
        <f t="shared" si="1"/>
        <v>0</v>
      </c>
      <c r="F44" s="30">
        <f>D44*Precios!C44</f>
        <v>0</v>
      </c>
      <c r="I44" s="30"/>
    </row>
    <row r="45">
      <c r="A45" s="27" t="str">
        <f>Velas!A45</f>
        <v>Vela Perro</v>
      </c>
      <c r="B45" s="30">
        <f>PRODUCT(Precios!B45,Ventas!F45)</f>
        <v>0</v>
      </c>
      <c r="C45" s="30">
        <f>PRODUCT(Precios!B45,Ventas!G45)</f>
        <v>0</v>
      </c>
      <c r="D45" s="27">
        <f>SUM(Ventas!F45:G45)</f>
        <v>0</v>
      </c>
      <c r="E45" s="30">
        <f t="shared" si="1"/>
        <v>0</v>
      </c>
      <c r="F45" s="30">
        <f>D45*Precios!C45</f>
        <v>0</v>
      </c>
      <c r="I45" s="30"/>
    </row>
    <row r="46">
      <c r="A46" s="27" t="str">
        <f>Velas!A46</f>
        <v/>
      </c>
      <c r="B46" s="30"/>
      <c r="C46" s="30"/>
      <c r="E46" s="30"/>
      <c r="F46" s="30"/>
      <c r="I46" s="30"/>
    </row>
    <row r="47">
      <c r="A47" s="27" t="str">
        <f>Velas!A47</f>
        <v/>
      </c>
      <c r="B47" s="30"/>
      <c r="C47" s="30"/>
      <c r="E47" s="30"/>
      <c r="F47" s="30"/>
      <c r="I47" s="30"/>
    </row>
    <row r="48">
      <c r="A48" s="27" t="str">
        <f>Velas!A48</f>
        <v/>
      </c>
      <c r="B48" s="30"/>
      <c r="C48" s="30"/>
      <c r="E48" s="30"/>
      <c r="F48" s="30"/>
      <c r="I48" s="30"/>
    </row>
    <row r="49">
      <c r="A49" s="27" t="str">
        <f>Velas!A49</f>
        <v/>
      </c>
      <c r="B49" s="30"/>
      <c r="C49" s="30"/>
      <c r="E49" s="30"/>
      <c r="F49" s="30"/>
      <c r="I49" s="30"/>
    </row>
    <row r="50">
      <c r="A50" s="27" t="str">
        <f>Velas!A50</f>
        <v/>
      </c>
      <c r="B50" s="30"/>
      <c r="C50" s="30"/>
      <c r="E50" s="30"/>
      <c r="F50" s="30"/>
      <c r="I50" s="30"/>
    </row>
    <row r="51">
      <c r="A51" s="27" t="str">
        <f>Velas!A51</f>
        <v/>
      </c>
      <c r="B51" s="30"/>
      <c r="C51" s="30"/>
      <c r="E51" s="30"/>
      <c r="F51" s="30"/>
      <c r="I51" s="30"/>
    </row>
    <row r="52">
      <c r="A52" s="27" t="str">
        <f>Velas!A52</f>
        <v/>
      </c>
      <c r="B52" s="30"/>
      <c r="C52" s="30"/>
      <c r="E52" s="30"/>
      <c r="F52" s="30"/>
      <c r="I52" s="30"/>
    </row>
    <row r="53">
      <c r="A53" s="27" t="str">
        <f>Velas!A53</f>
        <v/>
      </c>
      <c r="B53" s="30"/>
      <c r="C53" s="30"/>
      <c r="E53" s="30"/>
      <c r="F53" s="30"/>
      <c r="I53" s="30"/>
    </row>
    <row r="54">
      <c r="A54" s="27" t="str">
        <f>Velas!A54</f>
        <v/>
      </c>
      <c r="B54" s="30"/>
      <c r="C54" s="30"/>
      <c r="E54" s="30"/>
      <c r="F54" s="30"/>
      <c r="I54" s="30"/>
    </row>
    <row r="55">
      <c r="A55" s="27" t="str">
        <f>Velas!A55</f>
        <v/>
      </c>
      <c r="B55" s="30"/>
      <c r="C55" s="30"/>
      <c r="E55" s="30"/>
      <c r="F55" s="30"/>
      <c r="I55" s="30"/>
    </row>
    <row r="56">
      <c r="A56" s="27" t="str">
        <f>Velas!A56</f>
        <v/>
      </c>
      <c r="B56" s="30"/>
      <c r="C56" s="30"/>
      <c r="E56" s="30"/>
      <c r="F56" s="30"/>
      <c r="I56" s="30"/>
    </row>
    <row r="57">
      <c r="A57" s="27" t="str">
        <f>Velas!A57</f>
        <v/>
      </c>
      <c r="B57" s="30"/>
      <c r="C57" s="30"/>
      <c r="E57" s="30"/>
      <c r="F57" s="30"/>
      <c r="I57" s="30"/>
    </row>
    <row r="58">
      <c r="A58" s="27" t="str">
        <f>Velas!A58</f>
        <v/>
      </c>
      <c r="B58" s="30"/>
      <c r="C58" s="30"/>
      <c r="E58" s="30"/>
      <c r="F58" s="30"/>
      <c r="I58" s="30"/>
    </row>
    <row r="59">
      <c r="A59" s="27" t="str">
        <f>Velas!A59</f>
        <v/>
      </c>
      <c r="B59" s="30"/>
      <c r="C59" s="30"/>
      <c r="E59" s="30"/>
      <c r="F59" s="30"/>
      <c r="I59" s="30"/>
    </row>
    <row r="60">
      <c r="A60" s="27" t="str">
        <f>Velas!A60</f>
        <v/>
      </c>
      <c r="B60" s="30"/>
      <c r="C60" s="30"/>
      <c r="E60" s="30"/>
      <c r="F60" s="30"/>
      <c r="I60" s="30"/>
    </row>
    <row r="61">
      <c r="A61" s="27" t="str">
        <f>Velas!A61</f>
        <v/>
      </c>
      <c r="B61" s="30"/>
      <c r="C61" s="30"/>
      <c r="E61" s="30"/>
      <c r="F61" s="30"/>
      <c r="I61" s="30"/>
    </row>
    <row r="62">
      <c r="A62" s="27" t="str">
        <f>Velas!A62</f>
        <v/>
      </c>
      <c r="B62" s="30"/>
      <c r="C62" s="30"/>
      <c r="E62" s="30"/>
      <c r="F62" s="30"/>
      <c r="I62" s="30"/>
    </row>
    <row r="63">
      <c r="A63" s="27" t="str">
        <f>Velas!A63</f>
        <v/>
      </c>
      <c r="B63" s="30"/>
      <c r="C63" s="30"/>
      <c r="E63" s="30"/>
      <c r="F63" s="30"/>
      <c r="I63" s="30"/>
    </row>
    <row r="64">
      <c r="A64" s="27" t="str">
        <f>Velas!A64</f>
        <v/>
      </c>
      <c r="B64" s="30"/>
      <c r="C64" s="30"/>
      <c r="E64" s="30"/>
      <c r="F64" s="30"/>
      <c r="I64" s="30"/>
    </row>
    <row r="65">
      <c r="A65" s="27" t="str">
        <f>Velas!A65</f>
        <v/>
      </c>
      <c r="B65" s="30"/>
      <c r="C65" s="30"/>
      <c r="E65" s="30"/>
      <c r="F65" s="30"/>
      <c r="I65" s="30"/>
    </row>
    <row r="66">
      <c r="A66" s="27" t="str">
        <f>Velas!A66</f>
        <v/>
      </c>
      <c r="B66" s="30"/>
      <c r="C66" s="30"/>
      <c r="E66" s="30"/>
      <c r="F66" s="30"/>
      <c r="I66" s="30"/>
    </row>
    <row r="67">
      <c r="A67" s="27" t="str">
        <f>Velas!A67</f>
        <v/>
      </c>
      <c r="B67" s="30"/>
      <c r="C67" s="30"/>
      <c r="E67" s="30"/>
      <c r="F67" s="30"/>
      <c r="I67" s="30"/>
    </row>
    <row r="68">
      <c r="A68" s="27" t="str">
        <f>Velas!A68</f>
        <v/>
      </c>
      <c r="B68" s="30"/>
      <c r="C68" s="30"/>
      <c r="E68" s="30"/>
      <c r="F68" s="30"/>
      <c r="I68" s="30"/>
    </row>
    <row r="69">
      <c r="A69" s="27" t="str">
        <f>Velas!A69</f>
        <v/>
      </c>
      <c r="B69" s="30"/>
      <c r="C69" s="30"/>
      <c r="E69" s="30"/>
      <c r="F69" s="30"/>
      <c r="I69" s="30"/>
    </row>
    <row r="70">
      <c r="A70" s="27" t="str">
        <f>Velas!A70</f>
        <v/>
      </c>
      <c r="B70" s="30"/>
      <c r="C70" s="30"/>
      <c r="E70" s="30"/>
      <c r="F70" s="30"/>
      <c r="I70" s="30"/>
    </row>
    <row r="71">
      <c r="A71" s="27" t="str">
        <f>Velas!A71</f>
        <v/>
      </c>
      <c r="B71" s="30"/>
      <c r="C71" s="30"/>
      <c r="E71" s="30"/>
      <c r="F71" s="30"/>
      <c r="I71" s="30"/>
    </row>
    <row r="72">
      <c r="A72" s="27" t="str">
        <f>Velas!A72</f>
        <v/>
      </c>
      <c r="B72" s="30"/>
      <c r="C72" s="30"/>
      <c r="E72" s="30"/>
      <c r="F72" s="30"/>
      <c r="I72" s="30"/>
    </row>
    <row r="73">
      <c r="A73" s="27" t="str">
        <f>Velas!A73</f>
        <v/>
      </c>
      <c r="B73" s="30"/>
      <c r="C73" s="30"/>
      <c r="E73" s="30"/>
      <c r="F73" s="30"/>
      <c r="I73" s="30"/>
    </row>
    <row r="74">
      <c r="A74" s="27" t="str">
        <f>Velas!A74</f>
        <v/>
      </c>
      <c r="B74" s="30"/>
      <c r="C74" s="30"/>
      <c r="E74" s="30"/>
      <c r="F74" s="30"/>
      <c r="I74" s="30"/>
    </row>
    <row r="75">
      <c r="A75" s="27" t="str">
        <f>Velas!A75</f>
        <v/>
      </c>
      <c r="B75" s="30"/>
      <c r="C75" s="30"/>
      <c r="E75" s="30"/>
      <c r="F75" s="30"/>
      <c r="I75" s="30"/>
    </row>
    <row r="76">
      <c r="A76" s="27" t="str">
        <f>Velas!A76</f>
        <v/>
      </c>
      <c r="B76" s="30"/>
      <c r="C76" s="30"/>
      <c r="E76" s="30"/>
      <c r="F76" s="30"/>
      <c r="I76" s="30"/>
    </row>
    <row r="77">
      <c r="A77" s="27" t="str">
        <f>Velas!A77</f>
        <v/>
      </c>
      <c r="B77" s="30"/>
      <c r="C77" s="30"/>
      <c r="E77" s="30"/>
      <c r="F77" s="30"/>
      <c r="I77" s="30"/>
    </row>
    <row r="78">
      <c r="A78" s="27" t="str">
        <f>Velas!A78</f>
        <v/>
      </c>
      <c r="B78" s="30"/>
      <c r="C78" s="30"/>
      <c r="E78" s="30"/>
      <c r="F78" s="30"/>
      <c r="I78" s="30"/>
    </row>
    <row r="79">
      <c r="A79" s="27" t="str">
        <f>Velas!A79</f>
        <v/>
      </c>
      <c r="B79" s="30"/>
      <c r="C79" s="30"/>
      <c r="E79" s="30"/>
      <c r="F79" s="30"/>
      <c r="I79" s="30"/>
    </row>
    <row r="80">
      <c r="A80" s="27" t="str">
        <f>Velas!A80</f>
        <v/>
      </c>
      <c r="B80" s="30"/>
      <c r="C80" s="30"/>
      <c r="E80" s="30"/>
      <c r="F80" s="30"/>
      <c r="I80" s="30"/>
    </row>
    <row r="81">
      <c r="A81" s="27" t="str">
        <f>Velas!A81</f>
        <v/>
      </c>
      <c r="B81" s="30"/>
      <c r="C81" s="30"/>
      <c r="E81" s="30"/>
      <c r="F81" s="30"/>
      <c r="I81" s="30"/>
    </row>
    <row r="82">
      <c r="A82" s="27" t="str">
        <f>Velas!A82</f>
        <v/>
      </c>
      <c r="B82" s="30"/>
      <c r="C82" s="30"/>
      <c r="E82" s="30"/>
      <c r="F82" s="30"/>
      <c r="I82" s="30"/>
    </row>
    <row r="83">
      <c r="A83" s="27" t="str">
        <f>Velas!A83</f>
        <v/>
      </c>
      <c r="B83" s="30"/>
      <c r="C83" s="30"/>
      <c r="E83" s="30"/>
      <c r="F83" s="30"/>
      <c r="I83" s="30"/>
    </row>
    <row r="84">
      <c r="A84" s="27" t="str">
        <f>Velas!A84</f>
        <v/>
      </c>
      <c r="B84" s="30"/>
      <c r="C84" s="30"/>
      <c r="E84" s="30"/>
      <c r="F84" s="30"/>
      <c r="I84" s="30"/>
    </row>
    <row r="85">
      <c r="A85" s="27" t="str">
        <f>Velas!A85</f>
        <v/>
      </c>
      <c r="B85" s="30"/>
      <c r="C85" s="30"/>
      <c r="E85" s="30"/>
      <c r="F85" s="30"/>
      <c r="I85" s="30"/>
    </row>
    <row r="86">
      <c r="A86" s="27" t="str">
        <f>Velas!A86</f>
        <v/>
      </c>
      <c r="B86" s="30"/>
      <c r="C86" s="30"/>
      <c r="E86" s="30"/>
      <c r="F86" s="30"/>
      <c r="I86" s="30"/>
    </row>
    <row r="87">
      <c r="A87" s="27" t="str">
        <f>Velas!A87</f>
        <v/>
      </c>
      <c r="B87" s="30"/>
      <c r="C87" s="30"/>
      <c r="E87" s="30"/>
      <c r="F87" s="30"/>
      <c r="I87" s="30"/>
    </row>
    <row r="88">
      <c r="A88" s="27" t="str">
        <f>Velas!A88</f>
        <v/>
      </c>
      <c r="B88" s="30"/>
      <c r="C88" s="30"/>
      <c r="E88" s="30"/>
      <c r="F88" s="30"/>
      <c r="I88" s="30"/>
    </row>
    <row r="89">
      <c r="A89" s="27" t="str">
        <f>Velas!A89</f>
        <v/>
      </c>
      <c r="B89" s="30"/>
      <c r="C89" s="30"/>
      <c r="E89" s="30"/>
      <c r="F89" s="30"/>
      <c r="I89" s="30"/>
    </row>
    <row r="90">
      <c r="A90" s="27" t="str">
        <f>Velas!A90</f>
        <v/>
      </c>
      <c r="B90" s="30"/>
      <c r="C90" s="30"/>
      <c r="E90" s="30"/>
      <c r="F90" s="30"/>
      <c r="I90" s="30"/>
    </row>
    <row r="91">
      <c r="A91" s="27" t="str">
        <f>Velas!A91</f>
        <v/>
      </c>
      <c r="B91" s="30"/>
      <c r="C91" s="30"/>
      <c r="E91" s="30"/>
      <c r="F91" s="30"/>
      <c r="I91" s="30"/>
    </row>
    <row r="92">
      <c r="A92" s="27" t="str">
        <f>Velas!A92</f>
        <v/>
      </c>
      <c r="B92" s="30"/>
      <c r="C92" s="30"/>
      <c r="E92" s="30"/>
      <c r="F92" s="30"/>
      <c r="I92" s="30"/>
    </row>
    <row r="93">
      <c r="A93" s="27" t="str">
        <f>Velas!A93</f>
        <v/>
      </c>
      <c r="B93" s="30"/>
      <c r="C93" s="30"/>
      <c r="E93" s="30"/>
      <c r="F93" s="30"/>
      <c r="I93" s="30"/>
    </row>
    <row r="94">
      <c r="A94" s="27" t="str">
        <f>Velas!A94</f>
        <v/>
      </c>
      <c r="B94" s="30"/>
      <c r="C94" s="30"/>
      <c r="E94" s="30"/>
      <c r="F94" s="30"/>
      <c r="I94" s="30"/>
    </row>
    <row r="95">
      <c r="A95" s="27" t="str">
        <f>Velas!A95</f>
        <v/>
      </c>
      <c r="B95" s="30"/>
      <c r="C95" s="30"/>
      <c r="E95" s="30"/>
      <c r="F95" s="30"/>
      <c r="I95" s="30"/>
    </row>
    <row r="96">
      <c r="A96" s="27" t="str">
        <f>Velas!A96</f>
        <v/>
      </c>
      <c r="B96" s="30"/>
      <c r="C96" s="30"/>
      <c r="E96" s="30"/>
      <c r="F96" s="30"/>
      <c r="I96" s="30"/>
    </row>
    <row r="97">
      <c r="A97" s="27" t="str">
        <f>Velas!A97</f>
        <v/>
      </c>
      <c r="B97" s="30"/>
      <c r="C97" s="30"/>
      <c r="E97" s="30"/>
      <c r="F97" s="30"/>
      <c r="I97" s="30"/>
    </row>
    <row r="98">
      <c r="A98" s="27" t="str">
        <f>Velas!A98</f>
        <v/>
      </c>
      <c r="B98" s="30"/>
      <c r="C98" s="30"/>
      <c r="E98" s="30"/>
      <c r="F98" s="30"/>
      <c r="I98" s="30"/>
    </row>
    <row r="99">
      <c r="A99" s="27" t="str">
        <f>Velas!A99</f>
        <v/>
      </c>
      <c r="B99" s="30"/>
      <c r="C99" s="30"/>
      <c r="E99" s="30"/>
      <c r="F99" s="30"/>
      <c r="I99" s="30"/>
    </row>
    <row r="100">
      <c r="B100" s="30"/>
      <c r="C100" s="30"/>
      <c r="E100" s="30"/>
      <c r="F100" s="30"/>
      <c r="I100" s="30"/>
    </row>
    <row r="101">
      <c r="B101" s="30"/>
      <c r="C101" s="30"/>
      <c r="E101" s="30"/>
      <c r="F101" s="30"/>
      <c r="I101" s="30"/>
    </row>
    <row r="102">
      <c r="B102" s="30"/>
      <c r="C102" s="30"/>
      <c r="E102" s="30"/>
      <c r="F102" s="30"/>
      <c r="I102" s="30"/>
    </row>
    <row r="103">
      <c r="B103" s="30"/>
      <c r="C103" s="30"/>
      <c r="E103" s="30"/>
      <c r="F103" s="30"/>
      <c r="I103" s="30"/>
    </row>
    <row r="104">
      <c r="B104" s="30"/>
      <c r="C104" s="30"/>
      <c r="E104" s="30"/>
      <c r="F104" s="30"/>
      <c r="I104" s="30"/>
    </row>
    <row r="105">
      <c r="B105" s="30"/>
      <c r="C105" s="30"/>
      <c r="E105" s="30"/>
      <c r="F105" s="30"/>
      <c r="I105" s="30"/>
    </row>
    <row r="106">
      <c r="B106" s="30"/>
      <c r="C106" s="30"/>
      <c r="E106" s="30"/>
      <c r="F106" s="30"/>
      <c r="I106" s="30"/>
    </row>
    <row r="107">
      <c r="B107" s="30"/>
      <c r="C107" s="30"/>
      <c r="E107" s="30"/>
      <c r="F107" s="30"/>
      <c r="I107" s="30"/>
    </row>
    <row r="108">
      <c r="B108" s="30"/>
      <c r="C108" s="30"/>
      <c r="E108" s="30"/>
      <c r="F108" s="30"/>
      <c r="I108" s="30"/>
    </row>
    <row r="109">
      <c r="B109" s="30"/>
      <c r="C109" s="30"/>
      <c r="E109" s="30"/>
      <c r="F109" s="30"/>
      <c r="I109" s="30"/>
    </row>
    <row r="110">
      <c r="B110" s="30"/>
      <c r="C110" s="30"/>
      <c r="E110" s="30"/>
      <c r="F110" s="30"/>
      <c r="I110" s="30"/>
    </row>
    <row r="111">
      <c r="B111" s="30"/>
      <c r="C111" s="30"/>
      <c r="E111" s="30"/>
      <c r="F111" s="30"/>
      <c r="I111" s="30"/>
    </row>
    <row r="112">
      <c r="B112" s="30"/>
      <c r="C112" s="30"/>
      <c r="E112" s="30"/>
      <c r="F112" s="30"/>
      <c r="I112" s="30"/>
    </row>
    <row r="113">
      <c r="B113" s="30"/>
      <c r="C113" s="30"/>
      <c r="E113" s="30"/>
      <c r="F113" s="30"/>
      <c r="I113" s="30"/>
    </row>
    <row r="114">
      <c r="B114" s="30"/>
      <c r="C114" s="30"/>
      <c r="E114" s="30"/>
      <c r="F114" s="30"/>
      <c r="I114" s="30"/>
    </row>
    <row r="115">
      <c r="B115" s="30"/>
      <c r="C115" s="30"/>
      <c r="E115" s="30"/>
      <c r="F115" s="30"/>
      <c r="I115" s="30"/>
    </row>
    <row r="116">
      <c r="B116" s="30"/>
      <c r="C116" s="30"/>
      <c r="E116" s="30"/>
      <c r="F116" s="30"/>
      <c r="I116" s="30"/>
    </row>
    <row r="117">
      <c r="B117" s="30"/>
      <c r="C117" s="30"/>
      <c r="E117" s="30"/>
      <c r="F117" s="30"/>
      <c r="I117" s="30"/>
    </row>
    <row r="118">
      <c r="B118" s="30"/>
      <c r="C118" s="30"/>
      <c r="E118" s="30"/>
      <c r="F118" s="30"/>
      <c r="I118" s="30"/>
    </row>
    <row r="119">
      <c r="B119" s="30"/>
      <c r="C119" s="30"/>
      <c r="E119" s="30"/>
      <c r="F119" s="30"/>
      <c r="I119" s="30"/>
    </row>
    <row r="120">
      <c r="B120" s="30"/>
      <c r="C120" s="30"/>
      <c r="E120" s="30"/>
      <c r="F120" s="30"/>
      <c r="I120" s="30"/>
    </row>
    <row r="121">
      <c r="B121" s="30"/>
      <c r="C121" s="30"/>
      <c r="E121" s="30"/>
      <c r="F121" s="30"/>
      <c r="I121" s="30"/>
    </row>
    <row r="122">
      <c r="B122" s="30"/>
      <c r="C122" s="30"/>
      <c r="E122" s="30"/>
      <c r="F122" s="30"/>
      <c r="I122" s="30"/>
    </row>
    <row r="123">
      <c r="B123" s="30"/>
      <c r="C123" s="30"/>
      <c r="E123" s="30"/>
      <c r="F123" s="30"/>
      <c r="I123" s="30"/>
    </row>
    <row r="124">
      <c r="B124" s="30"/>
      <c r="C124" s="30"/>
      <c r="E124" s="30"/>
      <c r="F124" s="30"/>
      <c r="I124" s="30"/>
    </row>
    <row r="125">
      <c r="B125" s="30"/>
      <c r="C125" s="30"/>
      <c r="E125" s="30"/>
      <c r="F125" s="30"/>
      <c r="I125" s="30"/>
    </row>
    <row r="126">
      <c r="B126" s="30"/>
      <c r="C126" s="30"/>
      <c r="E126" s="30"/>
      <c r="F126" s="30"/>
      <c r="I126" s="30"/>
    </row>
    <row r="127">
      <c r="B127" s="30"/>
      <c r="C127" s="30"/>
      <c r="E127" s="30"/>
      <c r="F127" s="30"/>
      <c r="I127" s="30"/>
    </row>
    <row r="128">
      <c r="B128" s="30"/>
      <c r="C128" s="30"/>
      <c r="E128" s="30"/>
      <c r="F128" s="30"/>
      <c r="I128" s="30"/>
    </row>
    <row r="129">
      <c r="B129" s="30"/>
      <c r="C129" s="30"/>
      <c r="E129" s="30"/>
      <c r="F129" s="30"/>
      <c r="I129" s="30"/>
    </row>
    <row r="130">
      <c r="B130" s="30"/>
      <c r="C130" s="30"/>
      <c r="E130" s="30"/>
      <c r="F130" s="30"/>
      <c r="I130" s="30"/>
    </row>
    <row r="131">
      <c r="B131" s="30"/>
      <c r="C131" s="30"/>
      <c r="E131" s="30"/>
      <c r="F131" s="30"/>
      <c r="I131" s="30"/>
    </row>
    <row r="132">
      <c r="B132" s="30"/>
      <c r="C132" s="30"/>
      <c r="E132" s="30"/>
      <c r="F132" s="30"/>
      <c r="I132" s="30"/>
    </row>
    <row r="133">
      <c r="B133" s="30"/>
      <c r="C133" s="30"/>
      <c r="E133" s="30"/>
      <c r="F133" s="30"/>
      <c r="I133" s="30"/>
    </row>
    <row r="134">
      <c r="B134" s="30"/>
      <c r="C134" s="30"/>
      <c r="E134" s="30"/>
      <c r="F134" s="30"/>
      <c r="I134" s="30"/>
    </row>
    <row r="135">
      <c r="B135" s="30"/>
      <c r="C135" s="30"/>
      <c r="E135" s="30"/>
      <c r="F135" s="30"/>
      <c r="I135" s="30"/>
    </row>
    <row r="136">
      <c r="B136" s="30"/>
      <c r="C136" s="30"/>
      <c r="E136" s="30"/>
      <c r="F136" s="30"/>
      <c r="I136" s="30"/>
    </row>
    <row r="137">
      <c r="B137" s="30"/>
      <c r="C137" s="30"/>
      <c r="E137" s="30"/>
      <c r="F137" s="30"/>
      <c r="I137" s="30"/>
    </row>
    <row r="138">
      <c r="B138" s="30"/>
      <c r="C138" s="30"/>
      <c r="E138" s="30"/>
      <c r="F138" s="30"/>
      <c r="I138" s="30"/>
    </row>
    <row r="139">
      <c r="B139" s="30"/>
      <c r="C139" s="30"/>
      <c r="E139" s="30"/>
      <c r="F139" s="30"/>
      <c r="I139" s="30"/>
    </row>
    <row r="140">
      <c r="B140" s="30"/>
      <c r="C140" s="30"/>
      <c r="E140" s="30"/>
      <c r="F140" s="30"/>
      <c r="I140" s="30"/>
    </row>
    <row r="141">
      <c r="B141" s="30"/>
      <c r="C141" s="30"/>
      <c r="E141" s="30"/>
      <c r="F141" s="30"/>
      <c r="I141" s="30"/>
    </row>
    <row r="142">
      <c r="B142" s="30"/>
      <c r="C142" s="30"/>
      <c r="E142" s="30"/>
      <c r="F142" s="30"/>
      <c r="I142" s="30"/>
    </row>
    <row r="143">
      <c r="B143" s="30"/>
      <c r="C143" s="30"/>
      <c r="E143" s="30"/>
      <c r="F143" s="30"/>
      <c r="I143" s="30"/>
    </row>
    <row r="144">
      <c r="B144" s="30"/>
      <c r="C144" s="30"/>
      <c r="E144" s="30"/>
      <c r="F144" s="30"/>
      <c r="I144" s="30"/>
    </row>
    <row r="145">
      <c r="B145" s="30"/>
      <c r="C145" s="30"/>
      <c r="E145" s="30"/>
      <c r="F145" s="30"/>
      <c r="I145" s="30"/>
    </row>
    <row r="146">
      <c r="B146" s="30"/>
      <c r="C146" s="30"/>
      <c r="E146" s="30"/>
      <c r="F146" s="30"/>
      <c r="I146" s="30"/>
    </row>
    <row r="147">
      <c r="B147" s="30"/>
      <c r="C147" s="30"/>
      <c r="E147" s="30"/>
      <c r="F147" s="30"/>
      <c r="I147" s="30"/>
    </row>
    <row r="148">
      <c r="B148" s="30"/>
      <c r="C148" s="30"/>
      <c r="E148" s="30"/>
      <c r="F148" s="30"/>
      <c r="I148" s="30"/>
    </row>
    <row r="149">
      <c r="B149" s="30"/>
      <c r="C149" s="30"/>
      <c r="E149" s="30"/>
      <c r="F149" s="30"/>
      <c r="I149" s="30"/>
    </row>
    <row r="150">
      <c r="B150" s="30"/>
      <c r="C150" s="30"/>
      <c r="E150" s="30"/>
      <c r="F150" s="30"/>
      <c r="I150" s="30"/>
    </row>
    <row r="151">
      <c r="B151" s="30"/>
      <c r="C151" s="30"/>
      <c r="E151" s="30"/>
      <c r="F151" s="30"/>
      <c r="I151" s="30"/>
    </row>
    <row r="152">
      <c r="B152" s="30"/>
      <c r="C152" s="30"/>
      <c r="E152" s="30"/>
      <c r="F152" s="30"/>
      <c r="I152" s="30"/>
    </row>
    <row r="153">
      <c r="B153" s="30"/>
      <c r="C153" s="30"/>
      <c r="E153" s="30"/>
      <c r="F153" s="30"/>
      <c r="I153" s="30"/>
    </row>
    <row r="154">
      <c r="B154" s="30"/>
      <c r="C154" s="30"/>
      <c r="E154" s="30"/>
      <c r="F154" s="30"/>
      <c r="I154" s="30"/>
    </row>
    <row r="155">
      <c r="B155" s="30"/>
      <c r="C155" s="30"/>
      <c r="E155" s="30"/>
      <c r="F155" s="30"/>
      <c r="I155" s="30"/>
    </row>
    <row r="156">
      <c r="B156" s="30"/>
      <c r="C156" s="30"/>
      <c r="E156" s="30"/>
      <c r="F156" s="30"/>
      <c r="I156" s="30"/>
    </row>
    <row r="157">
      <c r="B157" s="30"/>
      <c r="C157" s="30"/>
      <c r="E157" s="30"/>
      <c r="F157" s="30"/>
      <c r="I157" s="30"/>
    </row>
    <row r="158">
      <c r="B158" s="30"/>
      <c r="C158" s="30"/>
      <c r="E158" s="30"/>
      <c r="F158" s="30"/>
      <c r="I158" s="30"/>
    </row>
    <row r="159">
      <c r="B159" s="30"/>
      <c r="C159" s="30"/>
      <c r="E159" s="30"/>
      <c r="F159" s="30"/>
      <c r="I159" s="30"/>
    </row>
    <row r="160">
      <c r="B160" s="30"/>
      <c r="C160" s="30"/>
      <c r="E160" s="30"/>
      <c r="F160" s="30"/>
      <c r="I160" s="30"/>
    </row>
    <row r="161">
      <c r="B161" s="30"/>
      <c r="C161" s="30"/>
      <c r="E161" s="30"/>
      <c r="F161" s="30"/>
      <c r="I161" s="30"/>
    </row>
    <row r="162">
      <c r="B162" s="30"/>
      <c r="C162" s="30"/>
      <c r="E162" s="30"/>
      <c r="F162" s="30"/>
      <c r="I162" s="30"/>
    </row>
    <row r="163">
      <c r="B163" s="30"/>
      <c r="C163" s="30"/>
      <c r="E163" s="30"/>
      <c r="F163" s="30"/>
      <c r="I163" s="30"/>
    </row>
    <row r="164">
      <c r="B164" s="30"/>
      <c r="C164" s="30"/>
      <c r="E164" s="30"/>
      <c r="F164" s="30"/>
      <c r="I164" s="30"/>
    </row>
    <row r="165">
      <c r="B165" s="30"/>
      <c r="C165" s="30"/>
      <c r="E165" s="30"/>
      <c r="F165" s="30"/>
      <c r="I165" s="30"/>
    </row>
    <row r="166">
      <c r="B166" s="30"/>
      <c r="C166" s="30"/>
      <c r="E166" s="30"/>
      <c r="F166" s="30"/>
      <c r="I166" s="30"/>
    </row>
    <row r="167">
      <c r="B167" s="30"/>
      <c r="C167" s="30"/>
      <c r="E167" s="30"/>
      <c r="F167" s="30"/>
      <c r="I167" s="30"/>
    </row>
    <row r="168">
      <c r="B168" s="30"/>
      <c r="C168" s="30"/>
      <c r="E168" s="30"/>
      <c r="F168" s="30"/>
      <c r="I168" s="30"/>
    </row>
    <row r="169">
      <c r="B169" s="30"/>
      <c r="C169" s="30"/>
      <c r="E169" s="30"/>
      <c r="F169" s="30"/>
      <c r="I169" s="30"/>
    </row>
    <row r="170">
      <c r="B170" s="30"/>
      <c r="C170" s="30"/>
      <c r="E170" s="30"/>
      <c r="F170" s="30"/>
      <c r="I170" s="30"/>
    </row>
    <row r="171">
      <c r="B171" s="30"/>
      <c r="C171" s="30"/>
      <c r="E171" s="30"/>
      <c r="F171" s="30"/>
      <c r="I171" s="30"/>
    </row>
    <row r="172">
      <c r="B172" s="30"/>
      <c r="C172" s="30"/>
      <c r="E172" s="30"/>
      <c r="F172" s="30"/>
      <c r="I172" s="30"/>
    </row>
    <row r="173">
      <c r="B173" s="30"/>
      <c r="C173" s="30"/>
      <c r="E173" s="30"/>
      <c r="F173" s="30"/>
      <c r="I173" s="30"/>
    </row>
    <row r="174">
      <c r="B174" s="30"/>
      <c r="C174" s="30"/>
      <c r="E174" s="30"/>
      <c r="F174" s="30"/>
      <c r="I174" s="30"/>
    </row>
    <row r="175">
      <c r="B175" s="30"/>
      <c r="C175" s="30"/>
      <c r="E175" s="30"/>
      <c r="F175" s="30"/>
      <c r="I175" s="30"/>
    </row>
    <row r="176">
      <c r="B176" s="30"/>
      <c r="C176" s="30"/>
      <c r="E176" s="30"/>
      <c r="F176" s="30"/>
      <c r="I176" s="30"/>
    </row>
    <row r="177">
      <c r="B177" s="30"/>
      <c r="C177" s="30"/>
      <c r="E177" s="30"/>
      <c r="F177" s="30"/>
      <c r="I177" s="30"/>
    </row>
    <row r="178">
      <c r="B178" s="30"/>
      <c r="C178" s="30"/>
      <c r="E178" s="30"/>
      <c r="F178" s="30"/>
      <c r="I178" s="30"/>
    </row>
    <row r="179">
      <c r="B179" s="30"/>
      <c r="C179" s="30"/>
      <c r="E179" s="30"/>
      <c r="F179" s="30"/>
      <c r="I179" s="30"/>
    </row>
    <row r="180">
      <c r="B180" s="30"/>
      <c r="C180" s="30"/>
      <c r="E180" s="30"/>
      <c r="F180" s="30"/>
      <c r="I180" s="30"/>
    </row>
    <row r="181">
      <c r="B181" s="30"/>
      <c r="C181" s="30"/>
      <c r="E181" s="30"/>
      <c r="F181" s="30"/>
      <c r="I181" s="30"/>
    </row>
    <row r="182">
      <c r="B182" s="30"/>
      <c r="C182" s="30"/>
      <c r="E182" s="30"/>
      <c r="F182" s="30"/>
      <c r="I182" s="30"/>
    </row>
    <row r="183">
      <c r="B183" s="30"/>
      <c r="C183" s="30"/>
      <c r="E183" s="30"/>
      <c r="F183" s="30"/>
      <c r="I183" s="30"/>
    </row>
    <row r="184">
      <c r="B184" s="30"/>
      <c r="C184" s="30"/>
      <c r="E184" s="30"/>
      <c r="F184" s="30"/>
      <c r="I184" s="30"/>
    </row>
    <row r="185">
      <c r="B185" s="30"/>
      <c r="C185" s="30"/>
      <c r="E185" s="30"/>
      <c r="F185" s="30"/>
      <c r="I185" s="30"/>
    </row>
    <row r="186">
      <c r="B186" s="30"/>
      <c r="C186" s="30"/>
      <c r="E186" s="30"/>
      <c r="F186" s="30"/>
      <c r="I186" s="30"/>
    </row>
    <row r="187">
      <c r="B187" s="30"/>
      <c r="C187" s="30"/>
      <c r="E187" s="30"/>
      <c r="F187" s="30"/>
      <c r="I187" s="30"/>
    </row>
    <row r="188">
      <c r="B188" s="30"/>
      <c r="C188" s="30"/>
      <c r="E188" s="30"/>
      <c r="F188" s="30"/>
      <c r="I188" s="30"/>
    </row>
    <row r="189">
      <c r="B189" s="30"/>
      <c r="C189" s="30"/>
      <c r="E189" s="30"/>
      <c r="F189" s="30"/>
      <c r="I189" s="30"/>
    </row>
    <row r="190">
      <c r="B190" s="30"/>
      <c r="C190" s="30"/>
      <c r="E190" s="30"/>
      <c r="F190" s="30"/>
      <c r="I190" s="30"/>
    </row>
    <row r="191">
      <c r="B191" s="30"/>
      <c r="C191" s="30"/>
      <c r="E191" s="30"/>
      <c r="F191" s="30"/>
      <c r="I191" s="30"/>
    </row>
    <row r="192">
      <c r="B192" s="30"/>
      <c r="C192" s="30"/>
      <c r="E192" s="30"/>
      <c r="F192" s="30"/>
      <c r="I192" s="30"/>
    </row>
    <row r="193">
      <c r="B193" s="30"/>
      <c r="C193" s="30"/>
      <c r="E193" s="30"/>
      <c r="F193" s="30"/>
      <c r="I193" s="30"/>
    </row>
    <row r="194">
      <c r="B194" s="30"/>
      <c r="C194" s="30"/>
      <c r="E194" s="30"/>
      <c r="F194" s="30"/>
      <c r="I194" s="30"/>
    </row>
    <row r="195">
      <c r="B195" s="30"/>
      <c r="C195" s="30"/>
      <c r="E195" s="30"/>
      <c r="F195" s="30"/>
      <c r="I195" s="30"/>
    </row>
    <row r="196">
      <c r="B196" s="30"/>
      <c r="C196" s="30"/>
      <c r="E196" s="30"/>
      <c r="F196" s="30"/>
      <c r="I196" s="30"/>
    </row>
    <row r="197">
      <c r="B197" s="30"/>
      <c r="C197" s="30"/>
      <c r="E197" s="30"/>
      <c r="F197" s="30"/>
      <c r="I197" s="30"/>
    </row>
    <row r="198">
      <c r="B198" s="30"/>
      <c r="C198" s="30"/>
      <c r="E198" s="30"/>
      <c r="F198" s="30"/>
      <c r="I198" s="30"/>
    </row>
    <row r="199">
      <c r="B199" s="30"/>
      <c r="C199" s="30"/>
      <c r="E199" s="30"/>
      <c r="F199" s="30"/>
      <c r="I199" s="30"/>
    </row>
    <row r="200">
      <c r="B200" s="30"/>
      <c r="C200" s="30"/>
      <c r="E200" s="30"/>
      <c r="F200" s="30"/>
      <c r="I200" s="30"/>
    </row>
    <row r="201">
      <c r="B201" s="30"/>
      <c r="C201" s="30"/>
      <c r="E201" s="30"/>
      <c r="F201" s="30"/>
      <c r="I201" s="30"/>
    </row>
    <row r="202">
      <c r="B202" s="30"/>
      <c r="C202" s="30"/>
      <c r="E202" s="30"/>
      <c r="F202" s="30"/>
      <c r="I202" s="30"/>
    </row>
    <row r="203">
      <c r="B203" s="30"/>
      <c r="C203" s="30"/>
      <c r="E203" s="30"/>
      <c r="F203" s="30"/>
      <c r="I203" s="30"/>
    </row>
    <row r="204">
      <c r="B204" s="30"/>
      <c r="C204" s="30"/>
      <c r="E204" s="30"/>
      <c r="F204" s="30"/>
      <c r="I204" s="30"/>
    </row>
    <row r="205">
      <c r="B205" s="30"/>
      <c r="C205" s="30"/>
      <c r="E205" s="30"/>
      <c r="F205" s="30"/>
      <c r="I205" s="30"/>
    </row>
    <row r="206">
      <c r="B206" s="30"/>
      <c r="C206" s="30"/>
      <c r="E206" s="30"/>
      <c r="F206" s="30"/>
      <c r="I206" s="30"/>
    </row>
    <row r="207">
      <c r="B207" s="30"/>
      <c r="C207" s="30"/>
      <c r="E207" s="30"/>
      <c r="F207" s="30"/>
      <c r="I207" s="30"/>
    </row>
    <row r="208">
      <c r="B208" s="30"/>
      <c r="C208" s="30"/>
      <c r="E208" s="30"/>
      <c r="F208" s="30"/>
      <c r="I208" s="30"/>
    </row>
    <row r="209">
      <c r="B209" s="30"/>
      <c r="C209" s="30"/>
      <c r="E209" s="30"/>
      <c r="F209" s="30"/>
      <c r="I209" s="30"/>
    </row>
    <row r="210">
      <c r="B210" s="30"/>
      <c r="C210" s="30"/>
      <c r="E210" s="30"/>
      <c r="F210" s="30"/>
      <c r="I210" s="30"/>
    </row>
    <row r="211">
      <c r="B211" s="30"/>
      <c r="C211" s="30"/>
      <c r="E211" s="30"/>
      <c r="F211" s="30"/>
      <c r="I211" s="30"/>
    </row>
    <row r="212">
      <c r="B212" s="30"/>
      <c r="C212" s="30"/>
      <c r="E212" s="30"/>
      <c r="F212" s="30"/>
      <c r="I212" s="30"/>
    </row>
    <row r="213">
      <c r="B213" s="30"/>
      <c r="C213" s="30"/>
      <c r="E213" s="30"/>
      <c r="F213" s="30"/>
      <c r="I213" s="30"/>
    </row>
    <row r="214">
      <c r="B214" s="30"/>
      <c r="C214" s="30"/>
      <c r="E214" s="30"/>
      <c r="F214" s="30"/>
      <c r="I214" s="30"/>
    </row>
    <row r="215">
      <c r="B215" s="30"/>
      <c r="C215" s="30"/>
      <c r="E215" s="30"/>
      <c r="F215" s="30"/>
      <c r="I215" s="30"/>
    </row>
    <row r="216">
      <c r="B216" s="30"/>
      <c r="C216" s="30"/>
      <c r="E216" s="30"/>
      <c r="F216" s="30"/>
      <c r="I216" s="30"/>
    </row>
    <row r="217">
      <c r="B217" s="30"/>
      <c r="C217" s="30"/>
      <c r="E217" s="30"/>
      <c r="F217" s="30"/>
      <c r="I217" s="30"/>
    </row>
    <row r="218">
      <c r="B218" s="30"/>
      <c r="C218" s="30"/>
      <c r="E218" s="30"/>
      <c r="F218" s="30"/>
      <c r="I218" s="30"/>
    </row>
    <row r="219">
      <c r="B219" s="30"/>
      <c r="C219" s="30"/>
      <c r="E219" s="30"/>
      <c r="F219" s="30"/>
      <c r="I219" s="30"/>
    </row>
    <row r="220">
      <c r="B220" s="30"/>
      <c r="C220" s="30"/>
      <c r="E220" s="30"/>
      <c r="F220" s="30"/>
      <c r="I220" s="30"/>
    </row>
    <row r="221">
      <c r="B221" s="30"/>
      <c r="C221" s="30"/>
      <c r="E221" s="30"/>
      <c r="F221" s="30"/>
      <c r="I221" s="30"/>
    </row>
    <row r="222">
      <c r="B222" s="30"/>
      <c r="C222" s="30"/>
      <c r="E222" s="30"/>
      <c r="F222" s="30"/>
      <c r="I222" s="30"/>
    </row>
    <row r="223">
      <c r="B223" s="30"/>
      <c r="C223" s="30"/>
      <c r="E223" s="30"/>
      <c r="F223" s="30"/>
      <c r="I223" s="30"/>
    </row>
    <row r="224">
      <c r="B224" s="30"/>
      <c r="C224" s="30"/>
      <c r="E224" s="30"/>
      <c r="F224" s="30"/>
      <c r="I224" s="30"/>
    </row>
    <row r="225">
      <c r="B225" s="30"/>
      <c r="C225" s="30"/>
      <c r="E225" s="30"/>
      <c r="F225" s="30"/>
      <c r="I225" s="30"/>
    </row>
    <row r="226">
      <c r="B226" s="30"/>
      <c r="C226" s="30"/>
      <c r="E226" s="30"/>
      <c r="F226" s="30"/>
      <c r="I226" s="30"/>
    </row>
    <row r="227">
      <c r="B227" s="30"/>
      <c r="C227" s="30"/>
      <c r="E227" s="30"/>
      <c r="F227" s="30"/>
      <c r="I227" s="30"/>
    </row>
    <row r="228">
      <c r="B228" s="30"/>
      <c r="C228" s="30"/>
      <c r="E228" s="30"/>
      <c r="F228" s="30"/>
      <c r="I228" s="30"/>
    </row>
    <row r="229">
      <c r="B229" s="30"/>
      <c r="C229" s="30"/>
      <c r="E229" s="30"/>
      <c r="F229" s="30"/>
      <c r="I229" s="30"/>
    </row>
    <row r="230">
      <c r="B230" s="30"/>
      <c r="C230" s="30"/>
      <c r="E230" s="30"/>
      <c r="F230" s="30"/>
      <c r="I230" s="30"/>
    </row>
    <row r="231">
      <c r="B231" s="30"/>
      <c r="C231" s="30"/>
      <c r="E231" s="30"/>
      <c r="F231" s="30"/>
      <c r="I231" s="30"/>
    </row>
    <row r="232">
      <c r="B232" s="30"/>
      <c r="C232" s="30"/>
      <c r="E232" s="30"/>
      <c r="F232" s="30"/>
      <c r="I232" s="30"/>
    </row>
    <row r="233">
      <c r="B233" s="30"/>
      <c r="C233" s="30"/>
      <c r="E233" s="30"/>
      <c r="F233" s="30"/>
      <c r="I233" s="30"/>
    </row>
    <row r="234">
      <c r="B234" s="30"/>
      <c r="C234" s="30"/>
      <c r="E234" s="30"/>
      <c r="F234" s="30"/>
      <c r="I234" s="30"/>
    </row>
    <row r="235">
      <c r="B235" s="30"/>
      <c r="C235" s="30"/>
      <c r="E235" s="30"/>
      <c r="F235" s="30"/>
      <c r="I235" s="30"/>
    </row>
    <row r="236">
      <c r="B236" s="30"/>
      <c r="C236" s="30"/>
      <c r="E236" s="30"/>
      <c r="F236" s="30"/>
      <c r="I236" s="30"/>
    </row>
    <row r="237">
      <c r="B237" s="30"/>
      <c r="C237" s="30"/>
      <c r="E237" s="30"/>
      <c r="F237" s="30"/>
      <c r="I237" s="30"/>
    </row>
    <row r="238">
      <c r="B238" s="30"/>
      <c r="C238" s="30"/>
      <c r="E238" s="30"/>
      <c r="F238" s="30"/>
      <c r="I238" s="30"/>
    </row>
    <row r="239">
      <c r="B239" s="30"/>
      <c r="C239" s="30"/>
      <c r="E239" s="30"/>
      <c r="F239" s="30"/>
      <c r="I239" s="30"/>
    </row>
    <row r="240">
      <c r="B240" s="30"/>
      <c r="C240" s="30"/>
      <c r="E240" s="30"/>
      <c r="F240" s="30"/>
      <c r="I240" s="30"/>
    </row>
    <row r="241">
      <c r="B241" s="30"/>
      <c r="C241" s="30"/>
      <c r="E241" s="30"/>
      <c r="F241" s="30"/>
      <c r="I241" s="30"/>
    </row>
    <row r="242">
      <c r="B242" s="30"/>
      <c r="C242" s="30"/>
      <c r="E242" s="30"/>
      <c r="F242" s="30"/>
      <c r="I242" s="30"/>
    </row>
    <row r="243">
      <c r="B243" s="30"/>
      <c r="C243" s="30"/>
      <c r="E243" s="30"/>
      <c r="F243" s="30"/>
      <c r="I243" s="30"/>
    </row>
    <row r="244">
      <c r="B244" s="30"/>
      <c r="C244" s="30"/>
      <c r="E244" s="30"/>
      <c r="F244" s="30"/>
      <c r="I244" s="30"/>
    </row>
    <row r="245">
      <c r="B245" s="30"/>
      <c r="C245" s="30"/>
      <c r="E245" s="30"/>
      <c r="F245" s="30"/>
      <c r="I245" s="30"/>
    </row>
    <row r="246">
      <c r="B246" s="30"/>
      <c r="C246" s="30"/>
      <c r="E246" s="30"/>
      <c r="F246" s="30"/>
      <c r="I246" s="30"/>
    </row>
    <row r="247">
      <c r="B247" s="30"/>
      <c r="C247" s="30"/>
      <c r="E247" s="30"/>
      <c r="F247" s="30"/>
      <c r="I247" s="30"/>
    </row>
    <row r="248">
      <c r="B248" s="30"/>
      <c r="C248" s="30"/>
      <c r="E248" s="30"/>
      <c r="F248" s="30"/>
      <c r="I248" s="30"/>
    </row>
    <row r="249">
      <c r="B249" s="30"/>
      <c r="C249" s="30"/>
      <c r="E249" s="30"/>
      <c r="F249" s="30"/>
      <c r="I249" s="30"/>
    </row>
    <row r="250">
      <c r="B250" s="30"/>
      <c r="C250" s="30"/>
      <c r="E250" s="30"/>
      <c r="F250" s="30"/>
      <c r="I250" s="30"/>
    </row>
    <row r="251">
      <c r="B251" s="30"/>
      <c r="C251" s="30"/>
      <c r="E251" s="30"/>
      <c r="F251" s="30"/>
      <c r="I251" s="30"/>
    </row>
    <row r="252">
      <c r="B252" s="30"/>
      <c r="C252" s="30"/>
      <c r="E252" s="30"/>
      <c r="F252" s="30"/>
      <c r="I252" s="30"/>
    </row>
    <row r="253">
      <c r="B253" s="30"/>
      <c r="C253" s="30"/>
      <c r="E253" s="30"/>
      <c r="F253" s="30"/>
      <c r="I253" s="30"/>
    </row>
    <row r="254">
      <c r="B254" s="30"/>
      <c r="C254" s="30"/>
      <c r="E254" s="30"/>
      <c r="F254" s="30"/>
      <c r="I254" s="30"/>
    </row>
    <row r="255">
      <c r="B255" s="30"/>
      <c r="C255" s="30"/>
      <c r="E255" s="30"/>
      <c r="F255" s="30"/>
      <c r="I255" s="30"/>
    </row>
    <row r="256">
      <c r="B256" s="30"/>
      <c r="C256" s="30"/>
      <c r="E256" s="30"/>
      <c r="F256" s="30"/>
      <c r="I256" s="30"/>
    </row>
    <row r="257">
      <c r="B257" s="30"/>
      <c r="C257" s="30"/>
      <c r="E257" s="30"/>
      <c r="F257" s="30"/>
      <c r="I257" s="30"/>
    </row>
    <row r="258">
      <c r="B258" s="30"/>
      <c r="C258" s="30"/>
      <c r="E258" s="30"/>
      <c r="F258" s="30"/>
      <c r="I258" s="30"/>
    </row>
    <row r="259">
      <c r="B259" s="30"/>
      <c r="C259" s="30"/>
      <c r="E259" s="30"/>
      <c r="F259" s="30"/>
      <c r="I259" s="30"/>
    </row>
    <row r="260">
      <c r="B260" s="30"/>
      <c r="C260" s="30"/>
      <c r="E260" s="30"/>
      <c r="F260" s="30"/>
      <c r="I260" s="30"/>
    </row>
    <row r="261">
      <c r="B261" s="30"/>
      <c r="C261" s="30"/>
      <c r="E261" s="30"/>
      <c r="F261" s="30"/>
      <c r="I261" s="30"/>
    </row>
    <row r="262">
      <c r="B262" s="30"/>
      <c r="C262" s="30"/>
      <c r="E262" s="30"/>
      <c r="F262" s="30"/>
      <c r="I262" s="30"/>
    </row>
    <row r="263">
      <c r="B263" s="30"/>
      <c r="C263" s="30"/>
      <c r="E263" s="30"/>
      <c r="F263" s="30"/>
      <c r="I263" s="30"/>
    </row>
    <row r="264">
      <c r="B264" s="30"/>
      <c r="C264" s="30"/>
      <c r="E264" s="30"/>
      <c r="F264" s="30"/>
      <c r="I264" s="30"/>
    </row>
    <row r="265">
      <c r="B265" s="30"/>
      <c r="C265" s="30"/>
      <c r="E265" s="30"/>
      <c r="F265" s="30"/>
      <c r="I265" s="30"/>
    </row>
    <row r="266">
      <c r="B266" s="30"/>
      <c r="C266" s="30"/>
      <c r="E266" s="30"/>
      <c r="F266" s="30"/>
      <c r="I266" s="30"/>
    </row>
    <row r="267">
      <c r="B267" s="30"/>
      <c r="C267" s="30"/>
      <c r="E267" s="30"/>
      <c r="F267" s="30"/>
      <c r="I267" s="30"/>
    </row>
    <row r="268">
      <c r="B268" s="30"/>
      <c r="C268" s="30"/>
      <c r="E268" s="30"/>
      <c r="F268" s="30"/>
      <c r="I268" s="30"/>
    </row>
    <row r="269">
      <c r="B269" s="30"/>
      <c r="C269" s="30"/>
      <c r="E269" s="30"/>
      <c r="F269" s="30"/>
      <c r="I269" s="30"/>
    </row>
    <row r="270">
      <c r="B270" s="30"/>
      <c r="C270" s="30"/>
      <c r="E270" s="30"/>
      <c r="F270" s="30"/>
      <c r="I270" s="30"/>
    </row>
    <row r="271">
      <c r="B271" s="30"/>
      <c r="C271" s="30"/>
      <c r="E271" s="30"/>
      <c r="F271" s="30"/>
      <c r="I271" s="30"/>
    </row>
    <row r="272">
      <c r="B272" s="30"/>
      <c r="C272" s="30"/>
      <c r="E272" s="30"/>
      <c r="F272" s="30"/>
      <c r="I272" s="30"/>
    </row>
    <row r="273">
      <c r="B273" s="30"/>
      <c r="C273" s="30"/>
      <c r="E273" s="30"/>
      <c r="F273" s="30"/>
      <c r="I273" s="30"/>
    </row>
    <row r="274">
      <c r="B274" s="30"/>
      <c r="C274" s="30"/>
      <c r="E274" s="30"/>
      <c r="F274" s="30"/>
      <c r="I274" s="30"/>
    </row>
    <row r="275">
      <c r="B275" s="30"/>
      <c r="C275" s="30"/>
      <c r="E275" s="30"/>
      <c r="F275" s="30"/>
      <c r="I275" s="30"/>
    </row>
    <row r="276">
      <c r="B276" s="30"/>
      <c r="C276" s="30"/>
      <c r="E276" s="30"/>
      <c r="F276" s="30"/>
      <c r="I276" s="30"/>
    </row>
    <row r="277">
      <c r="B277" s="30"/>
      <c r="C277" s="30"/>
      <c r="E277" s="30"/>
      <c r="F277" s="30"/>
      <c r="I277" s="30"/>
    </row>
    <row r="278">
      <c r="B278" s="30"/>
      <c r="C278" s="30"/>
      <c r="E278" s="30"/>
      <c r="F278" s="30"/>
      <c r="I278" s="30"/>
    </row>
    <row r="279">
      <c r="B279" s="30"/>
      <c r="C279" s="30"/>
      <c r="E279" s="30"/>
      <c r="F279" s="30"/>
      <c r="I279" s="30"/>
    </row>
    <row r="280">
      <c r="B280" s="30"/>
      <c r="C280" s="30"/>
      <c r="E280" s="30"/>
      <c r="F280" s="30"/>
      <c r="I280" s="30"/>
    </row>
    <row r="281">
      <c r="B281" s="30"/>
      <c r="C281" s="30"/>
      <c r="E281" s="30"/>
      <c r="F281" s="30"/>
      <c r="I281" s="30"/>
    </row>
    <row r="282">
      <c r="B282" s="30"/>
      <c r="C282" s="30"/>
      <c r="E282" s="30"/>
      <c r="F282" s="30"/>
      <c r="I282" s="30"/>
    </row>
    <row r="283">
      <c r="B283" s="30"/>
      <c r="C283" s="30"/>
      <c r="E283" s="30"/>
      <c r="F283" s="30"/>
      <c r="I283" s="30"/>
    </row>
    <row r="284">
      <c r="B284" s="30"/>
      <c r="C284" s="30"/>
      <c r="E284" s="30"/>
      <c r="F284" s="30"/>
      <c r="I284" s="30"/>
    </row>
    <row r="285">
      <c r="B285" s="30"/>
      <c r="C285" s="30"/>
      <c r="E285" s="30"/>
      <c r="F285" s="30"/>
      <c r="I285" s="30"/>
    </row>
    <row r="286">
      <c r="B286" s="30"/>
      <c r="C286" s="30"/>
      <c r="E286" s="30"/>
      <c r="F286" s="30"/>
      <c r="I286" s="30"/>
    </row>
    <row r="287">
      <c r="B287" s="30"/>
      <c r="C287" s="30"/>
      <c r="E287" s="30"/>
      <c r="F287" s="30"/>
      <c r="I287" s="30"/>
    </row>
    <row r="288">
      <c r="B288" s="30"/>
      <c r="C288" s="30"/>
      <c r="E288" s="30"/>
      <c r="F288" s="30"/>
      <c r="I288" s="30"/>
    </row>
    <row r="289">
      <c r="B289" s="30"/>
      <c r="C289" s="30"/>
      <c r="E289" s="30"/>
      <c r="F289" s="30"/>
      <c r="I289" s="30"/>
    </row>
    <row r="290">
      <c r="B290" s="30"/>
      <c r="C290" s="30"/>
      <c r="E290" s="30"/>
      <c r="F290" s="30"/>
      <c r="I290" s="30"/>
    </row>
    <row r="291">
      <c r="B291" s="30"/>
      <c r="C291" s="30"/>
      <c r="E291" s="30"/>
      <c r="F291" s="30"/>
      <c r="I291" s="30"/>
    </row>
    <row r="292">
      <c r="B292" s="30"/>
      <c r="C292" s="30"/>
      <c r="E292" s="30"/>
      <c r="F292" s="30"/>
      <c r="I292" s="30"/>
    </row>
    <row r="293">
      <c r="B293" s="30"/>
      <c r="C293" s="30"/>
      <c r="E293" s="30"/>
      <c r="F293" s="30"/>
      <c r="I293" s="30"/>
    </row>
    <row r="294">
      <c r="B294" s="30"/>
      <c r="C294" s="30"/>
      <c r="E294" s="30"/>
      <c r="F294" s="30"/>
      <c r="I294" s="30"/>
    </row>
    <row r="295">
      <c r="B295" s="30"/>
      <c r="C295" s="30"/>
      <c r="E295" s="30"/>
      <c r="F295" s="30"/>
      <c r="I295" s="30"/>
    </row>
    <row r="296">
      <c r="B296" s="30"/>
      <c r="C296" s="30"/>
      <c r="E296" s="30"/>
      <c r="F296" s="30"/>
      <c r="I296" s="30"/>
    </row>
    <row r="297">
      <c r="B297" s="30"/>
      <c r="C297" s="30"/>
      <c r="E297" s="30"/>
      <c r="F297" s="30"/>
      <c r="I297" s="30"/>
    </row>
    <row r="298">
      <c r="B298" s="30"/>
      <c r="C298" s="30"/>
      <c r="E298" s="30"/>
      <c r="F298" s="30"/>
      <c r="I298" s="30"/>
    </row>
    <row r="299">
      <c r="B299" s="30"/>
      <c r="C299" s="30"/>
      <c r="E299" s="30"/>
      <c r="F299" s="30"/>
      <c r="I299" s="30"/>
    </row>
    <row r="300">
      <c r="B300" s="30"/>
      <c r="C300" s="30"/>
      <c r="E300" s="30"/>
      <c r="F300" s="30"/>
      <c r="I300" s="30"/>
    </row>
    <row r="301">
      <c r="B301" s="30"/>
      <c r="C301" s="30"/>
      <c r="E301" s="30"/>
      <c r="F301" s="30"/>
      <c r="I301" s="30"/>
    </row>
    <row r="302">
      <c r="B302" s="30"/>
      <c r="C302" s="30"/>
      <c r="E302" s="30"/>
      <c r="F302" s="30"/>
      <c r="I302" s="30"/>
    </row>
    <row r="303">
      <c r="B303" s="30"/>
      <c r="C303" s="30"/>
      <c r="E303" s="30"/>
      <c r="F303" s="30"/>
      <c r="I303" s="30"/>
    </row>
    <row r="304">
      <c r="B304" s="30"/>
      <c r="C304" s="30"/>
      <c r="E304" s="30"/>
      <c r="F304" s="30"/>
      <c r="I304" s="30"/>
    </row>
    <row r="305">
      <c r="B305" s="30"/>
      <c r="C305" s="30"/>
      <c r="E305" s="30"/>
      <c r="F305" s="30"/>
      <c r="I305" s="30"/>
    </row>
    <row r="306">
      <c r="B306" s="30"/>
      <c r="C306" s="30"/>
      <c r="E306" s="30"/>
      <c r="F306" s="30"/>
      <c r="I306" s="30"/>
    </row>
    <row r="307">
      <c r="B307" s="30"/>
      <c r="C307" s="30"/>
      <c r="E307" s="30"/>
      <c r="F307" s="30"/>
      <c r="I307" s="30"/>
    </row>
    <row r="308">
      <c r="B308" s="30"/>
      <c r="C308" s="30"/>
      <c r="E308" s="30"/>
      <c r="F308" s="30"/>
      <c r="I308" s="30"/>
    </row>
    <row r="309">
      <c r="B309" s="30"/>
      <c r="C309" s="30"/>
      <c r="E309" s="30"/>
      <c r="F309" s="30"/>
      <c r="I309" s="30"/>
    </row>
    <row r="310">
      <c r="B310" s="30"/>
      <c r="C310" s="30"/>
      <c r="E310" s="30"/>
      <c r="F310" s="30"/>
      <c r="I310" s="30"/>
    </row>
    <row r="311">
      <c r="B311" s="30"/>
      <c r="C311" s="30"/>
      <c r="E311" s="30"/>
      <c r="F311" s="30"/>
      <c r="I311" s="30"/>
    </row>
    <row r="312">
      <c r="B312" s="30"/>
      <c r="C312" s="30"/>
      <c r="E312" s="30"/>
      <c r="F312" s="30"/>
      <c r="I312" s="30"/>
    </row>
    <row r="313">
      <c r="B313" s="30"/>
      <c r="C313" s="30"/>
      <c r="E313" s="30"/>
      <c r="F313" s="30"/>
      <c r="I313" s="30"/>
    </row>
    <row r="314">
      <c r="B314" s="30"/>
      <c r="C314" s="30"/>
      <c r="E314" s="30"/>
      <c r="F314" s="30"/>
      <c r="I314" s="30"/>
    </row>
    <row r="315">
      <c r="B315" s="30"/>
      <c r="C315" s="30"/>
      <c r="E315" s="30"/>
      <c r="F315" s="30"/>
      <c r="I315" s="30"/>
    </row>
    <row r="316">
      <c r="B316" s="30"/>
      <c r="C316" s="30"/>
      <c r="E316" s="30"/>
      <c r="F316" s="30"/>
      <c r="I316" s="30"/>
    </row>
    <row r="317">
      <c r="B317" s="30"/>
      <c r="C317" s="30"/>
      <c r="E317" s="30"/>
      <c r="F317" s="30"/>
      <c r="I317" s="30"/>
    </row>
    <row r="318">
      <c r="B318" s="30"/>
      <c r="C318" s="30"/>
      <c r="E318" s="30"/>
      <c r="F318" s="30"/>
      <c r="I318" s="30"/>
    </row>
    <row r="319">
      <c r="B319" s="30"/>
      <c r="C319" s="30"/>
      <c r="E319" s="30"/>
      <c r="F319" s="30"/>
      <c r="I319" s="30"/>
    </row>
    <row r="320">
      <c r="B320" s="30"/>
      <c r="C320" s="30"/>
      <c r="E320" s="30"/>
      <c r="F320" s="30"/>
      <c r="I320" s="30"/>
    </row>
    <row r="321">
      <c r="B321" s="30"/>
      <c r="C321" s="30"/>
      <c r="E321" s="30"/>
      <c r="F321" s="30"/>
      <c r="I321" s="30"/>
    </row>
    <row r="322">
      <c r="B322" s="30"/>
      <c r="C322" s="30"/>
      <c r="E322" s="30"/>
      <c r="F322" s="30"/>
      <c r="I322" s="30"/>
    </row>
    <row r="323">
      <c r="B323" s="30"/>
      <c r="C323" s="30"/>
      <c r="E323" s="30"/>
      <c r="F323" s="30"/>
      <c r="I323" s="30"/>
    </row>
    <row r="324">
      <c r="B324" s="30"/>
      <c r="C324" s="30"/>
      <c r="E324" s="30"/>
      <c r="F324" s="30"/>
      <c r="I324" s="30"/>
    </row>
    <row r="325">
      <c r="B325" s="30"/>
      <c r="C325" s="30"/>
      <c r="E325" s="30"/>
      <c r="F325" s="30"/>
      <c r="I325" s="30"/>
    </row>
    <row r="326">
      <c r="B326" s="30"/>
      <c r="C326" s="30"/>
      <c r="E326" s="30"/>
      <c r="F326" s="30"/>
      <c r="I326" s="30"/>
    </row>
    <row r="327">
      <c r="B327" s="30"/>
      <c r="C327" s="30"/>
      <c r="E327" s="30"/>
      <c r="F327" s="30"/>
      <c r="I327" s="30"/>
    </row>
    <row r="328">
      <c r="B328" s="30"/>
      <c r="C328" s="30"/>
      <c r="E328" s="30"/>
      <c r="F328" s="30"/>
      <c r="I328" s="30"/>
    </row>
    <row r="329">
      <c r="B329" s="30"/>
      <c r="C329" s="30"/>
      <c r="E329" s="30"/>
      <c r="F329" s="30"/>
      <c r="I329" s="30"/>
    </row>
    <row r="330">
      <c r="B330" s="30"/>
      <c r="C330" s="30"/>
      <c r="E330" s="30"/>
      <c r="F330" s="30"/>
      <c r="I330" s="30"/>
    </row>
    <row r="331">
      <c r="B331" s="30"/>
      <c r="C331" s="30"/>
      <c r="E331" s="30"/>
      <c r="F331" s="30"/>
      <c r="I331" s="30"/>
    </row>
    <row r="332">
      <c r="B332" s="30"/>
      <c r="C332" s="30"/>
      <c r="E332" s="30"/>
      <c r="F332" s="30"/>
      <c r="I332" s="30"/>
    </row>
    <row r="333">
      <c r="B333" s="30"/>
      <c r="C333" s="30"/>
      <c r="E333" s="30"/>
      <c r="F333" s="30"/>
      <c r="I333" s="30"/>
    </row>
    <row r="334">
      <c r="B334" s="30"/>
      <c r="C334" s="30"/>
      <c r="E334" s="30"/>
      <c r="F334" s="30"/>
      <c r="I334" s="30"/>
    </row>
    <row r="335">
      <c r="B335" s="30"/>
      <c r="C335" s="30"/>
      <c r="E335" s="30"/>
      <c r="F335" s="30"/>
      <c r="I335" s="30"/>
    </row>
    <row r="336">
      <c r="B336" s="30"/>
      <c r="C336" s="30"/>
      <c r="E336" s="30"/>
      <c r="F336" s="30"/>
      <c r="I336" s="30"/>
    </row>
    <row r="337">
      <c r="B337" s="30"/>
      <c r="C337" s="30"/>
      <c r="E337" s="30"/>
      <c r="F337" s="30"/>
      <c r="I337" s="30"/>
    </row>
    <row r="338">
      <c r="B338" s="30"/>
      <c r="C338" s="30"/>
      <c r="E338" s="30"/>
      <c r="F338" s="30"/>
      <c r="I338" s="30"/>
    </row>
    <row r="339">
      <c r="B339" s="30"/>
      <c r="C339" s="30"/>
      <c r="E339" s="30"/>
      <c r="F339" s="30"/>
      <c r="I339" s="30"/>
    </row>
    <row r="340">
      <c r="B340" s="30"/>
      <c r="C340" s="30"/>
      <c r="E340" s="30"/>
      <c r="F340" s="30"/>
      <c r="I340" s="30"/>
    </row>
    <row r="341">
      <c r="B341" s="30"/>
      <c r="C341" s="30"/>
      <c r="E341" s="30"/>
      <c r="F341" s="30"/>
      <c r="I341" s="30"/>
    </row>
    <row r="342">
      <c r="B342" s="30"/>
      <c r="C342" s="30"/>
      <c r="E342" s="30"/>
      <c r="F342" s="30"/>
      <c r="I342" s="30"/>
    </row>
    <row r="343">
      <c r="B343" s="30"/>
      <c r="C343" s="30"/>
      <c r="E343" s="30"/>
      <c r="F343" s="30"/>
      <c r="I343" s="30"/>
    </row>
    <row r="344">
      <c r="B344" s="30"/>
      <c r="C344" s="30"/>
      <c r="E344" s="30"/>
      <c r="F344" s="30"/>
      <c r="I344" s="30"/>
    </row>
    <row r="345">
      <c r="B345" s="30"/>
      <c r="C345" s="30"/>
      <c r="E345" s="30"/>
      <c r="F345" s="30"/>
      <c r="I345" s="30"/>
    </row>
    <row r="346">
      <c r="B346" s="30"/>
      <c r="C346" s="30"/>
      <c r="E346" s="30"/>
      <c r="F346" s="30"/>
      <c r="I346" s="30"/>
    </row>
    <row r="347">
      <c r="B347" s="30"/>
      <c r="C347" s="30"/>
      <c r="E347" s="30"/>
      <c r="F347" s="30"/>
      <c r="I347" s="30"/>
    </row>
    <row r="348">
      <c r="B348" s="30"/>
      <c r="C348" s="30"/>
      <c r="E348" s="30"/>
      <c r="F348" s="30"/>
      <c r="I348" s="30"/>
    </row>
    <row r="349">
      <c r="B349" s="30"/>
      <c r="C349" s="30"/>
      <c r="E349" s="30"/>
      <c r="F349" s="30"/>
      <c r="I349" s="30"/>
    </row>
    <row r="350">
      <c r="B350" s="30"/>
      <c r="C350" s="30"/>
      <c r="E350" s="30"/>
      <c r="F350" s="30"/>
      <c r="I350" s="30"/>
    </row>
    <row r="351">
      <c r="B351" s="30"/>
      <c r="C351" s="30"/>
      <c r="E351" s="30"/>
      <c r="F351" s="30"/>
      <c r="I351" s="30"/>
    </row>
    <row r="352">
      <c r="B352" s="30"/>
      <c r="C352" s="30"/>
      <c r="E352" s="30"/>
      <c r="F352" s="30"/>
      <c r="I352" s="30"/>
    </row>
    <row r="353">
      <c r="B353" s="30"/>
      <c r="C353" s="30"/>
      <c r="E353" s="30"/>
      <c r="F353" s="30"/>
      <c r="I353" s="30"/>
    </row>
    <row r="354">
      <c r="B354" s="30"/>
      <c r="C354" s="30"/>
      <c r="E354" s="30"/>
      <c r="F354" s="30"/>
      <c r="I354" s="30"/>
    </row>
    <row r="355">
      <c r="B355" s="30"/>
      <c r="C355" s="30"/>
      <c r="E355" s="30"/>
      <c r="F355" s="30"/>
      <c r="I355" s="30"/>
    </row>
    <row r="356">
      <c r="B356" s="30"/>
      <c r="C356" s="30"/>
      <c r="E356" s="30"/>
      <c r="F356" s="30"/>
      <c r="I356" s="30"/>
    </row>
    <row r="357">
      <c r="B357" s="30"/>
      <c r="C357" s="30"/>
      <c r="E357" s="30"/>
      <c r="F357" s="30"/>
      <c r="I357" s="30"/>
    </row>
    <row r="358">
      <c r="B358" s="30"/>
      <c r="C358" s="30"/>
      <c r="E358" s="30"/>
      <c r="F358" s="30"/>
      <c r="I358" s="30"/>
    </row>
    <row r="359">
      <c r="B359" s="30"/>
      <c r="C359" s="30"/>
      <c r="E359" s="30"/>
      <c r="F359" s="30"/>
      <c r="I359" s="30"/>
    </row>
    <row r="360">
      <c r="B360" s="30"/>
      <c r="C360" s="30"/>
      <c r="E360" s="30"/>
      <c r="F360" s="30"/>
      <c r="I360" s="30"/>
    </row>
    <row r="361">
      <c r="B361" s="30"/>
      <c r="C361" s="30"/>
      <c r="E361" s="30"/>
      <c r="F361" s="30"/>
      <c r="I361" s="30"/>
    </row>
    <row r="362">
      <c r="B362" s="30"/>
      <c r="C362" s="30"/>
      <c r="E362" s="30"/>
      <c r="F362" s="30"/>
      <c r="I362" s="30"/>
    </row>
    <row r="363">
      <c r="B363" s="30"/>
      <c r="C363" s="30"/>
      <c r="E363" s="30"/>
      <c r="F363" s="30"/>
      <c r="I363" s="30"/>
    </row>
    <row r="364">
      <c r="B364" s="30"/>
      <c r="C364" s="30"/>
      <c r="E364" s="30"/>
      <c r="F364" s="30"/>
      <c r="I364" s="30"/>
    </row>
    <row r="365">
      <c r="B365" s="30"/>
      <c r="C365" s="30"/>
      <c r="E365" s="30"/>
      <c r="F365" s="30"/>
      <c r="I365" s="30"/>
    </row>
    <row r="366">
      <c r="B366" s="30"/>
      <c r="C366" s="30"/>
      <c r="E366" s="30"/>
      <c r="F366" s="30"/>
      <c r="I366" s="30"/>
    </row>
    <row r="367">
      <c r="B367" s="30"/>
      <c r="C367" s="30"/>
      <c r="E367" s="30"/>
      <c r="F367" s="30"/>
      <c r="I367" s="30"/>
    </row>
    <row r="368">
      <c r="B368" s="30"/>
      <c r="C368" s="30"/>
      <c r="E368" s="30"/>
      <c r="F368" s="30"/>
      <c r="I368" s="30"/>
    </row>
    <row r="369">
      <c r="B369" s="30"/>
      <c r="C369" s="30"/>
      <c r="E369" s="30"/>
      <c r="F369" s="30"/>
      <c r="I369" s="30"/>
    </row>
    <row r="370">
      <c r="B370" s="30"/>
      <c r="C370" s="30"/>
      <c r="E370" s="30"/>
      <c r="F370" s="30"/>
      <c r="I370" s="30"/>
    </row>
    <row r="371">
      <c r="B371" s="30"/>
      <c r="C371" s="30"/>
      <c r="E371" s="30"/>
      <c r="F371" s="30"/>
      <c r="I371" s="30"/>
    </row>
    <row r="372">
      <c r="B372" s="30"/>
      <c r="C372" s="30"/>
      <c r="E372" s="30"/>
      <c r="F372" s="30"/>
      <c r="I372" s="30"/>
    </row>
    <row r="373">
      <c r="B373" s="30"/>
      <c r="C373" s="30"/>
      <c r="E373" s="30"/>
      <c r="F373" s="30"/>
      <c r="I373" s="30"/>
    </row>
    <row r="374">
      <c r="B374" s="30"/>
      <c r="C374" s="30"/>
      <c r="E374" s="30"/>
      <c r="F374" s="30"/>
      <c r="I374" s="30"/>
    </row>
    <row r="375">
      <c r="B375" s="30"/>
      <c r="C375" s="30"/>
      <c r="E375" s="30"/>
      <c r="F375" s="30"/>
      <c r="I375" s="30"/>
    </row>
    <row r="376">
      <c r="B376" s="30"/>
      <c r="C376" s="30"/>
      <c r="E376" s="30"/>
      <c r="F376" s="30"/>
      <c r="I376" s="30"/>
    </row>
    <row r="377">
      <c r="B377" s="30"/>
      <c r="C377" s="30"/>
      <c r="E377" s="30"/>
      <c r="F377" s="30"/>
      <c r="I377" s="30"/>
    </row>
    <row r="378">
      <c r="B378" s="30"/>
      <c r="C378" s="30"/>
      <c r="E378" s="30"/>
      <c r="F378" s="30"/>
      <c r="I378" s="30"/>
    </row>
    <row r="379">
      <c r="B379" s="30"/>
      <c r="C379" s="30"/>
      <c r="E379" s="30"/>
      <c r="F379" s="30"/>
      <c r="I379" s="30"/>
    </row>
    <row r="380">
      <c r="B380" s="30"/>
      <c r="C380" s="30"/>
      <c r="E380" s="30"/>
      <c r="F380" s="30"/>
      <c r="I380" s="30"/>
    </row>
    <row r="381">
      <c r="B381" s="30"/>
      <c r="C381" s="30"/>
      <c r="E381" s="30"/>
      <c r="F381" s="30"/>
      <c r="I381" s="30"/>
    </row>
    <row r="382">
      <c r="B382" s="30"/>
      <c r="C382" s="30"/>
      <c r="E382" s="30"/>
      <c r="F382" s="30"/>
      <c r="I382" s="30"/>
    </row>
    <row r="383">
      <c r="B383" s="30"/>
      <c r="C383" s="30"/>
      <c r="E383" s="30"/>
      <c r="F383" s="30"/>
      <c r="I383" s="30"/>
    </row>
    <row r="384">
      <c r="B384" s="30"/>
      <c r="C384" s="30"/>
      <c r="E384" s="30"/>
      <c r="F384" s="30"/>
      <c r="I384" s="30"/>
    </row>
    <row r="385">
      <c r="B385" s="30"/>
      <c r="C385" s="30"/>
      <c r="E385" s="30"/>
      <c r="F385" s="30"/>
      <c r="I385" s="30"/>
    </row>
    <row r="386">
      <c r="B386" s="30"/>
      <c r="C386" s="30"/>
      <c r="E386" s="30"/>
      <c r="F386" s="30"/>
      <c r="I386" s="30"/>
    </row>
    <row r="387">
      <c r="B387" s="30"/>
      <c r="C387" s="30"/>
      <c r="E387" s="30"/>
      <c r="F387" s="30"/>
      <c r="I387" s="30"/>
    </row>
    <row r="388">
      <c r="B388" s="30"/>
      <c r="C388" s="30"/>
      <c r="E388" s="30"/>
      <c r="F388" s="30"/>
      <c r="I388" s="30"/>
    </row>
    <row r="389">
      <c r="B389" s="30"/>
      <c r="C389" s="30"/>
      <c r="E389" s="30"/>
      <c r="F389" s="30"/>
      <c r="I389" s="30"/>
    </row>
    <row r="390">
      <c r="B390" s="30"/>
      <c r="C390" s="30"/>
      <c r="E390" s="30"/>
      <c r="F390" s="30"/>
      <c r="I390" s="30"/>
    </row>
    <row r="391">
      <c r="B391" s="30"/>
      <c r="C391" s="30"/>
      <c r="E391" s="30"/>
      <c r="F391" s="30"/>
      <c r="I391" s="30"/>
    </row>
    <row r="392">
      <c r="B392" s="30"/>
      <c r="C392" s="30"/>
      <c r="E392" s="30"/>
      <c r="F392" s="30"/>
      <c r="I392" s="30"/>
    </row>
    <row r="393">
      <c r="B393" s="30"/>
      <c r="C393" s="30"/>
      <c r="E393" s="30"/>
      <c r="F393" s="30"/>
      <c r="I393" s="30"/>
    </row>
    <row r="394">
      <c r="B394" s="30"/>
      <c r="C394" s="30"/>
      <c r="E394" s="30"/>
      <c r="F394" s="30"/>
      <c r="I394" s="30"/>
    </row>
    <row r="395">
      <c r="B395" s="30"/>
      <c r="C395" s="30"/>
      <c r="E395" s="30"/>
      <c r="F395" s="30"/>
      <c r="I395" s="30"/>
    </row>
    <row r="396">
      <c r="B396" s="30"/>
      <c r="C396" s="30"/>
      <c r="E396" s="30"/>
      <c r="F396" s="30"/>
      <c r="I396" s="30"/>
    </row>
    <row r="397">
      <c r="B397" s="30"/>
      <c r="C397" s="30"/>
      <c r="E397" s="30"/>
      <c r="F397" s="30"/>
      <c r="I397" s="30"/>
    </row>
    <row r="398">
      <c r="B398" s="30"/>
      <c r="C398" s="30"/>
      <c r="E398" s="30"/>
      <c r="F398" s="30"/>
      <c r="I398" s="30"/>
    </row>
    <row r="399">
      <c r="B399" s="30"/>
      <c r="C399" s="30"/>
      <c r="E399" s="30"/>
      <c r="F399" s="30"/>
      <c r="I399" s="30"/>
    </row>
    <row r="400">
      <c r="B400" s="30"/>
      <c r="C400" s="30"/>
      <c r="E400" s="30"/>
      <c r="F400" s="30"/>
      <c r="I400" s="30"/>
    </row>
    <row r="401">
      <c r="B401" s="30"/>
      <c r="C401" s="30"/>
      <c r="E401" s="30"/>
      <c r="F401" s="30"/>
      <c r="I401" s="30"/>
    </row>
    <row r="402">
      <c r="B402" s="30"/>
      <c r="C402" s="30"/>
      <c r="E402" s="30"/>
      <c r="F402" s="30"/>
      <c r="I402" s="30"/>
    </row>
    <row r="403">
      <c r="B403" s="30"/>
      <c r="C403" s="30"/>
      <c r="E403" s="30"/>
      <c r="F403" s="30"/>
      <c r="I403" s="30"/>
    </row>
    <row r="404">
      <c r="B404" s="30"/>
      <c r="C404" s="30"/>
      <c r="E404" s="30"/>
      <c r="F404" s="30"/>
      <c r="I404" s="30"/>
    </row>
    <row r="405">
      <c r="B405" s="30"/>
      <c r="C405" s="30"/>
      <c r="E405" s="30"/>
      <c r="F405" s="30"/>
      <c r="I405" s="30"/>
    </row>
    <row r="406">
      <c r="B406" s="30"/>
      <c r="C406" s="30"/>
      <c r="E406" s="30"/>
      <c r="F406" s="30"/>
      <c r="I406" s="30"/>
    </row>
    <row r="407">
      <c r="B407" s="30"/>
      <c r="C407" s="30"/>
      <c r="E407" s="30"/>
      <c r="F407" s="30"/>
      <c r="I407" s="30"/>
    </row>
    <row r="408">
      <c r="B408" s="30"/>
      <c r="C408" s="30"/>
      <c r="E408" s="30"/>
      <c r="F408" s="30"/>
      <c r="I408" s="30"/>
    </row>
    <row r="409">
      <c r="B409" s="30"/>
      <c r="C409" s="30"/>
      <c r="E409" s="30"/>
      <c r="F409" s="30"/>
      <c r="I409" s="30"/>
    </row>
    <row r="410">
      <c r="B410" s="30"/>
      <c r="C410" s="30"/>
      <c r="E410" s="30"/>
      <c r="F410" s="30"/>
      <c r="I410" s="30"/>
    </row>
    <row r="411">
      <c r="B411" s="30"/>
      <c r="C411" s="30"/>
      <c r="E411" s="30"/>
      <c r="F411" s="30"/>
      <c r="I411" s="30"/>
    </row>
    <row r="412">
      <c r="B412" s="30"/>
      <c r="C412" s="30"/>
      <c r="E412" s="30"/>
      <c r="F412" s="30"/>
      <c r="I412" s="30"/>
    </row>
    <row r="413">
      <c r="B413" s="30"/>
      <c r="C413" s="30"/>
      <c r="E413" s="30"/>
      <c r="F413" s="30"/>
      <c r="I413" s="30"/>
    </row>
    <row r="414">
      <c r="B414" s="30"/>
      <c r="C414" s="30"/>
      <c r="E414" s="30"/>
      <c r="F414" s="30"/>
      <c r="I414" s="30"/>
    </row>
    <row r="415">
      <c r="B415" s="30"/>
      <c r="C415" s="30"/>
      <c r="E415" s="30"/>
      <c r="F415" s="30"/>
      <c r="I415" s="30"/>
    </row>
    <row r="416">
      <c r="B416" s="30"/>
      <c r="C416" s="30"/>
      <c r="E416" s="30"/>
      <c r="F416" s="30"/>
      <c r="I416" s="30"/>
    </row>
    <row r="417">
      <c r="B417" s="30"/>
      <c r="C417" s="30"/>
      <c r="E417" s="30"/>
      <c r="F417" s="30"/>
      <c r="I417" s="30"/>
    </row>
    <row r="418">
      <c r="B418" s="30"/>
      <c r="C418" s="30"/>
      <c r="E418" s="30"/>
      <c r="F418" s="30"/>
      <c r="I418" s="30"/>
    </row>
    <row r="419">
      <c r="B419" s="30"/>
      <c r="C419" s="30"/>
      <c r="E419" s="30"/>
      <c r="F419" s="30"/>
      <c r="I419" s="30"/>
    </row>
    <row r="420">
      <c r="B420" s="30"/>
      <c r="C420" s="30"/>
      <c r="E420" s="30"/>
      <c r="F420" s="30"/>
      <c r="I420" s="30"/>
    </row>
    <row r="421">
      <c r="B421" s="30"/>
      <c r="C421" s="30"/>
      <c r="E421" s="30"/>
      <c r="F421" s="30"/>
      <c r="I421" s="30"/>
    </row>
    <row r="422">
      <c r="B422" s="30"/>
      <c r="C422" s="30"/>
      <c r="E422" s="30"/>
      <c r="F422" s="30"/>
      <c r="I422" s="30"/>
    </row>
    <row r="423">
      <c r="B423" s="30"/>
      <c r="C423" s="30"/>
      <c r="E423" s="30"/>
      <c r="F423" s="30"/>
      <c r="I423" s="30"/>
    </row>
    <row r="424">
      <c r="B424" s="30"/>
      <c r="C424" s="30"/>
      <c r="E424" s="30"/>
      <c r="F424" s="30"/>
      <c r="I424" s="30"/>
    </row>
    <row r="425">
      <c r="B425" s="30"/>
      <c r="C425" s="30"/>
      <c r="E425" s="30"/>
      <c r="F425" s="30"/>
      <c r="I425" s="30"/>
    </row>
    <row r="426">
      <c r="B426" s="30"/>
      <c r="C426" s="30"/>
      <c r="E426" s="30"/>
      <c r="F426" s="30"/>
      <c r="I426" s="30"/>
    </row>
    <row r="427">
      <c r="B427" s="30"/>
      <c r="C427" s="30"/>
      <c r="E427" s="30"/>
      <c r="F427" s="30"/>
      <c r="I427" s="30"/>
    </row>
    <row r="428">
      <c r="B428" s="30"/>
      <c r="C428" s="30"/>
      <c r="E428" s="30"/>
      <c r="F428" s="30"/>
      <c r="I428" s="30"/>
    </row>
    <row r="429">
      <c r="B429" s="30"/>
      <c r="C429" s="30"/>
      <c r="E429" s="30"/>
      <c r="F429" s="30"/>
      <c r="I429" s="30"/>
    </row>
    <row r="430">
      <c r="B430" s="30"/>
      <c r="C430" s="30"/>
      <c r="E430" s="30"/>
      <c r="F430" s="30"/>
      <c r="I430" s="30"/>
    </row>
    <row r="431">
      <c r="B431" s="30"/>
      <c r="C431" s="30"/>
      <c r="E431" s="30"/>
      <c r="F431" s="30"/>
      <c r="I431" s="30"/>
    </row>
    <row r="432">
      <c r="B432" s="30"/>
      <c r="C432" s="30"/>
      <c r="E432" s="30"/>
      <c r="F432" s="30"/>
      <c r="I432" s="30"/>
    </row>
    <row r="433">
      <c r="B433" s="30"/>
      <c r="C433" s="30"/>
      <c r="E433" s="30"/>
      <c r="F433" s="30"/>
      <c r="I433" s="30"/>
    </row>
    <row r="434">
      <c r="B434" s="30"/>
      <c r="C434" s="30"/>
      <c r="E434" s="30"/>
      <c r="F434" s="30"/>
      <c r="I434" s="30"/>
    </row>
    <row r="435">
      <c r="B435" s="30"/>
      <c r="C435" s="30"/>
      <c r="E435" s="30"/>
      <c r="F435" s="30"/>
      <c r="I435" s="30"/>
    </row>
    <row r="436">
      <c r="B436" s="30"/>
      <c r="C436" s="30"/>
      <c r="E436" s="30"/>
      <c r="F436" s="30"/>
      <c r="I436" s="30"/>
    </row>
    <row r="437">
      <c r="B437" s="30"/>
      <c r="C437" s="30"/>
      <c r="E437" s="30"/>
      <c r="F437" s="30"/>
      <c r="I437" s="30"/>
    </row>
    <row r="438">
      <c r="B438" s="30"/>
      <c r="C438" s="30"/>
      <c r="E438" s="30"/>
      <c r="F438" s="30"/>
      <c r="I438" s="30"/>
    </row>
    <row r="439">
      <c r="B439" s="30"/>
      <c r="C439" s="30"/>
      <c r="E439" s="30"/>
      <c r="F439" s="30"/>
      <c r="I439" s="30"/>
    </row>
    <row r="440">
      <c r="B440" s="30"/>
      <c r="C440" s="30"/>
      <c r="E440" s="30"/>
      <c r="F440" s="30"/>
      <c r="I440" s="30"/>
    </row>
    <row r="441">
      <c r="B441" s="30"/>
      <c r="C441" s="30"/>
      <c r="E441" s="30"/>
      <c r="F441" s="30"/>
      <c r="I441" s="30"/>
    </row>
    <row r="442">
      <c r="B442" s="30"/>
      <c r="C442" s="30"/>
      <c r="E442" s="30"/>
      <c r="F442" s="30"/>
      <c r="I442" s="30"/>
    </row>
    <row r="443">
      <c r="B443" s="30"/>
      <c r="C443" s="30"/>
      <c r="E443" s="30"/>
      <c r="F443" s="30"/>
      <c r="I443" s="30"/>
    </row>
    <row r="444">
      <c r="B444" s="30"/>
      <c r="C444" s="30"/>
      <c r="E444" s="30"/>
      <c r="F444" s="30"/>
      <c r="I444" s="30"/>
    </row>
    <row r="445">
      <c r="B445" s="30"/>
      <c r="C445" s="30"/>
      <c r="E445" s="30"/>
      <c r="F445" s="30"/>
      <c r="I445" s="30"/>
    </row>
    <row r="446">
      <c r="B446" s="30"/>
      <c r="C446" s="30"/>
      <c r="E446" s="30"/>
      <c r="F446" s="30"/>
      <c r="I446" s="30"/>
    </row>
    <row r="447">
      <c r="B447" s="30"/>
      <c r="C447" s="30"/>
      <c r="E447" s="30"/>
      <c r="F447" s="30"/>
      <c r="I447" s="30"/>
    </row>
    <row r="448">
      <c r="B448" s="30"/>
      <c r="C448" s="30"/>
      <c r="E448" s="30"/>
      <c r="F448" s="30"/>
      <c r="I448" s="30"/>
    </row>
    <row r="449">
      <c r="B449" s="30"/>
      <c r="C449" s="30"/>
      <c r="E449" s="30"/>
      <c r="F449" s="30"/>
      <c r="I449" s="30"/>
    </row>
    <row r="450">
      <c r="B450" s="30"/>
      <c r="C450" s="30"/>
      <c r="E450" s="30"/>
      <c r="F450" s="30"/>
      <c r="I450" s="30"/>
    </row>
    <row r="451">
      <c r="B451" s="30"/>
      <c r="C451" s="30"/>
      <c r="E451" s="30"/>
      <c r="F451" s="30"/>
      <c r="I451" s="30"/>
    </row>
    <row r="452">
      <c r="B452" s="30"/>
      <c r="C452" s="30"/>
      <c r="E452" s="30"/>
      <c r="F452" s="30"/>
      <c r="I452" s="30"/>
    </row>
    <row r="453">
      <c r="B453" s="30"/>
      <c r="C453" s="30"/>
      <c r="E453" s="30"/>
      <c r="F453" s="30"/>
      <c r="I453" s="30"/>
    </row>
    <row r="454">
      <c r="B454" s="30"/>
      <c r="C454" s="30"/>
      <c r="E454" s="30"/>
      <c r="F454" s="30"/>
      <c r="I454" s="30"/>
    </row>
    <row r="455">
      <c r="B455" s="30"/>
      <c r="C455" s="30"/>
      <c r="E455" s="30"/>
      <c r="F455" s="30"/>
      <c r="I455" s="30"/>
    </row>
    <row r="456">
      <c r="B456" s="30"/>
      <c r="C456" s="30"/>
      <c r="E456" s="30"/>
      <c r="F456" s="30"/>
      <c r="I456" s="30"/>
    </row>
    <row r="457">
      <c r="B457" s="30"/>
      <c r="C457" s="30"/>
      <c r="E457" s="30"/>
      <c r="F457" s="30"/>
      <c r="I457" s="30"/>
    </row>
    <row r="458">
      <c r="B458" s="30"/>
      <c r="C458" s="30"/>
      <c r="E458" s="30"/>
      <c r="F458" s="30"/>
      <c r="I458" s="30"/>
    </row>
    <row r="459">
      <c r="B459" s="30"/>
      <c r="C459" s="30"/>
      <c r="E459" s="30"/>
      <c r="F459" s="30"/>
      <c r="I459" s="30"/>
    </row>
    <row r="460">
      <c r="B460" s="30"/>
      <c r="C460" s="30"/>
      <c r="E460" s="30"/>
      <c r="F460" s="30"/>
      <c r="I460" s="30"/>
    </row>
    <row r="461">
      <c r="B461" s="30"/>
      <c r="C461" s="30"/>
      <c r="E461" s="30"/>
      <c r="F461" s="30"/>
      <c r="I461" s="30"/>
    </row>
    <row r="462">
      <c r="B462" s="30"/>
      <c r="C462" s="30"/>
      <c r="E462" s="30"/>
      <c r="F462" s="30"/>
      <c r="I462" s="30"/>
    </row>
    <row r="463">
      <c r="B463" s="30"/>
      <c r="C463" s="30"/>
      <c r="E463" s="30"/>
      <c r="F463" s="30"/>
      <c r="I463" s="30"/>
    </row>
    <row r="464">
      <c r="B464" s="30"/>
      <c r="C464" s="30"/>
      <c r="E464" s="30"/>
      <c r="F464" s="30"/>
      <c r="I464" s="30"/>
    </row>
    <row r="465">
      <c r="B465" s="30"/>
      <c r="C465" s="30"/>
      <c r="E465" s="30"/>
      <c r="F465" s="30"/>
      <c r="I465" s="30"/>
    </row>
    <row r="466">
      <c r="B466" s="30"/>
      <c r="C466" s="30"/>
      <c r="E466" s="30"/>
      <c r="F466" s="30"/>
      <c r="I466" s="30"/>
    </row>
    <row r="467">
      <c r="B467" s="30"/>
      <c r="C467" s="30"/>
      <c r="E467" s="30"/>
      <c r="F467" s="30"/>
      <c r="I467" s="30"/>
    </row>
    <row r="468">
      <c r="B468" s="30"/>
      <c r="C468" s="30"/>
      <c r="E468" s="30"/>
      <c r="F468" s="30"/>
      <c r="I468" s="30"/>
    </row>
    <row r="469">
      <c r="B469" s="30"/>
      <c r="C469" s="30"/>
      <c r="E469" s="30"/>
      <c r="F469" s="30"/>
      <c r="I469" s="30"/>
    </row>
    <row r="470">
      <c r="B470" s="30"/>
      <c r="C470" s="30"/>
      <c r="E470" s="30"/>
      <c r="F470" s="30"/>
      <c r="I470" s="30"/>
    </row>
    <row r="471">
      <c r="B471" s="30"/>
      <c r="C471" s="30"/>
      <c r="E471" s="30"/>
      <c r="F471" s="30"/>
      <c r="I471" s="30"/>
    </row>
    <row r="472">
      <c r="B472" s="30"/>
      <c r="C472" s="30"/>
      <c r="E472" s="30"/>
      <c r="F472" s="30"/>
      <c r="I472" s="30"/>
    </row>
    <row r="473">
      <c r="B473" s="30"/>
      <c r="C473" s="30"/>
      <c r="E473" s="30"/>
      <c r="F473" s="30"/>
      <c r="I473" s="30"/>
    </row>
    <row r="474">
      <c r="B474" s="30"/>
      <c r="C474" s="30"/>
      <c r="E474" s="30"/>
      <c r="F474" s="30"/>
      <c r="I474" s="30"/>
    </row>
    <row r="475">
      <c r="B475" s="30"/>
      <c r="C475" s="30"/>
      <c r="E475" s="30"/>
      <c r="F475" s="30"/>
      <c r="I475" s="30"/>
    </row>
    <row r="476">
      <c r="B476" s="30"/>
      <c r="C476" s="30"/>
      <c r="E476" s="30"/>
      <c r="F476" s="30"/>
      <c r="I476" s="30"/>
    </row>
    <row r="477">
      <c r="B477" s="30"/>
      <c r="C477" s="30"/>
      <c r="E477" s="30"/>
      <c r="F477" s="30"/>
      <c r="I477" s="30"/>
    </row>
    <row r="478">
      <c r="B478" s="30"/>
      <c r="C478" s="30"/>
      <c r="E478" s="30"/>
      <c r="F478" s="30"/>
      <c r="I478" s="30"/>
    </row>
    <row r="479">
      <c r="B479" s="30"/>
      <c r="C479" s="30"/>
      <c r="E479" s="30"/>
      <c r="F479" s="30"/>
      <c r="I479" s="30"/>
    </row>
    <row r="480">
      <c r="B480" s="30"/>
      <c r="C480" s="30"/>
      <c r="E480" s="30"/>
      <c r="F480" s="30"/>
      <c r="I480" s="30"/>
    </row>
    <row r="481">
      <c r="B481" s="30"/>
      <c r="C481" s="30"/>
      <c r="E481" s="30"/>
      <c r="F481" s="30"/>
      <c r="I481" s="30"/>
    </row>
    <row r="482">
      <c r="B482" s="30"/>
      <c r="C482" s="30"/>
      <c r="E482" s="30"/>
      <c r="F482" s="30"/>
      <c r="I482" s="30"/>
    </row>
    <row r="483">
      <c r="B483" s="30"/>
      <c r="C483" s="30"/>
      <c r="E483" s="30"/>
      <c r="F483" s="30"/>
      <c r="I483" s="30"/>
    </row>
    <row r="484">
      <c r="B484" s="30"/>
      <c r="C484" s="30"/>
      <c r="E484" s="30"/>
      <c r="F484" s="30"/>
      <c r="I484" s="30"/>
    </row>
    <row r="485">
      <c r="B485" s="30"/>
      <c r="C485" s="30"/>
      <c r="E485" s="30"/>
      <c r="F485" s="30"/>
      <c r="I485" s="30"/>
    </row>
    <row r="486">
      <c r="B486" s="30"/>
      <c r="C486" s="30"/>
      <c r="E486" s="30"/>
      <c r="F486" s="30"/>
      <c r="I486" s="30"/>
    </row>
    <row r="487">
      <c r="B487" s="30"/>
      <c r="C487" s="30"/>
      <c r="E487" s="30"/>
      <c r="F487" s="30"/>
      <c r="I487" s="30"/>
    </row>
    <row r="488">
      <c r="B488" s="30"/>
      <c r="C488" s="30"/>
      <c r="E488" s="30"/>
      <c r="F488" s="30"/>
      <c r="I488" s="30"/>
    </row>
    <row r="489">
      <c r="B489" s="30"/>
      <c r="C489" s="30"/>
      <c r="E489" s="30"/>
      <c r="F489" s="30"/>
      <c r="I489" s="30"/>
    </row>
    <row r="490">
      <c r="B490" s="30"/>
      <c r="C490" s="30"/>
      <c r="E490" s="30"/>
      <c r="F490" s="30"/>
      <c r="I490" s="30"/>
    </row>
    <row r="491">
      <c r="B491" s="30"/>
      <c r="C491" s="30"/>
      <c r="E491" s="30"/>
      <c r="F491" s="30"/>
      <c r="I491" s="30"/>
    </row>
    <row r="492">
      <c r="B492" s="30"/>
      <c r="C492" s="30"/>
      <c r="E492" s="30"/>
      <c r="F492" s="30"/>
      <c r="I492" s="30"/>
    </row>
    <row r="493">
      <c r="B493" s="30"/>
      <c r="C493" s="30"/>
      <c r="E493" s="30"/>
      <c r="F493" s="30"/>
      <c r="I493" s="30"/>
    </row>
    <row r="494">
      <c r="B494" s="30"/>
      <c r="C494" s="30"/>
      <c r="E494" s="30"/>
      <c r="F494" s="30"/>
      <c r="I494" s="30"/>
    </row>
    <row r="495">
      <c r="B495" s="30"/>
      <c r="C495" s="30"/>
      <c r="E495" s="30"/>
      <c r="F495" s="30"/>
      <c r="I495" s="30"/>
    </row>
    <row r="496">
      <c r="B496" s="30"/>
      <c r="C496" s="30"/>
      <c r="E496" s="30"/>
      <c r="F496" s="30"/>
      <c r="I496" s="30"/>
    </row>
    <row r="497">
      <c r="B497" s="30"/>
      <c r="C497" s="30"/>
      <c r="E497" s="30"/>
      <c r="F497" s="30"/>
      <c r="I497" s="30"/>
    </row>
    <row r="498">
      <c r="B498" s="30"/>
      <c r="C498" s="30"/>
      <c r="E498" s="30"/>
      <c r="F498" s="30"/>
      <c r="I498" s="30"/>
    </row>
    <row r="499">
      <c r="B499" s="30"/>
      <c r="C499" s="30"/>
      <c r="E499" s="30"/>
      <c r="F499" s="30"/>
      <c r="I499" s="30"/>
    </row>
    <row r="500">
      <c r="B500" s="30"/>
      <c r="C500" s="30"/>
      <c r="E500" s="30"/>
      <c r="F500" s="30"/>
      <c r="I500" s="30"/>
    </row>
    <row r="501">
      <c r="B501" s="30"/>
      <c r="C501" s="30"/>
      <c r="E501" s="30"/>
      <c r="F501" s="30"/>
      <c r="I501" s="30"/>
    </row>
    <row r="502">
      <c r="B502" s="30"/>
      <c r="C502" s="30"/>
      <c r="E502" s="30"/>
      <c r="F502" s="30"/>
      <c r="I502" s="30"/>
    </row>
    <row r="503">
      <c r="B503" s="30"/>
      <c r="C503" s="30"/>
      <c r="E503" s="30"/>
      <c r="F503" s="30"/>
      <c r="I503" s="30"/>
    </row>
    <row r="504">
      <c r="B504" s="30"/>
      <c r="C504" s="30"/>
      <c r="E504" s="30"/>
      <c r="F504" s="30"/>
      <c r="I504" s="30"/>
    </row>
    <row r="505">
      <c r="B505" s="30"/>
      <c r="C505" s="30"/>
      <c r="E505" s="30"/>
      <c r="F505" s="30"/>
      <c r="I505" s="30"/>
    </row>
    <row r="506">
      <c r="B506" s="30"/>
      <c r="C506" s="30"/>
      <c r="E506" s="30"/>
      <c r="F506" s="30"/>
      <c r="I506" s="30"/>
    </row>
    <row r="507">
      <c r="B507" s="30"/>
      <c r="C507" s="30"/>
      <c r="E507" s="30"/>
      <c r="F507" s="30"/>
      <c r="I507" s="30"/>
    </row>
    <row r="508">
      <c r="B508" s="30"/>
      <c r="C508" s="30"/>
      <c r="E508" s="30"/>
      <c r="F508" s="30"/>
      <c r="I508" s="30"/>
    </row>
    <row r="509">
      <c r="B509" s="30"/>
      <c r="C509" s="30"/>
      <c r="E509" s="30"/>
      <c r="F509" s="30"/>
      <c r="I509" s="30"/>
    </row>
    <row r="510">
      <c r="B510" s="30"/>
      <c r="C510" s="30"/>
      <c r="E510" s="30"/>
      <c r="F510" s="30"/>
      <c r="I510" s="30"/>
    </row>
    <row r="511">
      <c r="B511" s="30"/>
      <c r="C511" s="30"/>
      <c r="E511" s="30"/>
      <c r="F511" s="30"/>
      <c r="I511" s="30"/>
    </row>
    <row r="512">
      <c r="B512" s="30"/>
      <c r="C512" s="30"/>
      <c r="E512" s="30"/>
      <c r="F512" s="30"/>
      <c r="I512" s="30"/>
    </row>
    <row r="513">
      <c r="B513" s="30"/>
      <c r="C513" s="30"/>
      <c r="E513" s="30"/>
      <c r="F513" s="30"/>
      <c r="I513" s="30"/>
    </row>
    <row r="514">
      <c r="B514" s="30"/>
      <c r="C514" s="30"/>
      <c r="E514" s="30"/>
      <c r="F514" s="30"/>
      <c r="I514" s="30"/>
    </row>
    <row r="515">
      <c r="B515" s="30"/>
      <c r="C515" s="30"/>
      <c r="E515" s="30"/>
      <c r="F515" s="30"/>
      <c r="I515" s="30"/>
    </row>
    <row r="516">
      <c r="B516" s="30"/>
      <c r="C516" s="30"/>
      <c r="E516" s="30"/>
      <c r="F516" s="30"/>
      <c r="I516" s="30"/>
    </row>
    <row r="517">
      <c r="B517" s="30"/>
      <c r="C517" s="30"/>
      <c r="E517" s="30"/>
      <c r="F517" s="30"/>
      <c r="I517" s="30"/>
    </row>
    <row r="518">
      <c r="B518" s="30"/>
      <c r="C518" s="30"/>
      <c r="E518" s="30"/>
      <c r="F518" s="30"/>
      <c r="I518" s="30"/>
    </row>
    <row r="519">
      <c r="B519" s="30"/>
      <c r="C519" s="30"/>
      <c r="E519" s="30"/>
      <c r="F519" s="30"/>
      <c r="I519" s="30"/>
    </row>
    <row r="520">
      <c r="B520" s="30"/>
      <c r="C520" s="30"/>
      <c r="E520" s="30"/>
      <c r="F520" s="30"/>
      <c r="I520" s="30"/>
    </row>
    <row r="521">
      <c r="B521" s="30"/>
      <c r="C521" s="30"/>
      <c r="E521" s="30"/>
      <c r="F521" s="30"/>
      <c r="I521" s="30"/>
    </row>
    <row r="522">
      <c r="B522" s="30"/>
      <c r="C522" s="30"/>
      <c r="E522" s="30"/>
      <c r="F522" s="30"/>
      <c r="I522" s="30"/>
    </row>
    <row r="523">
      <c r="B523" s="30"/>
      <c r="C523" s="30"/>
      <c r="E523" s="30"/>
      <c r="F523" s="30"/>
      <c r="I523" s="30"/>
    </row>
    <row r="524">
      <c r="B524" s="30"/>
      <c r="C524" s="30"/>
      <c r="E524" s="30"/>
      <c r="F524" s="30"/>
      <c r="I524" s="30"/>
    </row>
    <row r="525">
      <c r="B525" s="30"/>
      <c r="C525" s="30"/>
      <c r="E525" s="30"/>
      <c r="F525" s="30"/>
      <c r="I525" s="30"/>
    </row>
    <row r="526">
      <c r="B526" s="30"/>
      <c r="C526" s="30"/>
      <c r="E526" s="30"/>
      <c r="F526" s="30"/>
      <c r="I526" s="30"/>
    </row>
    <row r="527">
      <c r="B527" s="30"/>
      <c r="C527" s="30"/>
      <c r="E527" s="30"/>
      <c r="F527" s="30"/>
      <c r="I527" s="30"/>
    </row>
    <row r="528">
      <c r="B528" s="30"/>
      <c r="C528" s="30"/>
      <c r="E528" s="30"/>
      <c r="F528" s="30"/>
      <c r="I528" s="30"/>
    </row>
    <row r="529">
      <c r="B529" s="30"/>
      <c r="C529" s="30"/>
      <c r="E529" s="30"/>
      <c r="F529" s="30"/>
      <c r="I529" s="30"/>
    </row>
    <row r="530">
      <c r="B530" s="30"/>
      <c r="C530" s="30"/>
      <c r="E530" s="30"/>
      <c r="F530" s="30"/>
      <c r="I530" s="30"/>
    </row>
    <row r="531">
      <c r="B531" s="30"/>
      <c r="C531" s="30"/>
      <c r="E531" s="30"/>
      <c r="F531" s="30"/>
      <c r="I531" s="30"/>
    </row>
    <row r="532">
      <c r="B532" s="30"/>
      <c r="C532" s="30"/>
      <c r="E532" s="30"/>
      <c r="F532" s="30"/>
      <c r="I532" s="30"/>
    </row>
    <row r="533">
      <c r="B533" s="30"/>
      <c r="C533" s="30"/>
      <c r="E533" s="30"/>
      <c r="F533" s="30"/>
      <c r="I533" s="30"/>
    </row>
    <row r="534">
      <c r="B534" s="30"/>
      <c r="C534" s="30"/>
      <c r="E534" s="30"/>
      <c r="F534" s="30"/>
      <c r="I534" s="30"/>
    </row>
    <row r="535">
      <c r="B535" s="30"/>
      <c r="C535" s="30"/>
      <c r="E535" s="30"/>
      <c r="F535" s="30"/>
      <c r="I535" s="30"/>
    </row>
    <row r="536">
      <c r="B536" s="30"/>
      <c r="C536" s="30"/>
      <c r="E536" s="30"/>
      <c r="F536" s="30"/>
      <c r="I536" s="30"/>
    </row>
    <row r="537">
      <c r="B537" s="30"/>
      <c r="C537" s="30"/>
      <c r="E537" s="30"/>
      <c r="F537" s="30"/>
      <c r="I537" s="30"/>
    </row>
    <row r="538">
      <c r="B538" s="30"/>
      <c r="C538" s="30"/>
      <c r="E538" s="30"/>
      <c r="F538" s="30"/>
      <c r="I538" s="30"/>
    </row>
    <row r="539">
      <c r="B539" s="30"/>
      <c r="C539" s="30"/>
      <c r="E539" s="30"/>
      <c r="F539" s="30"/>
      <c r="I539" s="30"/>
    </row>
    <row r="540">
      <c r="B540" s="30"/>
      <c r="C540" s="30"/>
      <c r="E540" s="30"/>
      <c r="F540" s="30"/>
      <c r="I540" s="30"/>
    </row>
    <row r="541">
      <c r="B541" s="30"/>
      <c r="C541" s="30"/>
      <c r="E541" s="30"/>
      <c r="F541" s="30"/>
      <c r="I541" s="30"/>
    </row>
    <row r="542">
      <c r="B542" s="30"/>
      <c r="C542" s="30"/>
      <c r="E542" s="30"/>
      <c r="F542" s="30"/>
      <c r="I542" s="30"/>
    </row>
    <row r="543">
      <c r="B543" s="30"/>
      <c r="C543" s="30"/>
      <c r="E543" s="30"/>
      <c r="F543" s="30"/>
      <c r="I543" s="30"/>
    </row>
    <row r="544">
      <c r="B544" s="30"/>
      <c r="C544" s="30"/>
      <c r="E544" s="30"/>
      <c r="F544" s="30"/>
      <c r="I544" s="30"/>
    </row>
    <row r="545">
      <c r="B545" s="30"/>
      <c r="C545" s="30"/>
      <c r="E545" s="30"/>
      <c r="F545" s="30"/>
      <c r="I545" s="30"/>
    </row>
    <row r="546">
      <c r="B546" s="30"/>
      <c r="C546" s="30"/>
      <c r="E546" s="30"/>
      <c r="F546" s="30"/>
      <c r="I546" s="30"/>
    </row>
    <row r="547">
      <c r="B547" s="30"/>
      <c r="C547" s="30"/>
      <c r="E547" s="30"/>
      <c r="F547" s="30"/>
      <c r="I547" s="30"/>
    </row>
    <row r="548">
      <c r="B548" s="30"/>
      <c r="C548" s="30"/>
      <c r="E548" s="30"/>
      <c r="F548" s="30"/>
      <c r="I548" s="30"/>
    </row>
    <row r="549">
      <c r="B549" s="30"/>
      <c r="C549" s="30"/>
      <c r="E549" s="30"/>
      <c r="F549" s="30"/>
      <c r="I549" s="30"/>
    </row>
    <row r="550">
      <c r="B550" s="30"/>
      <c r="C550" s="30"/>
      <c r="E550" s="30"/>
      <c r="F550" s="30"/>
      <c r="I550" s="30"/>
    </row>
    <row r="551">
      <c r="B551" s="30"/>
      <c r="C551" s="30"/>
      <c r="E551" s="30"/>
      <c r="F551" s="30"/>
      <c r="I551" s="30"/>
    </row>
    <row r="552">
      <c r="B552" s="30"/>
      <c r="C552" s="30"/>
      <c r="E552" s="30"/>
      <c r="F552" s="30"/>
      <c r="I552" s="30"/>
    </row>
    <row r="553">
      <c r="B553" s="30"/>
      <c r="C553" s="30"/>
      <c r="E553" s="30"/>
      <c r="F553" s="30"/>
      <c r="I553" s="30"/>
    </row>
    <row r="554">
      <c r="B554" s="30"/>
      <c r="C554" s="30"/>
      <c r="E554" s="30"/>
      <c r="F554" s="30"/>
      <c r="I554" s="30"/>
    </row>
    <row r="555">
      <c r="B555" s="30"/>
      <c r="C555" s="30"/>
      <c r="E555" s="30"/>
      <c r="F555" s="30"/>
      <c r="I555" s="30"/>
    </row>
    <row r="556">
      <c r="B556" s="30"/>
      <c r="C556" s="30"/>
      <c r="E556" s="30"/>
      <c r="F556" s="30"/>
      <c r="I556" s="30"/>
    </row>
    <row r="557">
      <c r="B557" s="30"/>
      <c r="C557" s="30"/>
      <c r="E557" s="30"/>
      <c r="F557" s="30"/>
      <c r="I557" s="30"/>
    </row>
    <row r="558">
      <c r="B558" s="30"/>
      <c r="C558" s="30"/>
      <c r="E558" s="30"/>
      <c r="F558" s="30"/>
      <c r="I558" s="30"/>
    </row>
    <row r="559">
      <c r="B559" s="30"/>
      <c r="C559" s="30"/>
      <c r="E559" s="30"/>
      <c r="F559" s="30"/>
      <c r="I559" s="30"/>
    </row>
    <row r="560">
      <c r="B560" s="30"/>
      <c r="C560" s="30"/>
      <c r="E560" s="30"/>
      <c r="F560" s="30"/>
      <c r="I560" s="30"/>
    </row>
    <row r="561">
      <c r="B561" s="30"/>
      <c r="C561" s="30"/>
      <c r="E561" s="30"/>
      <c r="F561" s="30"/>
      <c r="I561" s="30"/>
    </row>
    <row r="562">
      <c r="B562" s="30"/>
      <c r="C562" s="30"/>
      <c r="E562" s="30"/>
      <c r="F562" s="30"/>
      <c r="I562" s="30"/>
    </row>
    <row r="563">
      <c r="B563" s="30"/>
      <c r="C563" s="30"/>
      <c r="E563" s="30"/>
      <c r="F563" s="30"/>
      <c r="I563" s="30"/>
    </row>
    <row r="564">
      <c r="B564" s="30"/>
      <c r="C564" s="30"/>
      <c r="E564" s="30"/>
      <c r="F564" s="30"/>
      <c r="I564" s="30"/>
    </row>
    <row r="565">
      <c r="B565" s="30"/>
      <c r="C565" s="30"/>
      <c r="E565" s="30"/>
      <c r="F565" s="30"/>
      <c r="I565" s="30"/>
    </row>
    <row r="566">
      <c r="B566" s="30"/>
      <c r="C566" s="30"/>
      <c r="E566" s="30"/>
      <c r="F566" s="30"/>
      <c r="I566" s="30"/>
    </row>
    <row r="567">
      <c r="B567" s="30"/>
      <c r="C567" s="30"/>
      <c r="E567" s="30"/>
      <c r="F567" s="30"/>
      <c r="I567" s="30"/>
    </row>
    <row r="568">
      <c r="B568" s="30"/>
      <c r="C568" s="30"/>
      <c r="E568" s="30"/>
      <c r="F568" s="30"/>
      <c r="I568" s="30"/>
    </row>
    <row r="569">
      <c r="B569" s="30"/>
      <c r="C569" s="30"/>
      <c r="E569" s="30"/>
      <c r="F569" s="30"/>
      <c r="I569" s="30"/>
    </row>
    <row r="570">
      <c r="B570" s="30"/>
      <c r="C570" s="30"/>
      <c r="E570" s="30"/>
      <c r="F570" s="30"/>
      <c r="I570" s="30"/>
    </row>
    <row r="571">
      <c r="B571" s="30"/>
      <c r="C571" s="30"/>
      <c r="E571" s="30"/>
      <c r="F571" s="30"/>
      <c r="I571" s="30"/>
    </row>
    <row r="572">
      <c r="B572" s="30"/>
      <c r="C572" s="30"/>
      <c r="E572" s="30"/>
      <c r="F572" s="30"/>
      <c r="I572" s="30"/>
    </row>
    <row r="573">
      <c r="B573" s="30"/>
      <c r="C573" s="30"/>
      <c r="E573" s="30"/>
      <c r="F573" s="30"/>
      <c r="I573" s="30"/>
    </row>
    <row r="574">
      <c r="B574" s="30"/>
      <c r="C574" s="30"/>
      <c r="E574" s="30"/>
      <c r="F574" s="30"/>
      <c r="I574" s="30"/>
    </row>
    <row r="575">
      <c r="B575" s="30"/>
      <c r="C575" s="30"/>
      <c r="E575" s="30"/>
      <c r="F575" s="30"/>
      <c r="I575" s="30"/>
    </row>
    <row r="576">
      <c r="B576" s="30"/>
      <c r="C576" s="30"/>
      <c r="E576" s="30"/>
      <c r="F576" s="30"/>
      <c r="I576" s="30"/>
    </row>
    <row r="577">
      <c r="B577" s="30"/>
      <c r="C577" s="30"/>
      <c r="E577" s="30"/>
      <c r="F577" s="30"/>
      <c r="I577" s="30"/>
    </row>
    <row r="578">
      <c r="B578" s="30"/>
      <c r="C578" s="30"/>
      <c r="E578" s="30"/>
      <c r="F578" s="30"/>
      <c r="I578" s="30"/>
    </row>
    <row r="579">
      <c r="B579" s="30"/>
      <c r="C579" s="30"/>
      <c r="E579" s="30"/>
      <c r="F579" s="30"/>
      <c r="I579" s="30"/>
    </row>
    <row r="580">
      <c r="B580" s="30"/>
      <c r="C580" s="30"/>
      <c r="E580" s="30"/>
      <c r="F580" s="30"/>
      <c r="I580" s="30"/>
    </row>
    <row r="581">
      <c r="B581" s="30"/>
      <c r="C581" s="30"/>
      <c r="E581" s="30"/>
      <c r="F581" s="30"/>
      <c r="I581" s="30"/>
    </row>
    <row r="582">
      <c r="B582" s="30"/>
      <c r="C582" s="30"/>
      <c r="E582" s="30"/>
      <c r="F582" s="30"/>
      <c r="I582" s="30"/>
    </row>
    <row r="583">
      <c r="B583" s="30"/>
      <c r="C583" s="30"/>
      <c r="E583" s="30"/>
      <c r="F583" s="30"/>
      <c r="I583" s="30"/>
    </row>
    <row r="584">
      <c r="B584" s="30"/>
      <c r="C584" s="30"/>
      <c r="E584" s="30"/>
      <c r="F584" s="30"/>
      <c r="I584" s="30"/>
    </row>
    <row r="585">
      <c r="B585" s="30"/>
      <c r="C585" s="30"/>
      <c r="E585" s="30"/>
      <c r="F585" s="30"/>
      <c r="I585" s="30"/>
    </row>
    <row r="586">
      <c r="B586" s="30"/>
      <c r="C586" s="30"/>
      <c r="E586" s="30"/>
      <c r="F586" s="30"/>
      <c r="I586" s="30"/>
    </row>
    <row r="587">
      <c r="B587" s="30"/>
      <c r="C587" s="30"/>
      <c r="E587" s="30"/>
      <c r="F587" s="30"/>
      <c r="I587" s="30"/>
    </row>
    <row r="588">
      <c r="B588" s="30"/>
      <c r="C588" s="30"/>
      <c r="E588" s="30"/>
      <c r="F588" s="30"/>
      <c r="I588" s="30"/>
    </row>
    <row r="589">
      <c r="B589" s="30"/>
      <c r="C589" s="30"/>
      <c r="E589" s="30"/>
      <c r="F589" s="30"/>
      <c r="I589" s="30"/>
    </row>
    <row r="590">
      <c r="B590" s="30"/>
      <c r="C590" s="30"/>
      <c r="E590" s="30"/>
      <c r="F590" s="30"/>
      <c r="I590" s="30"/>
    </row>
    <row r="591">
      <c r="B591" s="30"/>
      <c r="C591" s="30"/>
      <c r="E591" s="30"/>
      <c r="F591" s="30"/>
      <c r="I591" s="30"/>
    </row>
    <row r="592">
      <c r="B592" s="30"/>
      <c r="C592" s="30"/>
      <c r="E592" s="30"/>
      <c r="F592" s="30"/>
      <c r="I592" s="30"/>
    </row>
    <row r="593">
      <c r="B593" s="30"/>
      <c r="C593" s="30"/>
      <c r="E593" s="30"/>
      <c r="F593" s="30"/>
      <c r="I593" s="30"/>
    </row>
    <row r="594">
      <c r="B594" s="30"/>
      <c r="C594" s="30"/>
      <c r="E594" s="30"/>
      <c r="F594" s="30"/>
      <c r="I594" s="30"/>
    </row>
    <row r="595">
      <c r="B595" s="30"/>
      <c r="C595" s="30"/>
      <c r="E595" s="30"/>
      <c r="F595" s="30"/>
      <c r="I595" s="30"/>
    </row>
    <row r="596">
      <c r="B596" s="30"/>
      <c r="C596" s="30"/>
      <c r="E596" s="30"/>
      <c r="F596" s="30"/>
      <c r="I596" s="30"/>
    </row>
    <row r="597">
      <c r="B597" s="30"/>
      <c r="C597" s="30"/>
      <c r="E597" s="30"/>
      <c r="F597" s="30"/>
      <c r="I597" s="30"/>
    </row>
    <row r="598">
      <c r="B598" s="30"/>
      <c r="C598" s="30"/>
      <c r="E598" s="30"/>
      <c r="F598" s="30"/>
      <c r="I598" s="30"/>
    </row>
    <row r="599">
      <c r="B599" s="30"/>
      <c r="C599" s="30"/>
      <c r="E599" s="30"/>
      <c r="F599" s="30"/>
      <c r="I599" s="30"/>
    </row>
    <row r="600">
      <c r="B600" s="30"/>
      <c r="C600" s="30"/>
      <c r="E600" s="30"/>
      <c r="F600" s="30"/>
      <c r="I600" s="30"/>
    </row>
    <row r="601">
      <c r="B601" s="30"/>
      <c r="C601" s="30"/>
      <c r="E601" s="30"/>
      <c r="F601" s="30"/>
      <c r="I601" s="30"/>
    </row>
    <row r="602">
      <c r="B602" s="30"/>
      <c r="C602" s="30"/>
      <c r="E602" s="30"/>
      <c r="F602" s="30"/>
      <c r="I602" s="30"/>
    </row>
    <row r="603">
      <c r="B603" s="30"/>
      <c r="C603" s="30"/>
      <c r="E603" s="30"/>
      <c r="F603" s="30"/>
      <c r="I603" s="30"/>
    </row>
    <row r="604">
      <c r="B604" s="30"/>
      <c r="C604" s="30"/>
      <c r="E604" s="30"/>
      <c r="F604" s="30"/>
      <c r="I604" s="30"/>
    </row>
    <row r="605">
      <c r="B605" s="30"/>
      <c r="C605" s="30"/>
      <c r="E605" s="30"/>
      <c r="F605" s="30"/>
      <c r="I605" s="30"/>
    </row>
    <row r="606">
      <c r="B606" s="30"/>
      <c r="C606" s="30"/>
      <c r="E606" s="30"/>
      <c r="F606" s="30"/>
      <c r="I606" s="30"/>
    </row>
    <row r="607">
      <c r="B607" s="30"/>
      <c r="C607" s="30"/>
      <c r="E607" s="30"/>
      <c r="F607" s="30"/>
      <c r="I607" s="30"/>
    </row>
    <row r="608">
      <c r="B608" s="30"/>
      <c r="C608" s="30"/>
      <c r="E608" s="30"/>
      <c r="F608" s="30"/>
      <c r="I608" s="30"/>
    </row>
    <row r="609">
      <c r="B609" s="30"/>
      <c r="C609" s="30"/>
      <c r="E609" s="30"/>
      <c r="F609" s="30"/>
      <c r="I609" s="30"/>
    </row>
    <row r="610">
      <c r="B610" s="30"/>
      <c r="C610" s="30"/>
      <c r="E610" s="30"/>
      <c r="F610" s="30"/>
      <c r="I610" s="30"/>
    </row>
    <row r="611">
      <c r="B611" s="30"/>
      <c r="C611" s="30"/>
      <c r="E611" s="30"/>
      <c r="F611" s="30"/>
      <c r="I611" s="30"/>
    </row>
    <row r="612">
      <c r="B612" s="30"/>
      <c r="C612" s="30"/>
      <c r="E612" s="30"/>
      <c r="F612" s="30"/>
      <c r="I612" s="30"/>
    </row>
    <row r="613">
      <c r="B613" s="30"/>
      <c r="C613" s="30"/>
      <c r="E613" s="30"/>
      <c r="F613" s="30"/>
      <c r="I613" s="30"/>
    </row>
    <row r="614">
      <c r="B614" s="30"/>
      <c r="C614" s="30"/>
      <c r="E614" s="30"/>
      <c r="F614" s="30"/>
      <c r="I614" s="30"/>
    </row>
    <row r="615">
      <c r="B615" s="30"/>
      <c r="C615" s="30"/>
      <c r="E615" s="30"/>
      <c r="F615" s="30"/>
      <c r="I615" s="30"/>
    </row>
    <row r="616">
      <c r="B616" s="30"/>
      <c r="C616" s="30"/>
      <c r="E616" s="30"/>
      <c r="F616" s="30"/>
      <c r="I616" s="30"/>
    </row>
    <row r="617">
      <c r="B617" s="30"/>
      <c r="C617" s="30"/>
      <c r="E617" s="30"/>
      <c r="F617" s="30"/>
      <c r="I617" s="30"/>
    </row>
    <row r="618">
      <c r="B618" s="30"/>
      <c r="C618" s="30"/>
      <c r="E618" s="30"/>
      <c r="F618" s="30"/>
      <c r="I618" s="30"/>
    </row>
    <row r="619">
      <c r="B619" s="30"/>
      <c r="C619" s="30"/>
      <c r="E619" s="30"/>
      <c r="F619" s="30"/>
      <c r="I619" s="30"/>
    </row>
    <row r="620">
      <c r="B620" s="30"/>
      <c r="C620" s="30"/>
      <c r="E620" s="30"/>
      <c r="F620" s="30"/>
      <c r="I620" s="30"/>
    </row>
    <row r="621">
      <c r="B621" s="30"/>
      <c r="C621" s="30"/>
      <c r="E621" s="30"/>
      <c r="F621" s="30"/>
      <c r="I621" s="30"/>
    </row>
    <row r="622">
      <c r="B622" s="30"/>
      <c r="C622" s="30"/>
      <c r="E622" s="30"/>
      <c r="F622" s="30"/>
      <c r="I622" s="30"/>
    </row>
    <row r="623">
      <c r="B623" s="30"/>
      <c r="C623" s="30"/>
      <c r="E623" s="30"/>
      <c r="F623" s="30"/>
      <c r="I623" s="30"/>
    </row>
    <row r="624">
      <c r="B624" s="30"/>
      <c r="C624" s="30"/>
      <c r="E624" s="30"/>
      <c r="F624" s="30"/>
      <c r="I624" s="30"/>
    </row>
    <row r="625">
      <c r="B625" s="30"/>
      <c r="C625" s="30"/>
      <c r="E625" s="30"/>
      <c r="F625" s="30"/>
      <c r="I625" s="30"/>
    </row>
    <row r="626">
      <c r="B626" s="30"/>
      <c r="C626" s="30"/>
      <c r="E626" s="30"/>
      <c r="F626" s="30"/>
      <c r="I626" s="30"/>
    </row>
    <row r="627">
      <c r="B627" s="30"/>
      <c r="C627" s="30"/>
      <c r="E627" s="30"/>
      <c r="F627" s="30"/>
      <c r="I627" s="30"/>
    </row>
    <row r="628">
      <c r="B628" s="30"/>
      <c r="C628" s="30"/>
      <c r="E628" s="30"/>
      <c r="F628" s="30"/>
      <c r="I628" s="30"/>
    </row>
    <row r="629">
      <c r="B629" s="30"/>
      <c r="C629" s="30"/>
      <c r="E629" s="30"/>
      <c r="F629" s="30"/>
      <c r="I629" s="30"/>
    </row>
    <row r="630">
      <c r="B630" s="30"/>
      <c r="C630" s="30"/>
      <c r="E630" s="30"/>
      <c r="F630" s="30"/>
      <c r="I630" s="30"/>
    </row>
    <row r="631">
      <c r="B631" s="30"/>
      <c r="C631" s="30"/>
      <c r="E631" s="30"/>
      <c r="F631" s="30"/>
      <c r="I631" s="30"/>
    </row>
    <row r="632">
      <c r="B632" s="30"/>
      <c r="C632" s="30"/>
      <c r="E632" s="30"/>
      <c r="F632" s="30"/>
      <c r="I632" s="30"/>
    </row>
    <row r="633">
      <c r="B633" s="30"/>
      <c r="C633" s="30"/>
      <c r="E633" s="30"/>
      <c r="F633" s="30"/>
      <c r="I633" s="30"/>
    </row>
    <row r="634">
      <c r="B634" s="30"/>
      <c r="C634" s="30"/>
      <c r="E634" s="30"/>
      <c r="F634" s="30"/>
      <c r="I634" s="30"/>
    </row>
    <row r="635">
      <c r="B635" s="30"/>
      <c r="C635" s="30"/>
      <c r="E635" s="30"/>
      <c r="F635" s="30"/>
      <c r="I635" s="30"/>
    </row>
    <row r="636">
      <c r="B636" s="30"/>
      <c r="C636" s="30"/>
      <c r="E636" s="30"/>
      <c r="F636" s="30"/>
      <c r="I636" s="30"/>
    </row>
    <row r="637">
      <c r="B637" s="30"/>
      <c r="C637" s="30"/>
      <c r="E637" s="30"/>
      <c r="F637" s="30"/>
      <c r="I637" s="30"/>
    </row>
    <row r="638">
      <c r="B638" s="30"/>
      <c r="C638" s="30"/>
      <c r="E638" s="30"/>
      <c r="F638" s="30"/>
      <c r="I638" s="30"/>
    </row>
    <row r="639">
      <c r="B639" s="30"/>
      <c r="C639" s="30"/>
      <c r="E639" s="30"/>
      <c r="F639" s="30"/>
      <c r="I639" s="30"/>
    </row>
    <row r="640">
      <c r="B640" s="30"/>
      <c r="C640" s="30"/>
      <c r="E640" s="30"/>
      <c r="F640" s="30"/>
      <c r="I640" s="30"/>
    </row>
    <row r="641">
      <c r="B641" s="30"/>
      <c r="C641" s="30"/>
      <c r="E641" s="30"/>
      <c r="F641" s="30"/>
      <c r="I641" s="30"/>
    </row>
    <row r="642">
      <c r="B642" s="30"/>
      <c r="C642" s="30"/>
      <c r="E642" s="30"/>
      <c r="F642" s="30"/>
      <c r="I642" s="30"/>
    </row>
    <row r="643">
      <c r="B643" s="30"/>
      <c r="C643" s="30"/>
      <c r="E643" s="30"/>
      <c r="F643" s="30"/>
      <c r="I643" s="30"/>
    </row>
    <row r="644">
      <c r="B644" s="30"/>
      <c r="C644" s="30"/>
      <c r="E644" s="30"/>
      <c r="F644" s="30"/>
      <c r="I644" s="30"/>
    </row>
    <row r="645">
      <c r="B645" s="30"/>
      <c r="C645" s="30"/>
      <c r="E645" s="30"/>
      <c r="F645" s="30"/>
      <c r="I645" s="30"/>
    </row>
    <row r="646">
      <c r="B646" s="30"/>
      <c r="C646" s="30"/>
      <c r="E646" s="30"/>
      <c r="F646" s="30"/>
      <c r="I646" s="30"/>
    </row>
    <row r="647">
      <c r="B647" s="30"/>
      <c r="C647" s="30"/>
      <c r="E647" s="30"/>
      <c r="F647" s="30"/>
      <c r="I647" s="30"/>
    </row>
    <row r="648">
      <c r="B648" s="30"/>
      <c r="C648" s="30"/>
      <c r="E648" s="30"/>
      <c r="F648" s="30"/>
      <c r="I648" s="30"/>
    </row>
    <row r="649">
      <c r="B649" s="30"/>
      <c r="C649" s="30"/>
      <c r="E649" s="30"/>
      <c r="F649" s="30"/>
      <c r="I649" s="30"/>
    </row>
    <row r="650">
      <c r="B650" s="30"/>
      <c r="C650" s="30"/>
      <c r="E650" s="30"/>
      <c r="F650" s="30"/>
      <c r="I650" s="30"/>
    </row>
    <row r="651">
      <c r="B651" s="30"/>
      <c r="C651" s="30"/>
      <c r="E651" s="30"/>
      <c r="F651" s="30"/>
      <c r="I651" s="30"/>
    </row>
    <row r="652">
      <c r="B652" s="30"/>
      <c r="C652" s="30"/>
      <c r="E652" s="30"/>
      <c r="F652" s="30"/>
      <c r="I652" s="30"/>
    </row>
    <row r="653">
      <c r="B653" s="30"/>
      <c r="C653" s="30"/>
      <c r="E653" s="30"/>
      <c r="F653" s="30"/>
      <c r="I653" s="30"/>
    </row>
    <row r="654">
      <c r="B654" s="30"/>
      <c r="C654" s="30"/>
      <c r="E654" s="30"/>
      <c r="F654" s="30"/>
      <c r="I654" s="30"/>
    </row>
    <row r="655">
      <c r="B655" s="30"/>
      <c r="C655" s="30"/>
      <c r="E655" s="30"/>
      <c r="F655" s="30"/>
      <c r="I655" s="30"/>
    </row>
    <row r="656">
      <c r="B656" s="30"/>
      <c r="C656" s="30"/>
      <c r="E656" s="30"/>
      <c r="F656" s="30"/>
      <c r="I656" s="30"/>
    </row>
    <row r="657">
      <c r="B657" s="30"/>
      <c r="C657" s="30"/>
      <c r="E657" s="30"/>
      <c r="F657" s="30"/>
      <c r="I657" s="30"/>
    </row>
    <row r="658">
      <c r="B658" s="30"/>
      <c r="C658" s="30"/>
      <c r="E658" s="30"/>
      <c r="F658" s="30"/>
      <c r="I658" s="30"/>
    </row>
    <row r="659">
      <c r="B659" s="30"/>
      <c r="C659" s="30"/>
      <c r="E659" s="30"/>
      <c r="F659" s="30"/>
      <c r="I659" s="30"/>
    </row>
    <row r="660">
      <c r="B660" s="30"/>
      <c r="C660" s="30"/>
      <c r="E660" s="30"/>
      <c r="F660" s="30"/>
      <c r="I660" s="30"/>
    </row>
    <row r="661">
      <c r="B661" s="30"/>
      <c r="C661" s="30"/>
      <c r="E661" s="30"/>
      <c r="F661" s="30"/>
      <c r="I661" s="30"/>
    </row>
    <row r="662">
      <c r="B662" s="30"/>
      <c r="C662" s="30"/>
      <c r="E662" s="30"/>
      <c r="F662" s="30"/>
      <c r="I662" s="30"/>
    </row>
    <row r="663">
      <c r="B663" s="30"/>
      <c r="C663" s="30"/>
      <c r="E663" s="30"/>
      <c r="F663" s="30"/>
      <c r="I663" s="30"/>
    </row>
    <row r="664">
      <c r="B664" s="30"/>
      <c r="C664" s="30"/>
      <c r="E664" s="30"/>
      <c r="F664" s="30"/>
      <c r="I664" s="30"/>
    </row>
    <row r="665">
      <c r="B665" s="30"/>
      <c r="C665" s="30"/>
      <c r="E665" s="30"/>
      <c r="F665" s="30"/>
      <c r="I665" s="30"/>
    </row>
    <row r="666">
      <c r="B666" s="30"/>
      <c r="C666" s="30"/>
      <c r="E666" s="30"/>
      <c r="F666" s="30"/>
      <c r="I666" s="30"/>
    </row>
    <row r="667">
      <c r="B667" s="30"/>
      <c r="C667" s="30"/>
      <c r="E667" s="30"/>
      <c r="F667" s="30"/>
      <c r="I667" s="30"/>
    </row>
    <row r="668">
      <c r="B668" s="30"/>
      <c r="C668" s="30"/>
      <c r="E668" s="30"/>
      <c r="F668" s="30"/>
      <c r="I668" s="30"/>
    </row>
    <row r="669">
      <c r="B669" s="30"/>
      <c r="C669" s="30"/>
      <c r="E669" s="30"/>
      <c r="F669" s="30"/>
      <c r="I669" s="30"/>
    </row>
    <row r="670">
      <c r="B670" s="30"/>
      <c r="C670" s="30"/>
      <c r="E670" s="30"/>
      <c r="F670" s="30"/>
      <c r="I670" s="30"/>
    </row>
    <row r="671">
      <c r="B671" s="30"/>
      <c r="C671" s="30"/>
      <c r="E671" s="30"/>
      <c r="F671" s="30"/>
      <c r="I671" s="30"/>
    </row>
    <row r="672">
      <c r="B672" s="30"/>
      <c r="C672" s="30"/>
      <c r="E672" s="30"/>
      <c r="F672" s="30"/>
      <c r="I672" s="30"/>
    </row>
    <row r="673">
      <c r="B673" s="30"/>
      <c r="C673" s="30"/>
      <c r="E673" s="30"/>
      <c r="F673" s="30"/>
      <c r="I673" s="30"/>
    </row>
    <row r="674">
      <c r="B674" s="30"/>
      <c r="C674" s="30"/>
      <c r="E674" s="30"/>
      <c r="F674" s="30"/>
      <c r="I674" s="30"/>
    </row>
    <row r="675">
      <c r="B675" s="30"/>
      <c r="C675" s="30"/>
      <c r="E675" s="30"/>
      <c r="F675" s="30"/>
      <c r="I675" s="30"/>
    </row>
    <row r="676">
      <c r="B676" s="30"/>
      <c r="C676" s="30"/>
      <c r="E676" s="30"/>
      <c r="F676" s="30"/>
      <c r="I676" s="30"/>
    </row>
    <row r="677">
      <c r="B677" s="30"/>
      <c r="C677" s="30"/>
      <c r="E677" s="30"/>
      <c r="F677" s="30"/>
      <c r="I677" s="30"/>
    </row>
    <row r="678">
      <c r="B678" s="30"/>
      <c r="C678" s="30"/>
      <c r="E678" s="30"/>
      <c r="F678" s="30"/>
      <c r="I678" s="30"/>
    </row>
    <row r="679">
      <c r="B679" s="30"/>
      <c r="C679" s="30"/>
      <c r="E679" s="30"/>
      <c r="F679" s="30"/>
      <c r="I679" s="30"/>
    </row>
    <row r="680">
      <c r="B680" s="30"/>
      <c r="C680" s="30"/>
      <c r="E680" s="30"/>
      <c r="F680" s="30"/>
      <c r="I680" s="30"/>
    </row>
    <row r="681">
      <c r="B681" s="30"/>
      <c r="C681" s="30"/>
      <c r="E681" s="30"/>
      <c r="F681" s="30"/>
      <c r="I681" s="30"/>
    </row>
    <row r="682">
      <c r="B682" s="30"/>
      <c r="C682" s="30"/>
      <c r="E682" s="30"/>
      <c r="F682" s="30"/>
      <c r="I682" s="30"/>
    </row>
    <row r="683">
      <c r="B683" s="30"/>
      <c r="C683" s="30"/>
      <c r="E683" s="30"/>
      <c r="F683" s="30"/>
      <c r="I683" s="30"/>
    </row>
    <row r="684">
      <c r="B684" s="30"/>
      <c r="C684" s="30"/>
      <c r="E684" s="30"/>
      <c r="F684" s="30"/>
      <c r="I684" s="30"/>
    </row>
    <row r="685">
      <c r="B685" s="30"/>
      <c r="C685" s="30"/>
      <c r="E685" s="30"/>
      <c r="F685" s="30"/>
      <c r="I685" s="30"/>
    </row>
    <row r="686">
      <c r="B686" s="30"/>
      <c r="C686" s="30"/>
      <c r="E686" s="30"/>
      <c r="F686" s="30"/>
      <c r="I686" s="30"/>
    </row>
    <row r="687">
      <c r="B687" s="30"/>
      <c r="C687" s="30"/>
      <c r="E687" s="30"/>
      <c r="F687" s="30"/>
      <c r="I687" s="30"/>
    </row>
    <row r="688">
      <c r="B688" s="30"/>
      <c r="C688" s="30"/>
      <c r="E688" s="30"/>
      <c r="F688" s="30"/>
      <c r="I688" s="30"/>
    </row>
    <row r="689">
      <c r="B689" s="30"/>
      <c r="C689" s="30"/>
      <c r="E689" s="30"/>
      <c r="F689" s="30"/>
      <c r="I689" s="30"/>
    </row>
    <row r="690">
      <c r="B690" s="30"/>
      <c r="C690" s="30"/>
      <c r="E690" s="30"/>
      <c r="F690" s="30"/>
      <c r="I690" s="30"/>
    </row>
    <row r="691">
      <c r="B691" s="30"/>
      <c r="C691" s="30"/>
      <c r="E691" s="30"/>
      <c r="F691" s="30"/>
      <c r="I691" s="30"/>
    </row>
    <row r="692">
      <c r="B692" s="30"/>
      <c r="C692" s="30"/>
      <c r="E692" s="30"/>
      <c r="F692" s="30"/>
      <c r="I692" s="30"/>
    </row>
    <row r="693">
      <c r="B693" s="30"/>
      <c r="C693" s="30"/>
      <c r="E693" s="30"/>
      <c r="F693" s="30"/>
      <c r="I693" s="30"/>
    </row>
    <row r="694">
      <c r="B694" s="30"/>
      <c r="C694" s="30"/>
      <c r="E694" s="30"/>
      <c r="F694" s="30"/>
      <c r="I694" s="30"/>
    </row>
    <row r="695">
      <c r="B695" s="30"/>
      <c r="C695" s="30"/>
      <c r="E695" s="30"/>
      <c r="F695" s="30"/>
      <c r="I695" s="30"/>
    </row>
    <row r="696">
      <c r="B696" s="30"/>
      <c r="C696" s="30"/>
      <c r="E696" s="30"/>
      <c r="F696" s="30"/>
      <c r="I696" s="30"/>
    </row>
    <row r="697">
      <c r="B697" s="30"/>
      <c r="C697" s="30"/>
      <c r="E697" s="30"/>
      <c r="F697" s="30"/>
      <c r="I697" s="30"/>
    </row>
    <row r="698">
      <c r="B698" s="30"/>
      <c r="C698" s="30"/>
      <c r="E698" s="30"/>
      <c r="F698" s="30"/>
      <c r="I698" s="30"/>
    </row>
    <row r="699">
      <c r="B699" s="30"/>
      <c r="C699" s="30"/>
      <c r="E699" s="30"/>
      <c r="F699" s="30"/>
      <c r="I699" s="30"/>
    </row>
    <row r="700">
      <c r="B700" s="30"/>
      <c r="C700" s="30"/>
      <c r="E700" s="30"/>
      <c r="F700" s="30"/>
      <c r="I700" s="30"/>
    </row>
    <row r="701">
      <c r="B701" s="30"/>
      <c r="C701" s="30"/>
      <c r="E701" s="30"/>
      <c r="F701" s="30"/>
      <c r="I701" s="30"/>
    </row>
    <row r="702">
      <c r="B702" s="30"/>
      <c r="C702" s="30"/>
      <c r="E702" s="30"/>
      <c r="F702" s="30"/>
      <c r="I702" s="30"/>
    </row>
    <row r="703">
      <c r="B703" s="30"/>
      <c r="C703" s="30"/>
      <c r="E703" s="30"/>
      <c r="F703" s="30"/>
      <c r="I703" s="30"/>
    </row>
    <row r="704">
      <c r="B704" s="30"/>
      <c r="C704" s="30"/>
      <c r="E704" s="30"/>
      <c r="F704" s="30"/>
      <c r="I704" s="30"/>
    </row>
    <row r="705">
      <c r="B705" s="30"/>
      <c r="C705" s="30"/>
      <c r="E705" s="30"/>
      <c r="F705" s="30"/>
      <c r="I705" s="30"/>
    </row>
    <row r="706">
      <c r="B706" s="30"/>
      <c r="C706" s="30"/>
      <c r="E706" s="30"/>
      <c r="F706" s="30"/>
      <c r="I706" s="30"/>
    </row>
    <row r="707">
      <c r="B707" s="30"/>
      <c r="C707" s="30"/>
      <c r="E707" s="30"/>
      <c r="F707" s="30"/>
      <c r="I707" s="30"/>
    </row>
    <row r="708">
      <c r="B708" s="30"/>
      <c r="C708" s="30"/>
      <c r="E708" s="30"/>
      <c r="F708" s="30"/>
      <c r="I708" s="30"/>
    </row>
    <row r="709">
      <c r="B709" s="30"/>
      <c r="C709" s="30"/>
      <c r="E709" s="30"/>
      <c r="F709" s="30"/>
      <c r="I709" s="30"/>
    </row>
    <row r="710">
      <c r="B710" s="30"/>
      <c r="C710" s="30"/>
      <c r="E710" s="30"/>
      <c r="F710" s="30"/>
      <c r="I710" s="30"/>
    </row>
    <row r="711">
      <c r="B711" s="30"/>
      <c r="C711" s="30"/>
      <c r="E711" s="30"/>
      <c r="F711" s="30"/>
      <c r="I711" s="30"/>
    </row>
    <row r="712">
      <c r="B712" s="30"/>
      <c r="C712" s="30"/>
      <c r="E712" s="30"/>
      <c r="F712" s="30"/>
      <c r="I712" s="30"/>
    </row>
    <row r="713">
      <c r="B713" s="30"/>
      <c r="C713" s="30"/>
      <c r="E713" s="30"/>
      <c r="F713" s="30"/>
      <c r="I713" s="30"/>
    </row>
    <row r="714">
      <c r="B714" s="30"/>
      <c r="C714" s="30"/>
      <c r="E714" s="30"/>
      <c r="F714" s="30"/>
      <c r="I714" s="30"/>
    </row>
    <row r="715">
      <c r="B715" s="30"/>
      <c r="C715" s="30"/>
      <c r="E715" s="30"/>
      <c r="F715" s="30"/>
      <c r="I715" s="30"/>
    </row>
    <row r="716">
      <c r="B716" s="30"/>
      <c r="C716" s="30"/>
      <c r="E716" s="30"/>
      <c r="F716" s="30"/>
      <c r="I716" s="30"/>
    </row>
    <row r="717">
      <c r="B717" s="30"/>
      <c r="C717" s="30"/>
      <c r="E717" s="30"/>
      <c r="F717" s="30"/>
      <c r="I717" s="30"/>
    </row>
    <row r="718">
      <c r="B718" s="30"/>
      <c r="C718" s="30"/>
      <c r="E718" s="30"/>
      <c r="F718" s="30"/>
      <c r="I718" s="30"/>
    </row>
    <row r="719">
      <c r="B719" s="30"/>
      <c r="C719" s="30"/>
      <c r="E719" s="30"/>
      <c r="F719" s="30"/>
      <c r="I719" s="30"/>
    </row>
    <row r="720">
      <c r="B720" s="30"/>
      <c r="C720" s="30"/>
      <c r="E720" s="30"/>
      <c r="F720" s="30"/>
      <c r="I720" s="30"/>
    </row>
    <row r="721">
      <c r="B721" s="30"/>
      <c r="C721" s="30"/>
      <c r="E721" s="30"/>
      <c r="F721" s="30"/>
      <c r="I721" s="30"/>
    </row>
    <row r="722">
      <c r="B722" s="30"/>
      <c r="C722" s="30"/>
      <c r="E722" s="30"/>
      <c r="F722" s="30"/>
      <c r="I722" s="30"/>
    </row>
    <row r="723">
      <c r="B723" s="30"/>
      <c r="C723" s="30"/>
      <c r="E723" s="30"/>
      <c r="F723" s="30"/>
      <c r="I723" s="30"/>
    </row>
    <row r="724">
      <c r="B724" s="30"/>
      <c r="C724" s="30"/>
      <c r="E724" s="30"/>
      <c r="F724" s="30"/>
      <c r="I724" s="30"/>
    </row>
    <row r="725">
      <c r="B725" s="30"/>
      <c r="C725" s="30"/>
      <c r="E725" s="30"/>
      <c r="F725" s="30"/>
      <c r="I725" s="30"/>
    </row>
    <row r="726">
      <c r="B726" s="30"/>
      <c r="C726" s="30"/>
      <c r="E726" s="30"/>
      <c r="F726" s="30"/>
      <c r="I726" s="30"/>
    </row>
    <row r="727">
      <c r="B727" s="30"/>
      <c r="C727" s="30"/>
      <c r="E727" s="30"/>
      <c r="F727" s="30"/>
      <c r="I727" s="30"/>
    </row>
    <row r="728">
      <c r="B728" s="30"/>
      <c r="C728" s="30"/>
      <c r="E728" s="30"/>
      <c r="F728" s="30"/>
      <c r="I728" s="30"/>
    </row>
    <row r="729">
      <c r="B729" s="30"/>
      <c r="C729" s="30"/>
      <c r="E729" s="30"/>
      <c r="F729" s="30"/>
      <c r="I729" s="30"/>
    </row>
    <row r="730">
      <c r="B730" s="30"/>
      <c r="C730" s="30"/>
      <c r="E730" s="30"/>
      <c r="F730" s="30"/>
      <c r="I730" s="30"/>
    </row>
    <row r="731">
      <c r="B731" s="30"/>
      <c r="C731" s="30"/>
      <c r="E731" s="30"/>
      <c r="F731" s="30"/>
      <c r="I731" s="30"/>
    </row>
    <row r="732">
      <c r="B732" s="30"/>
      <c r="C732" s="30"/>
      <c r="E732" s="30"/>
      <c r="F732" s="30"/>
      <c r="I732" s="30"/>
    </row>
    <row r="733">
      <c r="B733" s="30"/>
      <c r="C733" s="30"/>
      <c r="E733" s="30"/>
      <c r="F733" s="30"/>
      <c r="I733" s="30"/>
    </row>
    <row r="734">
      <c r="B734" s="30"/>
      <c r="C734" s="30"/>
      <c r="E734" s="30"/>
      <c r="F734" s="30"/>
      <c r="I734" s="30"/>
    </row>
    <row r="735">
      <c r="B735" s="30"/>
      <c r="C735" s="30"/>
      <c r="E735" s="30"/>
      <c r="F735" s="30"/>
      <c r="I735" s="30"/>
    </row>
    <row r="736">
      <c r="B736" s="30"/>
      <c r="C736" s="30"/>
      <c r="E736" s="30"/>
      <c r="F736" s="30"/>
      <c r="I736" s="30"/>
    </row>
    <row r="737">
      <c r="B737" s="30"/>
      <c r="C737" s="30"/>
      <c r="E737" s="30"/>
      <c r="F737" s="30"/>
      <c r="I737" s="30"/>
    </row>
    <row r="738">
      <c r="B738" s="30"/>
      <c r="C738" s="30"/>
      <c r="E738" s="30"/>
      <c r="F738" s="30"/>
      <c r="I738" s="30"/>
    </row>
    <row r="739">
      <c r="B739" s="30"/>
      <c r="C739" s="30"/>
      <c r="E739" s="30"/>
      <c r="F739" s="30"/>
      <c r="I739" s="30"/>
    </row>
    <row r="740">
      <c r="B740" s="30"/>
      <c r="C740" s="30"/>
      <c r="E740" s="30"/>
      <c r="F740" s="30"/>
      <c r="I740" s="30"/>
    </row>
    <row r="741">
      <c r="B741" s="30"/>
      <c r="C741" s="30"/>
      <c r="E741" s="30"/>
      <c r="F741" s="30"/>
      <c r="I741" s="30"/>
    </row>
    <row r="742">
      <c r="B742" s="30"/>
      <c r="C742" s="30"/>
      <c r="E742" s="30"/>
      <c r="F742" s="30"/>
      <c r="I742" s="30"/>
    </row>
    <row r="743">
      <c r="B743" s="30"/>
      <c r="C743" s="30"/>
      <c r="E743" s="30"/>
      <c r="F743" s="30"/>
      <c r="I743" s="30"/>
    </row>
    <row r="744">
      <c r="B744" s="30"/>
      <c r="C744" s="30"/>
      <c r="E744" s="30"/>
      <c r="F744" s="30"/>
      <c r="I744" s="30"/>
    </row>
    <row r="745">
      <c r="B745" s="30"/>
      <c r="C745" s="30"/>
      <c r="E745" s="30"/>
      <c r="F745" s="30"/>
      <c r="I745" s="30"/>
    </row>
    <row r="746">
      <c r="B746" s="30"/>
      <c r="C746" s="30"/>
      <c r="E746" s="30"/>
      <c r="F746" s="30"/>
      <c r="I746" s="30"/>
    </row>
    <row r="747">
      <c r="B747" s="30"/>
      <c r="C747" s="30"/>
      <c r="E747" s="30"/>
      <c r="F747" s="30"/>
      <c r="I747" s="30"/>
    </row>
    <row r="748">
      <c r="B748" s="30"/>
      <c r="C748" s="30"/>
      <c r="E748" s="30"/>
      <c r="F748" s="30"/>
      <c r="I748" s="30"/>
    </row>
    <row r="749">
      <c r="B749" s="30"/>
      <c r="C749" s="30"/>
      <c r="E749" s="30"/>
      <c r="F749" s="30"/>
      <c r="I749" s="30"/>
    </row>
    <row r="750">
      <c r="B750" s="30"/>
      <c r="C750" s="30"/>
      <c r="E750" s="30"/>
      <c r="F750" s="30"/>
      <c r="I750" s="30"/>
    </row>
    <row r="751">
      <c r="B751" s="30"/>
      <c r="C751" s="30"/>
      <c r="E751" s="30"/>
      <c r="F751" s="30"/>
      <c r="I751" s="30"/>
    </row>
    <row r="752">
      <c r="B752" s="30"/>
      <c r="C752" s="30"/>
      <c r="E752" s="30"/>
      <c r="F752" s="30"/>
      <c r="I752" s="30"/>
    </row>
    <row r="753">
      <c r="B753" s="30"/>
      <c r="C753" s="30"/>
      <c r="E753" s="30"/>
      <c r="F753" s="30"/>
      <c r="I753" s="30"/>
    </row>
    <row r="754">
      <c r="B754" s="30"/>
      <c r="C754" s="30"/>
      <c r="E754" s="30"/>
      <c r="F754" s="30"/>
      <c r="I754" s="30"/>
    </row>
    <row r="755">
      <c r="B755" s="30"/>
      <c r="C755" s="30"/>
      <c r="E755" s="30"/>
      <c r="F755" s="30"/>
      <c r="I755" s="30"/>
    </row>
    <row r="756">
      <c r="B756" s="30"/>
      <c r="C756" s="30"/>
      <c r="E756" s="30"/>
      <c r="F756" s="30"/>
      <c r="I756" s="30"/>
    </row>
    <row r="757">
      <c r="B757" s="30"/>
      <c r="C757" s="30"/>
      <c r="E757" s="30"/>
      <c r="F757" s="30"/>
      <c r="I757" s="30"/>
    </row>
    <row r="758">
      <c r="B758" s="30"/>
      <c r="C758" s="30"/>
      <c r="E758" s="30"/>
      <c r="F758" s="30"/>
      <c r="I758" s="30"/>
    </row>
    <row r="759">
      <c r="B759" s="30"/>
      <c r="C759" s="30"/>
      <c r="E759" s="30"/>
      <c r="F759" s="30"/>
      <c r="I759" s="30"/>
    </row>
    <row r="760">
      <c r="B760" s="30"/>
      <c r="C760" s="30"/>
      <c r="E760" s="30"/>
      <c r="F760" s="30"/>
      <c r="I760" s="30"/>
    </row>
    <row r="761">
      <c r="B761" s="30"/>
      <c r="C761" s="30"/>
      <c r="E761" s="30"/>
      <c r="F761" s="30"/>
      <c r="I761" s="30"/>
    </row>
    <row r="762">
      <c r="B762" s="30"/>
      <c r="C762" s="30"/>
      <c r="E762" s="30"/>
      <c r="F762" s="30"/>
      <c r="I762" s="30"/>
    </row>
    <row r="763">
      <c r="B763" s="30"/>
      <c r="C763" s="30"/>
      <c r="E763" s="30"/>
      <c r="F763" s="30"/>
      <c r="I763" s="30"/>
    </row>
    <row r="764">
      <c r="B764" s="30"/>
      <c r="C764" s="30"/>
      <c r="E764" s="30"/>
      <c r="F764" s="30"/>
      <c r="I764" s="30"/>
    </row>
    <row r="765">
      <c r="B765" s="30"/>
      <c r="C765" s="30"/>
      <c r="E765" s="30"/>
      <c r="F765" s="30"/>
      <c r="I765" s="30"/>
    </row>
    <row r="766">
      <c r="B766" s="30"/>
      <c r="C766" s="30"/>
      <c r="E766" s="30"/>
      <c r="F766" s="30"/>
      <c r="I766" s="30"/>
    </row>
    <row r="767">
      <c r="B767" s="30"/>
      <c r="C767" s="30"/>
      <c r="E767" s="30"/>
      <c r="F767" s="30"/>
      <c r="I767" s="30"/>
    </row>
    <row r="768">
      <c r="B768" s="30"/>
      <c r="C768" s="30"/>
      <c r="E768" s="30"/>
      <c r="F768" s="30"/>
      <c r="I768" s="30"/>
    </row>
    <row r="769">
      <c r="B769" s="30"/>
      <c r="C769" s="30"/>
      <c r="E769" s="30"/>
      <c r="F769" s="30"/>
      <c r="I769" s="30"/>
    </row>
    <row r="770">
      <c r="B770" s="30"/>
      <c r="C770" s="30"/>
      <c r="E770" s="30"/>
      <c r="F770" s="30"/>
      <c r="I770" s="30"/>
    </row>
    <row r="771">
      <c r="B771" s="30"/>
      <c r="C771" s="30"/>
      <c r="E771" s="30"/>
      <c r="F771" s="30"/>
      <c r="I771" s="30"/>
    </row>
    <row r="772">
      <c r="B772" s="30"/>
      <c r="C772" s="30"/>
      <c r="E772" s="30"/>
      <c r="F772" s="30"/>
      <c r="I772" s="30"/>
    </row>
    <row r="773">
      <c r="B773" s="30"/>
      <c r="C773" s="30"/>
      <c r="E773" s="30"/>
      <c r="F773" s="30"/>
      <c r="I773" s="30"/>
    </row>
    <row r="774">
      <c r="B774" s="30"/>
      <c r="C774" s="30"/>
      <c r="E774" s="30"/>
      <c r="F774" s="30"/>
      <c r="I774" s="30"/>
    </row>
    <row r="775">
      <c r="B775" s="30"/>
      <c r="C775" s="30"/>
      <c r="E775" s="30"/>
      <c r="F775" s="30"/>
      <c r="I775" s="30"/>
    </row>
    <row r="776">
      <c r="B776" s="30"/>
      <c r="C776" s="30"/>
      <c r="E776" s="30"/>
      <c r="F776" s="30"/>
      <c r="I776" s="30"/>
    </row>
    <row r="777">
      <c r="B777" s="30"/>
      <c r="C777" s="30"/>
      <c r="E777" s="30"/>
      <c r="F777" s="30"/>
      <c r="I777" s="30"/>
    </row>
    <row r="778">
      <c r="B778" s="30"/>
      <c r="C778" s="30"/>
      <c r="E778" s="30"/>
      <c r="F778" s="30"/>
      <c r="I778" s="30"/>
    </row>
    <row r="779">
      <c r="B779" s="30"/>
      <c r="C779" s="30"/>
      <c r="E779" s="30"/>
      <c r="F779" s="30"/>
      <c r="I779" s="30"/>
    </row>
    <row r="780">
      <c r="B780" s="30"/>
      <c r="C780" s="30"/>
      <c r="E780" s="30"/>
      <c r="F780" s="30"/>
      <c r="I780" s="30"/>
    </row>
    <row r="781">
      <c r="B781" s="30"/>
      <c r="C781" s="30"/>
      <c r="E781" s="30"/>
      <c r="F781" s="30"/>
      <c r="I781" s="30"/>
    </row>
    <row r="782">
      <c r="B782" s="30"/>
      <c r="C782" s="30"/>
      <c r="E782" s="30"/>
      <c r="F782" s="30"/>
      <c r="I782" s="30"/>
    </row>
    <row r="783">
      <c r="B783" s="30"/>
      <c r="C783" s="30"/>
      <c r="E783" s="30"/>
      <c r="F783" s="30"/>
      <c r="I783" s="30"/>
    </row>
    <row r="784">
      <c r="B784" s="30"/>
      <c r="C784" s="30"/>
      <c r="E784" s="30"/>
      <c r="F784" s="30"/>
      <c r="I784" s="30"/>
    </row>
    <row r="785">
      <c r="B785" s="30"/>
      <c r="C785" s="30"/>
      <c r="E785" s="30"/>
      <c r="F785" s="30"/>
      <c r="I785" s="30"/>
    </row>
    <row r="786">
      <c r="B786" s="30"/>
      <c r="C786" s="30"/>
      <c r="E786" s="30"/>
      <c r="F786" s="30"/>
      <c r="I786" s="30"/>
    </row>
    <row r="787">
      <c r="B787" s="30"/>
      <c r="C787" s="30"/>
      <c r="E787" s="30"/>
      <c r="F787" s="30"/>
      <c r="I787" s="30"/>
    </row>
    <row r="788">
      <c r="B788" s="30"/>
      <c r="C788" s="30"/>
      <c r="E788" s="30"/>
      <c r="F788" s="30"/>
      <c r="I788" s="30"/>
    </row>
    <row r="789">
      <c r="B789" s="30"/>
      <c r="C789" s="30"/>
      <c r="E789" s="30"/>
      <c r="F789" s="30"/>
      <c r="I789" s="30"/>
    </row>
    <row r="790">
      <c r="B790" s="30"/>
      <c r="C790" s="30"/>
      <c r="E790" s="30"/>
      <c r="F790" s="30"/>
      <c r="I790" s="30"/>
    </row>
    <row r="791">
      <c r="B791" s="30"/>
      <c r="C791" s="30"/>
      <c r="E791" s="30"/>
      <c r="F791" s="30"/>
      <c r="I791" s="30"/>
    </row>
    <row r="792">
      <c r="B792" s="30"/>
      <c r="C792" s="30"/>
      <c r="E792" s="30"/>
      <c r="F792" s="30"/>
      <c r="I792" s="30"/>
    </row>
    <row r="793">
      <c r="B793" s="30"/>
      <c r="C793" s="30"/>
      <c r="E793" s="30"/>
      <c r="F793" s="30"/>
      <c r="I793" s="30"/>
    </row>
    <row r="794">
      <c r="B794" s="30"/>
      <c r="C794" s="30"/>
      <c r="E794" s="30"/>
      <c r="F794" s="30"/>
      <c r="I794" s="30"/>
    </row>
    <row r="795">
      <c r="B795" s="30"/>
      <c r="C795" s="30"/>
      <c r="E795" s="30"/>
      <c r="F795" s="30"/>
      <c r="I795" s="30"/>
    </row>
    <row r="796">
      <c r="B796" s="30"/>
      <c r="C796" s="30"/>
      <c r="E796" s="30"/>
      <c r="F796" s="30"/>
      <c r="I796" s="30"/>
    </row>
    <row r="797">
      <c r="B797" s="30"/>
      <c r="C797" s="30"/>
      <c r="E797" s="30"/>
      <c r="F797" s="30"/>
      <c r="I797" s="30"/>
    </row>
    <row r="798">
      <c r="B798" s="30"/>
      <c r="C798" s="30"/>
      <c r="E798" s="30"/>
      <c r="F798" s="30"/>
      <c r="I798" s="30"/>
    </row>
    <row r="799">
      <c r="B799" s="30"/>
      <c r="C799" s="30"/>
      <c r="E799" s="30"/>
      <c r="F799" s="30"/>
      <c r="I799" s="30"/>
    </row>
    <row r="800">
      <c r="B800" s="30"/>
      <c r="C800" s="30"/>
      <c r="E800" s="30"/>
      <c r="F800" s="30"/>
      <c r="I800" s="30"/>
    </row>
    <row r="801">
      <c r="B801" s="30"/>
      <c r="C801" s="30"/>
      <c r="E801" s="30"/>
      <c r="F801" s="30"/>
      <c r="I801" s="30"/>
    </row>
    <row r="802">
      <c r="B802" s="30"/>
      <c r="C802" s="30"/>
      <c r="E802" s="30"/>
      <c r="F802" s="30"/>
      <c r="I802" s="30"/>
    </row>
    <row r="803">
      <c r="B803" s="30"/>
      <c r="C803" s="30"/>
      <c r="E803" s="30"/>
      <c r="F803" s="30"/>
      <c r="I803" s="30"/>
    </row>
    <row r="804">
      <c r="B804" s="30"/>
      <c r="C804" s="30"/>
      <c r="E804" s="30"/>
      <c r="F804" s="30"/>
      <c r="I804" s="30"/>
    </row>
    <row r="805">
      <c r="B805" s="30"/>
      <c r="C805" s="30"/>
      <c r="E805" s="30"/>
      <c r="F805" s="30"/>
      <c r="I805" s="30"/>
    </row>
    <row r="806">
      <c r="B806" s="30"/>
      <c r="C806" s="30"/>
      <c r="E806" s="30"/>
      <c r="F806" s="30"/>
      <c r="I806" s="30"/>
    </row>
    <row r="807">
      <c r="B807" s="30"/>
      <c r="C807" s="30"/>
      <c r="E807" s="30"/>
      <c r="F807" s="30"/>
      <c r="I807" s="30"/>
    </row>
    <row r="808">
      <c r="B808" s="30"/>
      <c r="C808" s="30"/>
      <c r="E808" s="30"/>
      <c r="F808" s="30"/>
      <c r="I808" s="30"/>
    </row>
    <row r="809">
      <c r="B809" s="30"/>
      <c r="C809" s="30"/>
      <c r="E809" s="30"/>
      <c r="F809" s="30"/>
      <c r="I809" s="30"/>
    </row>
    <row r="810">
      <c r="B810" s="30"/>
      <c r="C810" s="30"/>
      <c r="E810" s="30"/>
      <c r="F810" s="30"/>
      <c r="I810" s="30"/>
    </row>
    <row r="811">
      <c r="B811" s="30"/>
      <c r="C811" s="30"/>
      <c r="E811" s="30"/>
      <c r="F811" s="30"/>
      <c r="I811" s="30"/>
    </row>
    <row r="812">
      <c r="B812" s="30"/>
      <c r="C812" s="30"/>
      <c r="E812" s="30"/>
      <c r="F812" s="30"/>
      <c r="I812" s="30"/>
    </row>
    <row r="813">
      <c r="B813" s="30"/>
      <c r="C813" s="30"/>
      <c r="E813" s="30"/>
      <c r="F813" s="30"/>
      <c r="I813" s="30"/>
    </row>
    <row r="814">
      <c r="B814" s="30"/>
      <c r="C814" s="30"/>
      <c r="E814" s="30"/>
      <c r="F814" s="30"/>
      <c r="I814" s="30"/>
    </row>
    <row r="815">
      <c r="B815" s="30"/>
      <c r="C815" s="30"/>
      <c r="E815" s="30"/>
      <c r="F815" s="30"/>
      <c r="I815" s="30"/>
    </row>
    <row r="816">
      <c r="B816" s="30"/>
      <c r="C816" s="30"/>
      <c r="E816" s="30"/>
      <c r="F816" s="30"/>
      <c r="I816" s="30"/>
    </row>
    <row r="817">
      <c r="B817" s="30"/>
      <c r="C817" s="30"/>
      <c r="E817" s="30"/>
      <c r="F817" s="30"/>
      <c r="I817" s="30"/>
    </row>
    <row r="818">
      <c r="B818" s="30"/>
      <c r="C818" s="30"/>
      <c r="E818" s="30"/>
      <c r="F818" s="30"/>
      <c r="I818" s="30"/>
    </row>
    <row r="819">
      <c r="B819" s="30"/>
      <c r="C819" s="30"/>
      <c r="E819" s="30"/>
      <c r="F819" s="30"/>
      <c r="I819" s="30"/>
    </row>
    <row r="820">
      <c r="B820" s="30"/>
      <c r="C820" s="30"/>
      <c r="E820" s="30"/>
      <c r="F820" s="30"/>
      <c r="I820" s="30"/>
    </row>
    <row r="821">
      <c r="B821" s="30"/>
      <c r="C821" s="30"/>
      <c r="E821" s="30"/>
      <c r="F821" s="30"/>
      <c r="I821" s="30"/>
    </row>
    <row r="822">
      <c r="B822" s="30"/>
      <c r="C822" s="30"/>
      <c r="E822" s="30"/>
      <c r="F822" s="30"/>
      <c r="I822" s="30"/>
    </row>
    <row r="823">
      <c r="B823" s="30"/>
      <c r="C823" s="30"/>
      <c r="E823" s="30"/>
      <c r="F823" s="30"/>
      <c r="I823" s="30"/>
    </row>
    <row r="824">
      <c r="B824" s="30"/>
      <c r="C824" s="30"/>
      <c r="E824" s="30"/>
      <c r="F824" s="30"/>
      <c r="I824" s="30"/>
    </row>
    <row r="825">
      <c r="B825" s="30"/>
      <c r="C825" s="30"/>
      <c r="E825" s="30"/>
      <c r="F825" s="30"/>
      <c r="I825" s="30"/>
    </row>
    <row r="826">
      <c r="B826" s="30"/>
      <c r="C826" s="30"/>
      <c r="E826" s="30"/>
      <c r="F826" s="30"/>
      <c r="I826" s="30"/>
    </row>
    <row r="827">
      <c r="B827" s="30"/>
      <c r="C827" s="30"/>
      <c r="E827" s="30"/>
      <c r="F827" s="30"/>
      <c r="I827" s="30"/>
    </row>
    <row r="828">
      <c r="B828" s="30"/>
      <c r="C828" s="30"/>
      <c r="E828" s="30"/>
      <c r="F828" s="30"/>
      <c r="I828" s="30"/>
    </row>
    <row r="829">
      <c r="B829" s="30"/>
      <c r="C829" s="30"/>
      <c r="E829" s="30"/>
      <c r="F829" s="30"/>
      <c r="I829" s="30"/>
    </row>
    <row r="830">
      <c r="B830" s="30"/>
      <c r="C830" s="30"/>
      <c r="E830" s="30"/>
      <c r="F830" s="30"/>
      <c r="I830" s="30"/>
    </row>
    <row r="831">
      <c r="B831" s="30"/>
      <c r="C831" s="30"/>
      <c r="E831" s="30"/>
      <c r="F831" s="30"/>
      <c r="I831" s="30"/>
    </row>
    <row r="832">
      <c r="B832" s="30"/>
      <c r="C832" s="30"/>
      <c r="E832" s="30"/>
      <c r="F832" s="30"/>
      <c r="I832" s="30"/>
    </row>
    <row r="833">
      <c r="B833" s="30"/>
      <c r="C833" s="30"/>
      <c r="E833" s="30"/>
      <c r="F833" s="30"/>
      <c r="I833" s="30"/>
    </row>
    <row r="834">
      <c r="B834" s="30"/>
      <c r="C834" s="30"/>
      <c r="E834" s="30"/>
      <c r="F834" s="30"/>
      <c r="I834" s="30"/>
    </row>
    <row r="835">
      <c r="B835" s="30"/>
      <c r="C835" s="30"/>
      <c r="E835" s="30"/>
      <c r="F835" s="30"/>
      <c r="I835" s="30"/>
    </row>
    <row r="836">
      <c r="B836" s="30"/>
      <c r="C836" s="30"/>
      <c r="E836" s="30"/>
      <c r="F836" s="30"/>
      <c r="I836" s="30"/>
    </row>
    <row r="837">
      <c r="B837" s="30"/>
      <c r="C837" s="30"/>
      <c r="E837" s="30"/>
      <c r="F837" s="30"/>
      <c r="I837" s="30"/>
    </row>
    <row r="838">
      <c r="B838" s="30"/>
      <c r="C838" s="30"/>
      <c r="E838" s="30"/>
      <c r="F838" s="30"/>
      <c r="I838" s="30"/>
    </row>
    <row r="839">
      <c r="B839" s="30"/>
      <c r="C839" s="30"/>
      <c r="E839" s="30"/>
      <c r="F839" s="30"/>
      <c r="I839" s="30"/>
    </row>
    <row r="840">
      <c r="B840" s="30"/>
      <c r="C840" s="30"/>
      <c r="E840" s="30"/>
      <c r="F840" s="30"/>
      <c r="I840" s="30"/>
    </row>
    <row r="841">
      <c r="B841" s="30"/>
      <c r="C841" s="30"/>
      <c r="E841" s="30"/>
      <c r="F841" s="30"/>
      <c r="I841" s="30"/>
    </row>
    <row r="842">
      <c r="B842" s="30"/>
      <c r="C842" s="30"/>
      <c r="E842" s="30"/>
      <c r="F842" s="30"/>
      <c r="I842" s="30"/>
    </row>
    <row r="843">
      <c r="B843" s="30"/>
      <c r="C843" s="30"/>
      <c r="E843" s="30"/>
      <c r="F843" s="30"/>
      <c r="I843" s="30"/>
    </row>
    <row r="844">
      <c r="B844" s="30"/>
      <c r="C844" s="30"/>
      <c r="E844" s="30"/>
      <c r="F844" s="30"/>
      <c r="I844" s="30"/>
    </row>
    <row r="845">
      <c r="B845" s="30"/>
      <c r="C845" s="30"/>
      <c r="E845" s="30"/>
      <c r="F845" s="30"/>
      <c r="I845" s="30"/>
    </row>
    <row r="846">
      <c r="B846" s="30"/>
      <c r="C846" s="30"/>
      <c r="E846" s="30"/>
      <c r="F846" s="30"/>
      <c r="I846" s="30"/>
    </row>
    <row r="847">
      <c r="B847" s="30"/>
      <c r="C847" s="30"/>
      <c r="E847" s="30"/>
      <c r="F847" s="30"/>
      <c r="I847" s="30"/>
    </row>
    <row r="848">
      <c r="B848" s="30"/>
      <c r="C848" s="30"/>
      <c r="E848" s="30"/>
      <c r="F848" s="30"/>
      <c r="I848" s="30"/>
    </row>
    <row r="849">
      <c r="B849" s="30"/>
      <c r="C849" s="30"/>
      <c r="E849" s="30"/>
      <c r="F849" s="30"/>
      <c r="I849" s="30"/>
    </row>
    <row r="850">
      <c r="B850" s="30"/>
      <c r="C850" s="30"/>
      <c r="E850" s="30"/>
      <c r="F850" s="30"/>
      <c r="I850" s="30"/>
    </row>
    <row r="851">
      <c r="B851" s="30"/>
      <c r="C851" s="30"/>
      <c r="E851" s="30"/>
      <c r="F851" s="30"/>
      <c r="I851" s="30"/>
    </row>
    <row r="852">
      <c r="B852" s="30"/>
      <c r="C852" s="30"/>
      <c r="E852" s="30"/>
      <c r="F852" s="30"/>
      <c r="I852" s="30"/>
    </row>
    <row r="853">
      <c r="B853" s="30"/>
      <c r="C853" s="30"/>
      <c r="E853" s="30"/>
      <c r="F853" s="30"/>
      <c r="I853" s="30"/>
    </row>
    <row r="854">
      <c r="B854" s="30"/>
      <c r="C854" s="30"/>
      <c r="E854" s="30"/>
      <c r="F854" s="30"/>
      <c r="I854" s="30"/>
    </row>
    <row r="855">
      <c r="B855" s="30"/>
      <c r="C855" s="30"/>
      <c r="E855" s="30"/>
      <c r="F855" s="30"/>
      <c r="I855" s="30"/>
    </row>
    <row r="856">
      <c r="B856" s="30"/>
      <c r="C856" s="30"/>
      <c r="E856" s="30"/>
      <c r="F856" s="30"/>
      <c r="I856" s="30"/>
    </row>
    <row r="857">
      <c r="B857" s="30"/>
      <c r="C857" s="30"/>
      <c r="E857" s="30"/>
      <c r="F857" s="30"/>
      <c r="I857" s="30"/>
    </row>
    <row r="858">
      <c r="B858" s="30"/>
      <c r="C858" s="30"/>
      <c r="E858" s="30"/>
      <c r="F858" s="30"/>
      <c r="I858" s="30"/>
    </row>
    <row r="859">
      <c r="B859" s="30"/>
      <c r="C859" s="30"/>
      <c r="E859" s="30"/>
      <c r="F859" s="30"/>
      <c r="I859" s="30"/>
    </row>
    <row r="860">
      <c r="B860" s="30"/>
      <c r="C860" s="30"/>
      <c r="E860" s="30"/>
      <c r="F860" s="30"/>
      <c r="I860" s="30"/>
    </row>
    <row r="861">
      <c r="B861" s="30"/>
      <c r="C861" s="30"/>
      <c r="E861" s="30"/>
      <c r="F861" s="30"/>
      <c r="I861" s="30"/>
    </row>
    <row r="862">
      <c r="B862" s="30"/>
      <c r="C862" s="30"/>
      <c r="E862" s="30"/>
      <c r="F862" s="30"/>
      <c r="I862" s="30"/>
    </row>
    <row r="863">
      <c r="B863" s="30"/>
      <c r="C863" s="30"/>
      <c r="E863" s="30"/>
      <c r="F863" s="30"/>
      <c r="I863" s="30"/>
    </row>
    <row r="864">
      <c r="B864" s="30"/>
      <c r="C864" s="30"/>
      <c r="E864" s="30"/>
      <c r="F864" s="30"/>
      <c r="I864" s="30"/>
    </row>
    <row r="865">
      <c r="B865" s="30"/>
      <c r="C865" s="30"/>
      <c r="E865" s="30"/>
      <c r="F865" s="30"/>
      <c r="I865" s="30"/>
    </row>
    <row r="866">
      <c r="B866" s="30"/>
      <c r="C866" s="30"/>
      <c r="E866" s="30"/>
      <c r="F866" s="30"/>
      <c r="I866" s="30"/>
    </row>
    <row r="867">
      <c r="B867" s="30"/>
      <c r="C867" s="30"/>
      <c r="E867" s="30"/>
      <c r="F867" s="30"/>
      <c r="I867" s="30"/>
    </row>
    <row r="868">
      <c r="B868" s="30"/>
      <c r="C868" s="30"/>
      <c r="E868" s="30"/>
      <c r="F868" s="30"/>
      <c r="I868" s="30"/>
    </row>
    <row r="869">
      <c r="B869" s="30"/>
      <c r="C869" s="30"/>
      <c r="E869" s="30"/>
      <c r="F869" s="30"/>
      <c r="I869" s="30"/>
    </row>
    <row r="870">
      <c r="B870" s="30"/>
      <c r="C870" s="30"/>
      <c r="E870" s="30"/>
      <c r="F870" s="30"/>
      <c r="I870" s="30"/>
    </row>
    <row r="871">
      <c r="B871" s="30"/>
      <c r="C871" s="30"/>
      <c r="E871" s="30"/>
      <c r="F871" s="30"/>
      <c r="I871" s="30"/>
    </row>
    <row r="872">
      <c r="B872" s="30"/>
      <c r="C872" s="30"/>
      <c r="E872" s="30"/>
      <c r="F872" s="30"/>
      <c r="I872" s="30"/>
    </row>
    <row r="873">
      <c r="B873" s="30"/>
      <c r="C873" s="30"/>
      <c r="E873" s="30"/>
      <c r="F873" s="30"/>
      <c r="I873" s="30"/>
    </row>
    <row r="874">
      <c r="B874" s="30"/>
      <c r="C874" s="30"/>
      <c r="E874" s="30"/>
      <c r="F874" s="30"/>
      <c r="I874" s="30"/>
    </row>
    <row r="875">
      <c r="B875" s="30"/>
      <c r="C875" s="30"/>
      <c r="E875" s="30"/>
      <c r="F875" s="30"/>
      <c r="I875" s="30"/>
    </row>
    <row r="876">
      <c r="B876" s="30"/>
      <c r="C876" s="30"/>
      <c r="E876" s="30"/>
      <c r="F876" s="30"/>
      <c r="I876" s="30"/>
    </row>
    <row r="877">
      <c r="B877" s="30"/>
      <c r="C877" s="30"/>
      <c r="E877" s="30"/>
      <c r="F877" s="30"/>
      <c r="I877" s="30"/>
    </row>
    <row r="878">
      <c r="B878" s="30"/>
      <c r="C878" s="30"/>
      <c r="E878" s="30"/>
      <c r="F878" s="30"/>
      <c r="I878" s="30"/>
    </row>
    <row r="879">
      <c r="B879" s="30"/>
      <c r="C879" s="30"/>
      <c r="E879" s="30"/>
      <c r="F879" s="30"/>
      <c r="I879" s="30"/>
    </row>
    <row r="880">
      <c r="B880" s="30"/>
      <c r="C880" s="30"/>
      <c r="E880" s="30"/>
      <c r="F880" s="30"/>
      <c r="I880" s="30"/>
    </row>
    <row r="881">
      <c r="B881" s="30"/>
      <c r="C881" s="30"/>
      <c r="E881" s="30"/>
      <c r="F881" s="30"/>
      <c r="I881" s="30"/>
    </row>
    <row r="882">
      <c r="B882" s="30"/>
      <c r="C882" s="30"/>
      <c r="E882" s="30"/>
      <c r="F882" s="30"/>
      <c r="I882" s="30"/>
    </row>
    <row r="883">
      <c r="B883" s="30"/>
      <c r="C883" s="30"/>
      <c r="E883" s="30"/>
      <c r="F883" s="30"/>
      <c r="I883" s="30"/>
    </row>
    <row r="884">
      <c r="B884" s="30"/>
      <c r="C884" s="30"/>
      <c r="E884" s="30"/>
      <c r="F884" s="30"/>
      <c r="I884" s="30"/>
    </row>
    <row r="885">
      <c r="B885" s="30"/>
      <c r="C885" s="30"/>
      <c r="E885" s="30"/>
      <c r="F885" s="30"/>
      <c r="I885" s="30"/>
    </row>
    <row r="886">
      <c r="B886" s="30"/>
      <c r="C886" s="30"/>
      <c r="E886" s="30"/>
      <c r="F886" s="30"/>
      <c r="I886" s="30"/>
    </row>
    <row r="887">
      <c r="B887" s="30"/>
      <c r="C887" s="30"/>
      <c r="E887" s="30"/>
      <c r="F887" s="30"/>
      <c r="I887" s="30"/>
    </row>
    <row r="888">
      <c r="B888" s="30"/>
      <c r="C888" s="30"/>
      <c r="E888" s="30"/>
      <c r="F888" s="30"/>
      <c r="I888" s="30"/>
    </row>
    <row r="889">
      <c r="B889" s="30"/>
      <c r="C889" s="30"/>
      <c r="E889" s="30"/>
      <c r="F889" s="30"/>
      <c r="I889" s="30"/>
    </row>
    <row r="890">
      <c r="B890" s="30"/>
      <c r="C890" s="30"/>
      <c r="E890" s="30"/>
      <c r="F890" s="30"/>
      <c r="I890" s="30"/>
    </row>
    <row r="891">
      <c r="B891" s="30"/>
      <c r="C891" s="30"/>
      <c r="E891" s="30"/>
      <c r="F891" s="30"/>
      <c r="I891" s="30"/>
    </row>
    <row r="892">
      <c r="B892" s="30"/>
      <c r="C892" s="30"/>
      <c r="E892" s="30"/>
      <c r="F892" s="30"/>
      <c r="I892" s="30"/>
    </row>
    <row r="893">
      <c r="B893" s="30"/>
      <c r="C893" s="30"/>
      <c r="E893" s="30"/>
      <c r="F893" s="30"/>
      <c r="I893" s="30"/>
    </row>
    <row r="894">
      <c r="B894" s="30"/>
      <c r="C894" s="30"/>
      <c r="E894" s="30"/>
      <c r="F894" s="30"/>
      <c r="I894" s="30"/>
    </row>
    <row r="895">
      <c r="B895" s="30"/>
      <c r="C895" s="30"/>
      <c r="E895" s="30"/>
      <c r="F895" s="30"/>
      <c r="I895" s="30"/>
    </row>
    <row r="896">
      <c r="B896" s="30"/>
      <c r="C896" s="30"/>
      <c r="E896" s="30"/>
      <c r="F896" s="30"/>
      <c r="I896" s="30"/>
    </row>
    <row r="897">
      <c r="B897" s="30"/>
      <c r="C897" s="30"/>
      <c r="E897" s="30"/>
      <c r="F897" s="30"/>
      <c r="I897" s="30"/>
    </row>
    <row r="898">
      <c r="B898" s="30"/>
      <c r="C898" s="30"/>
      <c r="E898" s="30"/>
      <c r="F898" s="30"/>
      <c r="I898" s="30"/>
    </row>
    <row r="899">
      <c r="B899" s="30"/>
      <c r="C899" s="30"/>
      <c r="E899" s="30"/>
      <c r="F899" s="30"/>
      <c r="I899" s="30"/>
    </row>
    <row r="900">
      <c r="B900" s="30"/>
      <c r="C900" s="30"/>
      <c r="E900" s="30"/>
      <c r="F900" s="30"/>
      <c r="I900" s="30"/>
    </row>
    <row r="901">
      <c r="B901" s="30"/>
      <c r="C901" s="30"/>
      <c r="E901" s="30"/>
      <c r="F901" s="30"/>
      <c r="I901" s="30"/>
    </row>
    <row r="902">
      <c r="B902" s="30"/>
      <c r="C902" s="30"/>
      <c r="E902" s="30"/>
      <c r="F902" s="30"/>
      <c r="I902" s="30"/>
    </row>
    <row r="903">
      <c r="B903" s="30"/>
      <c r="C903" s="30"/>
      <c r="E903" s="30"/>
      <c r="F903" s="30"/>
      <c r="I903" s="30"/>
    </row>
    <row r="904">
      <c r="B904" s="30"/>
      <c r="C904" s="30"/>
      <c r="E904" s="30"/>
      <c r="F904" s="30"/>
      <c r="I904" s="30"/>
    </row>
    <row r="905">
      <c r="B905" s="30"/>
      <c r="C905" s="30"/>
      <c r="E905" s="30"/>
      <c r="F905" s="30"/>
      <c r="I905" s="30"/>
    </row>
    <row r="906">
      <c r="B906" s="30"/>
      <c r="C906" s="30"/>
      <c r="E906" s="30"/>
      <c r="F906" s="30"/>
      <c r="I906" s="30"/>
    </row>
    <row r="907">
      <c r="B907" s="30"/>
      <c r="C907" s="30"/>
      <c r="E907" s="30"/>
      <c r="F907" s="30"/>
      <c r="I907" s="30"/>
    </row>
    <row r="908">
      <c r="B908" s="30"/>
      <c r="C908" s="30"/>
      <c r="E908" s="30"/>
      <c r="F908" s="30"/>
      <c r="I908" s="30"/>
    </row>
    <row r="909">
      <c r="B909" s="30"/>
      <c r="C909" s="30"/>
      <c r="E909" s="30"/>
      <c r="F909" s="30"/>
      <c r="I909" s="30"/>
    </row>
    <row r="910">
      <c r="B910" s="30"/>
      <c r="C910" s="30"/>
      <c r="E910" s="30"/>
      <c r="F910" s="30"/>
      <c r="I910" s="30"/>
    </row>
    <row r="911">
      <c r="B911" s="30"/>
      <c r="C911" s="30"/>
      <c r="E911" s="30"/>
      <c r="F911" s="30"/>
      <c r="I911" s="30"/>
    </row>
    <row r="912">
      <c r="B912" s="30"/>
      <c r="C912" s="30"/>
      <c r="E912" s="30"/>
      <c r="F912" s="30"/>
      <c r="I912" s="30"/>
    </row>
    <row r="913">
      <c r="B913" s="30"/>
      <c r="C913" s="30"/>
      <c r="E913" s="30"/>
      <c r="F913" s="30"/>
      <c r="I913" s="30"/>
    </row>
    <row r="914">
      <c r="B914" s="30"/>
      <c r="C914" s="30"/>
      <c r="E914" s="30"/>
      <c r="F914" s="30"/>
      <c r="I914" s="30"/>
    </row>
    <row r="915">
      <c r="B915" s="30"/>
      <c r="C915" s="30"/>
      <c r="E915" s="30"/>
      <c r="F915" s="30"/>
      <c r="I915" s="30"/>
    </row>
    <row r="916">
      <c r="B916" s="30"/>
      <c r="C916" s="30"/>
      <c r="E916" s="30"/>
      <c r="F916" s="30"/>
      <c r="I916" s="30"/>
    </row>
    <row r="917">
      <c r="B917" s="30"/>
      <c r="C917" s="30"/>
      <c r="E917" s="30"/>
      <c r="F917" s="30"/>
      <c r="I917" s="30"/>
    </row>
    <row r="918">
      <c r="B918" s="30"/>
      <c r="C918" s="30"/>
      <c r="E918" s="30"/>
      <c r="F918" s="30"/>
      <c r="I918" s="30"/>
    </row>
    <row r="919">
      <c r="B919" s="30"/>
      <c r="C919" s="30"/>
      <c r="E919" s="30"/>
      <c r="F919" s="30"/>
      <c r="I919" s="30"/>
    </row>
    <row r="920">
      <c r="B920" s="30"/>
      <c r="C920" s="30"/>
      <c r="E920" s="30"/>
      <c r="F920" s="30"/>
      <c r="I920" s="30"/>
    </row>
    <row r="921">
      <c r="B921" s="30"/>
      <c r="C921" s="30"/>
      <c r="E921" s="30"/>
      <c r="F921" s="30"/>
      <c r="I921" s="30"/>
    </row>
    <row r="922">
      <c r="B922" s="30"/>
      <c r="C922" s="30"/>
      <c r="E922" s="30"/>
      <c r="F922" s="30"/>
      <c r="I922" s="30"/>
    </row>
    <row r="923">
      <c r="B923" s="30"/>
      <c r="C923" s="30"/>
      <c r="E923" s="30"/>
      <c r="F923" s="30"/>
      <c r="I923" s="30"/>
    </row>
    <row r="924">
      <c r="B924" s="30"/>
      <c r="C924" s="30"/>
      <c r="E924" s="30"/>
      <c r="F924" s="30"/>
      <c r="I924" s="30"/>
    </row>
    <row r="925">
      <c r="B925" s="30"/>
      <c r="C925" s="30"/>
      <c r="E925" s="30"/>
      <c r="F925" s="30"/>
      <c r="I925" s="30"/>
    </row>
    <row r="926">
      <c r="B926" s="30"/>
      <c r="C926" s="30"/>
      <c r="E926" s="30"/>
      <c r="F926" s="30"/>
      <c r="I926" s="30"/>
    </row>
    <row r="927">
      <c r="B927" s="30"/>
      <c r="C927" s="30"/>
      <c r="E927" s="30"/>
      <c r="F927" s="30"/>
      <c r="I927" s="30"/>
    </row>
    <row r="928">
      <c r="B928" s="30"/>
      <c r="C928" s="30"/>
      <c r="E928" s="30"/>
      <c r="F928" s="30"/>
      <c r="I928" s="30"/>
    </row>
    <row r="929">
      <c r="B929" s="30"/>
      <c r="C929" s="30"/>
      <c r="E929" s="30"/>
      <c r="F929" s="30"/>
      <c r="I929" s="30"/>
    </row>
    <row r="930">
      <c r="B930" s="30"/>
      <c r="C930" s="30"/>
      <c r="E930" s="30"/>
      <c r="F930" s="30"/>
      <c r="I930" s="30"/>
    </row>
    <row r="931">
      <c r="B931" s="30"/>
      <c r="C931" s="30"/>
      <c r="E931" s="30"/>
      <c r="F931" s="30"/>
      <c r="I931" s="30"/>
    </row>
    <row r="932">
      <c r="B932" s="30"/>
      <c r="C932" s="30"/>
      <c r="E932" s="30"/>
      <c r="F932" s="30"/>
      <c r="I932" s="30"/>
    </row>
    <row r="933">
      <c r="B933" s="30"/>
      <c r="C933" s="30"/>
      <c r="E933" s="30"/>
      <c r="F933" s="30"/>
      <c r="I933" s="30"/>
    </row>
    <row r="934">
      <c r="B934" s="30"/>
      <c r="C934" s="30"/>
      <c r="E934" s="30"/>
      <c r="F934" s="30"/>
      <c r="I934" s="30"/>
    </row>
    <row r="935">
      <c r="B935" s="30"/>
      <c r="C935" s="30"/>
      <c r="E935" s="30"/>
      <c r="F935" s="30"/>
      <c r="I935" s="30"/>
    </row>
    <row r="936">
      <c r="B936" s="30"/>
      <c r="C936" s="30"/>
      <c r="E936" s="30"/>
      <c r="F936" s="30"/>
      <c r="I936" s="30"/>
    </row>
    <row r="937">
      <c r="B937" s="30"/>
      <c r="C937" s="30"/>
      <c r="E937" s="30"/>
      <c r="F937" s="30"/>
      <c r="I937" s="30"/>
    </row>
    <row r="938">
      <c r="B938" s="30"/>
      <c r="C938" s="30"/>
      <c r="E938" s="30"/>
      <c r="F938" s="30"/>
      <c r="I938" s="30"/>
    </row>
    <row r="939">
      <c r="B939" s="30"/>
      <c r="C939" s="30"/>
      <c r="E939" s="30"/>
      <c r="F939" s="30"/>
      <c r="I939" s="30"/>
    </row>
    <row r="940">
      <c r="B940" s="30"/>
      <c r="C940" s="30"/>
      <c r="E940" s="30"/>
      <c r="F940" s="30"/>
      <c r="I940" s="30"/>
    </row>
    <row r="941">
      <c r="B941" s="30"/>
      <c r="C941" s="30"/>
      <c r="E941" s="30"/>
      <c r="F941" s="30"/>
      <c r="I941" s="30"/>
    </row>
    <row r="942">
      <c r="B942" s="30"/>
      <c r="C942" s="30"/>
      <c r="E942" s="30"/>
      <c r="F942" s="30"/>
      <c r="I942" s="30"/>
    </row>
    <row r="943">
      <c r="B943" s="30"/>
      <c r="C943" s="30"/>
      <c r="E943" s="30"/>
      <c r="F943" s="30"/>
      <c r="I943" s="30"/>
    </row>
    <row r="944">
      <c r="B944" s="30"/>
      <c r="C944" s="30"/>
      <c r="E944" s="30"/>
      <c r="F944" s="30"/>
      <c r="I944" s="30"/>
    </row>
    <row r="945">
      <c r="B945" s="30"/>
      <c r="C945" s="30"/>
      <c r="E945" s="30"/>
      <c r="F945" s="30"/>
      <c r="I945" s="30"/>
    </row>
    <row r="946">
      <c r="B946" s="30"/>
      <c r="C946" s="30"/>
      <c r="E946" s="30"/>
      <c r="F946" s="30"/>
      <c r="I946" s="30"/>
    </row>
    <row r="947">
      <c r="B947" s="30"/>
      <c r="C947" s="30"/>
      <c r="E947" s="30"/>
      <c r="F947" s="30"/>
      <c r="I947" s="30"/>
    </row>
    <row r="948">
      <c r="B948" s="30"/>
      <c r="C948" s="30"/>
      <c r="E948" s="30"/>
      <c r="F948" s="30"/>
      <c r="I948" s="30"/>
    </row>
    <row r="949">
      <c r="B949" s="30"/>
      <c r="C949" s="30"/>
      <c r="E949" s="30"/>
      <c r="F949" s="30"/>
      <c r="I949" s="30"/>
    </row>
    <row r="950">
      <c r="B950" s="30"/>
      <c r="C950" s="30"/>
      <c r="E950" s="30"/>
      <c r="F950" s="30"/>
      <c r="I950" s="30"/>
    </row>
    <row r="951">
      <c r="B951" s="30"/>
      <c r="C951" s="30"/>
      <c r="E951" s="30"/>
      <c r="F951" s="30"/>
      <c r="I951" s="30"/>
    </row>
    <row r="952">
      <c r="B952" s="30"/>
      <c r="C952" s="30"/>
      <c r="E952" s="30"/>
      <c r="F952" s="30"/>
      <c r="I952" s="30"/>
    </row>
    <row r="953">
      <c r="B953" s="30"/>
      <c r="C953" s="30"/>
      <c r="E953" s="30"/>
      <c r="F953" s="30"/>
      <c r="I953" s="30"/>
    </row>
    <row r="954">
      <c r="B954" s="30"/>
      <c r="C954" s="30"/>
      <c r="E954" s="30"/>
      <c r="F954" s="30"/>
      <c r="I954" s="30"/>
    </row>
    <row r="955">
      <c r="B955" s="30"/>
      <c r="C955" s="30"/>
      <c r="E955" s="30"/>
      <c r="F955" s="30"/>
      <c r="I955" s="30"/>
    </row>
    <row r="956">
      <c r="B956" s="30"/>
      <c r="C956" s="30"/>
      <c r="E956" s="30"/>
      <c r="F956" s="30"/>
      <c r="I956" s="30"/>
    </row>
    <row r="957">
      <c r="B957" s="30"/>
      <c r="C957" s="30"/>
      <c r="E957" s="30"/>
      <c r="F957" s="30"/>
      <c r="I957" s="30"/>
    </row>
    <row r="958">
      <c r="B958" s="30"/>
      <c r="C958" s="30"/>
      <c r="E958" s="30"/>
      <c r="F958" s="30"/>
      <c r="I958" s="30"/>
    </row>
    <row r="959">
      <c r="B959" s="30"/>
      <c r="C959" s="30"/>
      <c r="E959" s="30"/>
      <c r="F959" s="30"/>
      <c r="I959" s="30"/>
    </row>
    <row r="960">
      <c r="B960" s="30"/>
      <c r="C960" s="30"/>
      <c r="E960" s="30"/>
      <c r="F960" s="30"/>
      <c r="I960" s="30"/>
    </row>
    <row r="961">
      <c r="B961" s="30"/>
      <c r="C961" s="30"/>
      <c r="E961" s="30"/>
      <c r="F961" s="30"/>
      <c r="I961" s="30"/>
    </row>
    <row r="962">
      <c r="B962" s="30"/>
      <c r="C962" s="30"/>
      <c r="E962" s="30"/>
      <c r="F962" s="30"/>
      <c r="I962" s="30"/>
    </row>
    <row r="963">
      <c r="B963" s="30"/>
      <c r="C963" s="30"/>
      <c r="E963" s="30"/>
      <c r="F963" s="30"/>
      <c r="I963" s="30"/>
    </row>
    <row r="964">
      <c r="B964" s="30"/>
      <c r="C964" s="30"/>
      <c r="E964" s="30"/>
      <c r="F964" s="30"/>
      <c r="I964" s="30"/>
    </row>
    <row r="965">
      <c r="B965" s="30"/>
      <c r="C965" s="30"/>
      <c r="E965" s="30"/>
      <c r="F965" s="30"/>
      <c r="I965" s="30"/>
    </row>
    <row r="966">
      <c r="B966" s="30"/>
      <c r="C966" s="30"/>
      <c r="E966" s="30"/>
      <c r="F966" s="30"/>
      <c r="I966" s="30"/>
    </row>
    <row r="967">
      <c r="B967" s="30"/>
      <c r="C967" s="30"/>
      <c r="E967" s="30"/>
      <c r="F967" s="30"/>
      <c r="I967" s="30"/>
    </row>
    <row r="968">
      <c r="B968" s="30"/>
      <c r="C968" s="30"/>
      <c r="E968" s="30"/>
      <c r="F968" s="30"/>
      <c r="I968" s="30"/>
    </row>
    <row r="969">
      <c r="B969" s="30"/>
      <c r="C969" s="30"/>
      <c r="E969" s="30"/>
      <c r="F969" s="30"/>
      <c r="I969" s="30"/>
    </row>
    <row r="970">
      <c r="B970" s="30"/>
      <c r="C970" s="30"/>
      <c r="E970" s="30"/>
      <c r="F970" s="30"/>
      <c r="I970" s="30"/>
    </row>
    <row r="971">
      <c r="B971" s="30"/>
      <c r="C971" s="30"/>
      <c r="E971" s="30"/>
      <c r="F971" s="30"/>
      <c r="I971" s="30"/>
    </row>
    <row r="972">
      <c r="B972" s="30"/>
      <c r="C972" s="30"/>
      <c r="E972" s="30"/>
      <c r="F972" s="30"/>
      <c r="I972" s="30"/>
    </row>
    <row r="973">
      <c r="B973" s="30"/>
      <c r="C973" s="30"/>
      <c r="E973" s="30"/>
      <c r="F973" s="30"/>
      <c r="I973" s="30"/>
    </row>
    <row r="974">
      <c r="B974" s="30"/>
      <c r="C974" s="30"/>
      <c r="E974" s="30"/>
      <c r="F974" s="30"/>
      <c r="I974" s="30"/>
    </row>
    <row r="975">
      <c r="B975" s="30"/>
      <c r="C975" s="30"/>
      <c r="E975" s="30"/>
      <c r="F975" s="30"/>
      <c r="I975" s="30"/>
    </row>
    <row r="976">
      <c r="B976" s="30"/>
      <c r="C976" s="30"/>
      <c r="E976" s="30"/>
      <c r="F976" s="30"/>
      <c r="I976" s="30"/>
    </row>
    <row r="977">
      <c r="B977" s="30"/>
      <c r="C977" s="30"/>
      <c r="E977" s="30"/>
      <c r="F977" s="30"/>
      <c r="I977" s="30"/>
    </row>
    <row r="978">
      <c r="B978" s="30"/>
      <c r="C978" s="30"/>
      <c r="E978" s="30"/>
      <c r="F978" s="30"/>
      <c r="I978" s="30"/>
    </row>
    <row r="979">
      <c r="B979" s="30"/>
      <c r="C979" s="30"/>
      <c r="E979" s="30"/>
      <c r="F979" s="30"/>
      <c r="I979" s="30"/>
    </row>
    <row r="980">
      <c r="B980" s="30"/>
      <c r="C980" s="30"/>
      <c r="E980" s="30"/>
      <c r="F980" s="30"/>
      <c r="I980" s="30"/>
    </row>
    <row r="981">
      <c r="B981" s="30"/>
      <c r="C981" s="30"/>
      <c r="E981" s="30"/>
      <c r="F981" s="30"/>
      <c r="I981" s="30"/>
    </row>
    <row r="982">
      <c r="B982" s="30"/>
      <c r="C982" s="30"/>
      <c r="E982" s="30"/>
      <c r="F982" s="30"/>
      <c r="I982" s="30"/>
    </row>
    <row r="983">
      <c r="B983" s="30"/>
      <c r="C983" s="30"/>
      <c r="E983" s="30"/>
      <c r="F983" s="30"/>
      <c r="I983" s="30"/>
    </row>
    <row r="984">
      <c r="B984" s="30"/>
      <c r="C984" s="30"/>
      <c r="E984" s="30"/>
      <c r="F984" s="30"/>
      <c r="I984" s="30"/>
    </row>
    <row r="985">
      <c r="B985" s="30"/>
      <c r="C985" s="30"/>
      <c r="E985" s="30"/>
      <c r="F985" s="30"/>
      <c r="I985" s="30"/>
    </row>
    <row r="986">
      <c r="B986" s="30"/>
      <c r="C986" s="30"/>
      <c r="E986" s="30"/>
      <c r="F986" s="30"/>
      <c r="I986" s="30"/>
    </row>
    <row r="987">
      <c r="B987" s="30"/>
      <c r="C987" s="30"/>
      <c r="E987" s="30"/>
      <c r="F987" s="30"/>
      <c r="I987" s="30"/>
    </row>
    <row r="988">
      <c r="B988" s="30"/>
      <c r="C988" s="30"/>
      <c r="E988" s="30"/>
      <c r="F988" s="30"/>
      <c r="I988" s="30"/>
    </row>
    <row r="989">
      <c r="B989" s="30"/>
      <c r="C989" s="30"/>
      <c r="E989" s="30"/>
      <c r="F989" s="30"/>
      <c r="I989" s="30"/>
    </row>
    <row r="990">
      <c r="B990" s="30"/>
      <c r="C990" s="30"/>
      <c r="E990" s="30"/>
      <c r="F990" s="30"/>
      <c r="I990" s="30"/>
    </row>
    <row r="991">
      <c r="B991" s="30"/>
      <c r="C991" s="30"/>
      <c r="E991" s="30"/>
      <c r="F991" s="30"/>
      <c r="I991" s="30"/>
    </row>
    <row r="992">
      <c r="B992" s="30"/>
      <c r="C992" s="30"/>
      <c r="E992" s="30"/>
      <c r="F992" s="30"/>
      <c r="I992" s="30"/>
    </row>
    <row r="993">
      <c r="B993" s="30"/>
      <c r="C993" s="30"/>
      <c r="E993" s="30"/>
      <c r="F993" s="30"/>
      <c r="I993" s="30"/>
    </row>
    <row r="994">
      <c r="B994" s="30"/>
      <c r="C994" s="30"/>
      <c r="E994" s="30"/>
      <c r="F994" s="30"/>
      <c r="I994" s="30"/>
    </row>
    <row r="995">
      <c r="B995" s="30"/>
      <c r="C995" s="30"/>
      <c r="E995" s="30"/>
      <c r="F995" s="30"/>
      <c r="I995" s="30"/>
    </row>
    <row r="996">
      <c r="B996" s="30"/>
      <c r="C996" s="30"/>
      <c r="E996" s="30"/>
      <c r="F996" s="30"/>
      <c r="I996" s="30"/>
    </row>
    <row r="997">
      <c r="B997" s="30"/>
      <c r="C997" s="30"/>
      <c r="E997" s="30"/>
      <c r="F997" s="30"/>
      <c r="I997" s="30"/>
    </row>
    <row r="998">
      <c r="B998" s="30"/>
      <c r="C998" s="30"/>
      <c r="E998" s="30"/>
      <c r="F998" s="30"/>
      <c r="I998" s="30"/>
    </row>
    <row r="999">
      <c r="B999" s="30"/>
      <c r="C999" s="30"/>
      <c r="E999" s="30"/>
      <c r="F999" s="30"/>
      <c r="I999" s="30"/>
    </row>
    <row r="1000">
      <c r="B1000" s="30"/>
      <c r="C1000" s="30"/>
      <c r="E1000" s="30"/>
      <c r="F1000" s="30"/>
      <c r="I1000" s="3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5"/>
  </cols>
  <sheetData>
    <row r="1">
      <c r="A1" s="7" t="s">
        <v>157</v>
      </c>
      <c r="B1" s="28">
        <v>46215.0</v>
      </c>
      <c r="C1" s="7" t="s">
        <v>272</v>
      </c>
    </row>
    <row r="2">
      <c r="A2" s="27" t="str">
        <f>Velas!A2</f>
        <v>Vela Margarita en yeso sin tapa</v>
      </c>
      <c r="B2" s="74">
        <v>22000.0</v>
      </c>
      <c r="C2" s="25">
        <v>14354.692307692309</v>
      </c>
    </row>
    <row r="3">
      <c r="A3" s="27" t="str">
        <f>Velas!A3</f>
        <v>Vela Margarita en yeso con tapa</v>
      </c>
      <c r="B3" s="74">
        <v>25000.0</v>
      </c>
      <c r="C3" s="25">
        <v>16354.692307692309</v>
      </c>
    </row>
    <row r="4">
      <c r="A4" s="27" t="str">
        <f>Velas!A4</f>
        <v>Vela Margarita sola</v>
      </c>
      <c r="B4" s="74">
        <v>2500.0</v>
      </c>
      <c r="C4" s="25">
        <v>1685.8049837486456</v>
      </c>
    </row>
    <row r="5">
      <c r="A5" s="27" t="str">
        <f>Velas!A5</f>
        <v>Vela Margarita en papel azucar</v>
      </c>
      <c r="B5" s="74">
        <v>3500.0</v>
      </c>
      <c r="C5" s="25">
        <v>2293.83315276273</v>
      </c>
    </row>
    <row r="6">
      <c r="A6" s="27" t="str">
        <f>Velas!A6</f>
        <v>Vela Margarita en TUL</v>
      </c>
      <c r="B6" s="74">
        <v>4000.0</v>
      </c>
      <c r="C6" s="25">
        <v>2518.83315276273</v>
      </c>
    </row>
    <row r="7">
      <c r="A7" s="27" t="str">
        <f>Velas!A7</f>
        <v>Velon corto con cara de rosas mediano</v>
      </c>
      <c r="B7" s="74">
        <v>4500.0</v>
      </c>
      <c r="C7" s="25">
        <v>2891.558504875406</v>
      </c>
    </row>
    <row r="8">
      <c r="A8" s="27" t="str">
        <f>Velas!A8</f>
        <v>Vela bubble candle sola</v>
      </c>
      <c r="B8" s="74">
        <v>14000.0</v>
      </c>
      <c r="C8" s="25">
        <v>9298.692307692309</v>
      </c>
    </row>
    <row r="9">
      <c r="A9" s="27" t="str">
        <f>Velas!A9</f>
        <v>Vela ramo de tulipanes</v>
      </c>
      <c r="B9" s="74">
        <v>12000.0</v>
      </c>
      <c r="C9" s="25">
        <v>8953.347237269772</v>
      </c>
    </row>
    <row r="10">
      <c r="A10" s="27" t="str">
        <f>Velas!A10</f>
        <v>Vela Oso floreado</v>
      </c>
      <c r="B10" s="74">
        <v>10000.0</v>
      </c>
      <c r="C10" s="76">
        <v>7867.0</v>
      </c>
    </row>
    <row r="11">
      <c r="A11" s="27" t="str">
        <f>Velas!A11</f>
        <v>Vela Oso xs</v>
      </c>
      <c r="B11" s="74">
        <v>4000.0</v>
      </c>
      <c r="C11" s="6">
        <v>3342.0</v>
      </c>
    </row>
    <row r="12">
      <c r="A12" s="27" t="str">
        <f>Velas!A12</f>
        <v>Vela Repollo</v>
      </c>
      <c r="B12" s="74">
        <v>2000.0</v>
      </c>
      <c r="C12" s="25">
        <v>1277.3250270855904</v>
      </c>
    </row>
    <row r="13">
      <c r="A13" s="27" t="str">
        <f>Velas!A13</f>
        <v>Vela cactus mediana</v>
      </c>
      <c r="B13" s="74">
        <v>4000.0</v>
      </c>
      <c r="C13" s="25">
        <v>2663.803900325027</v>
      </c>
    </row>
    <row r="14">
      <c r="A14" s="27" t="str">
        <f>Velas!A14</f>
        <v>Vela Peonia XS</v>
      </c>
      <c r="B14" s="74">
        <v>2000.0</v>
      </c>
      <c r="C14" s="25">
        <v>1445.2475622968582</v>
      </c>
    </row>
    <row r="15">
      <c r="A15" s="27" t="str">
        <f>Velas!A15</f>
        <v>Vela Peonia S</v>
      </c>
      <c r="B15" s="74">
        <v>3500.0</v>
      </c>
      <c r="C15" s="25">
        <v>2361.7416034669554</v>
      </c>
    </row>
    <row r="16">
      <c r="A16" s="27" t="str">
        <f>Velas!A16</f>
        <v>Vela Peonia M</v>
      </c>
      <c r="B16" s="74">
        <v>8000.0</v>
      </c>
      <c r="C16" s="25">
        <v>5173.516251354279</v>
      </c>
    </row>
    <row r="17">
      <c r="A17" s="27" t="str">
        <f>Velas!A17</f>
        <v>Vela Leon</v>
      </c>
      <c r="B17" s="74">
        <v>3000.0</v>
      </c>
      <c r="C17" s="25">
        <v>2011.664138678223</v>
      </c>
    </row>
    <row r="18">
      <c r="A18" s="27" t="str">
        <f>Velas!A18</f>
        <v>Vela Frutilla</v>
      </c>
      <c r="B18" s="74">
        <v>6000.0</v>
      </c>
      <c r="C18" s="25">
        <v>2505.8320693391115</v>
      </c>
    </row>
    <row r="19">
      <c r="A19" s="27" t="str">
        <f>Velas!A19</f>
        <v>Vela Cebolla</v>
      </c>
      <c r="B19" s="74">
        <v>12000.0</v>
      </c>
      <c r="C19" s="25">
        <v>8033.39653304442</v>
      </c>
    </row>
    <row r="20">
      <c r="A20" s="27" t="str">
        <f>Velas!A20</f>
        <v>Vela Manzana geométrica</v>
      </c>
      <c r="B20" s="74">
        <v>9000.0</v>
      </c>
      <c r="C20" s="25">
        <v>6033.762730227519</v>
      </c>
    </row>
    <row r="21">
      <c r="A21" s="27" t="str">
        <f>Velas!A21</f>
        <v/>
      </c>
      <c r="B21" s="74">
        <v>9000.0</v>
      </c>
      <c r="C21" s="25">
        <v>6033.762730227519</v>
      </c>
    </row>
    <row r="22">
      <c r="A22" s="27" t="str">
        <f>Velas!A22</f>
        <v>Vela rosa S</v>
      </c>
      <c r="B22" s="74">
        <v>2500.0</v>
      </c>
      <c r="C22" s="25">
        <v>1743.7405200433368</v>
      </c>
    </row>
    <row r="23">
      <c r="A23" s="27" t="str">
        <f>Velas!A23</f>
        <v>Vela rosa M</v>
      </c>
      <c r="B23" s="74">
        <v>5500.0</v>
      </c>
      <c r="C23" s="25">
        <v>3604.882448537378</v>
      </c>
    </row>
    <row r="24">
      <c r="A24" s="27" t="str">
        <f>Velas!A24</f>
        <v>Vela rosa L</v>
      </c>
      <c r="B24" s="74">
        <v>9500.0</v>
      </c>
      <c r="C24" s="25">
        <v>6298.671180931744</v>
      </c>
    </row>
    <row r="25">
      <c r="A25" s="27" t="str">
        <f>Velas!A25</f>
        <v>Vela la Virgen Maria con bebé</v>
      </c>
      <c r="B25" s="74">
        <v>3000.0</v>
      </c>
      <c r="C25" s="25">
        <v>1910.9106175514626</v>
      </c>
    </row>
    <row r="26">
      <c r="A26" s="27" t="str">
        <f>Velas!A26</f>
        <v>Vela Mano Turca</v>
      </c>
      <c r="B26" s="74">
        <v>8000.0</v>
      </c>
      <c r="C26" s="25">
        <v>5376.776814734561</v>
      </c>
    </row>
    <row r="27">
      <c r="A27" s="27" t="str">
        <f>Velas!A27</f>
        <v>Vela Zuculenta Punta M</v>
      </c>
      <c r="B27" s="74">
        <v>1200.0</v>
      </c>
      <c r="C27" s="25">
        <v>794.0162513542796</v>
      </c>
    </row>
    <row r="28">
      <c r="A28" s="27" t="str">
        <f>Velas!A28</f>
        <v>Vela Zuculenta Punta S</v>
      </c>
      <c r="B28" s="74">
        <v>500.0</v>
      </c>
      <c r="C28" s="25">
        <v>270.9387865655471</v>
      </c>
    </row>
    <row r="29">
      <c r="A29" s="27" t="str">
        <f>Velas!A29</f>
        <v>Vela zuculenta redonda S</v>
      </c>
      <c r="B29" s="74">
        <v>900.0</v>
      </c>
      <c r="C29" s="25">
        <v>588.7546045503792</v>
      </c>
    </row>
    <row r="30">
      <c r="A30" s="27" t="str">
        <f>Velas!A30</f>
        <v>Vela zuculenta redonda M</v>
      </c>
      <c r="B30" s="74">
        <v>2000.0</v>
      </c>
      <c r="C30" s="25">
        <v>1328.909534127844</v>
      </c>
    </row>
    <row r="31">
      <c r="A31" s="27" t="str">
        <f>Velas!A31</f>
        <v>Vela Zuculenta Pasto</v>
      </c>
      <c r="B31" s="74">
        <v>500.0</v>
      </c>
      <c r="C31" s="25">
        <v>255.92361863488622</v>
      </c>
    </row>
    <row r="32">
      <c r="A32" s="27" t="str">
        <f>Velas!A32</f>
        <v>Vela Zuculenta rollo</v>
      </c>
      <c r="B32" s="74">
        <v>500.0</v>
      </c>
      <c r="C32" s="25">
        <v>231.92361863488622</v>
      </c>
    </row>
    <row r="33">
      <c r="A33" s="27" t="str">
        <f>Velas!A33</f>
        <v>Vela carro</v>
      </c>
      <c r="B33" s="74">
        <v>5000.0</v>
      </c>
      <c r="C33" s="25">
        <v>3329.9739978331527</v>
      </c>
    </row>
    <row r="34">
      <c r="A34" s="27" t="str">
        <f>Velas!A34</f>
        <v>Vela elefante </v>
      </c>
      <c r="B34" s="74">
        <v>8500.0</v>
      </c>
      <c r="C34" s="25">
        <v>5700.516251354279</v>
      </c>
    </row>
    <row r="35">
      <c r="A35" s="27" t="str">
        <f>Velas!A35</f>
        <v>Buquet Pequeño</v>
      </c>
      <c r="B35" s="74">
        <v>23000.0</v>
      </c>
      <c r="C35" s="25">
        <v>15963.13434452871</v>
      </c>
    </row>
    <row r="36">
      <c r="A36" s="27" t="str">
        <f>Velas!A36</f>
        <v>Vela de postre</v>
      </c>
      <c r="B36" s="74">
        <v>30000.0</v>
      </c>
      <c r="C36" s="76">
        <v>21628.0</v>
      </c>
    </row>
    <row r="37">
      <c r="A37" s="27" t="str">
        <f>Velas!A37</f>
        <v>Vela tarrito de vidrio pequeño corcho</v>
      </c>
      <c r="B37" s="74">
        <v>20000.0</v>
      </c>
      <c r="C37" s="25">
        <v>13696.0</v>
      </c>
    </row>
    <row r="38">
      <c r="A38" s="27" t="str">
        <f>Velas!A38</f>
        <v>Vela larga</v>
      </c>
      <c r="B38" s="74">
        <v>2500.0</v>
      </c>
      <c r="C38" s="25">
        <v>1542.1923076923076</v>
      </c>
    </row>
    <row r="39">
      <c r="A39" s="27" t="str">
        <f>Velas!A39</f>
        <v>Kit 4 Rosas M con empaque</v>
      </c>
      <c r="B39" s="74">
        <v>30000.0</v>
      </c>
      <c r="C39" s="25">
        <v>21919.529794149512</v>
      </c>
    </row>
    <row r="40">
      <c r="A40" s="27" t="str">
        <f>Velas!A40</f>
        <v>Wax smell 30G</v>
      </c>
      <c r="B40" s="74">
        <v>3000.0</v>
      </c>
      <c r="C40" s="25">
        <v>1848.6923076923076</v>
      </c>
    </row>
    <row r="41">
      <c r="A41" s="27" t="str">
        <f>Velas!A41</f>
        <v>Wax smell 20G</v>
      </c>
      <c r="B41" s="74">
        <v>2000.0</v>
      </c>
      <c r="C41" s="25">
        <v>1121.6923076923076</v>
      </c>
    </row>
    <row r="42">
      <c r="A42" s="27" t="str">
        <f>Velas!A42</f>
        <v>Vela pebetero</v>
      </c>
      <c r="B42" s="74">
        <v>30000.0</v>
      </c>
      <c r="C42" s="25">
        <v>29088.69230769231</v>
      </c>
    </row>
    <row r="43">
      <c r="A43" s="27" t="str">
        <f>Velas!A43</f>
        <v>Vela bautizo</v>
      </c>
      <c r="B43" s="74">
        <v>5000.0</v>
      </c>
      <c r="C43" s="25">
        <v>3397.1430119176594</v>
      </c>
    </row>
    <row r="44">
      <c r="A44" s="27" t="str">
        <f>Velas!A44</f>
        <v>Vela Virgen</v>
      </c>
      <c r="B44" s="74">
        <v>3000.0</v>
      </c>
      <c r="C44" s="25">
        <v>1934.4951245937161</v>
      </c>
    </row>
    <row r="45">
      <c r="A45" s="27" t="str">
        <f>Velas!A45</f>
        <v>Vela Perro</v>
      </c>
      <c r="B45" s="74">
        <v>3000.0</v>
      </c>
      <c r="C45" s="25">
        <v>2068.83315276273</v>
      </c>
    </row>
    <row r="46">
      <c r="A46" s="27" t="str">
        <f>Velas!A46</f>
        <v/>
      </c>
      <c r="C46" s="25"/>
    </row>
    <row r="47">
      <c r="A47" s="27" t="str">
        <f>Velas!A47</f>
        <v/>
      </c>
      <c r="C47" s="25"/>
    </row>
    <row r="48">
      <c r="A48" s="27" t="str">
        <f>Velas!A48</f>
        <v/>
      </c>
      <c r="C48" s="25"/>
    </row>
    <row r="49">
      <c r="A49" s="27" t="str">
        <f>Velas!A49</f>
        <v/>
      </c>
      <c r="C49" s="25"/>
    </row>
    <row r="50">
      <c r="A50" s="27" t="str">
        <f>Velas!A50</f>
        <v/>
      </c>
      <c r="C50" s="25"/>
    </row>
    <row r="51">
      <c r="A51" s="27" t="str">
        <f>Velas!A51</f>
        <v/>
      </c>
      <c r="C51" s="25"/>
    </row>
    <row r="52">
      <c r="A52" s="27" t="str">
        <f>Velas!A52</f>
        <v/>
      </c>
      <c r="C52" s="25"/>
    </row>
    <row r="53">
      <c r="A53" s="27" t="str">
        <f>Velas!A53</f>
        <v/>
      </c>
      <c r="C53" s="25"/>
    </row>
    <row r="54">
      <c r="A54" s="27" t="str">
        <f>Velas!A54</f>
        <v/>
      </c>
      <c r="C54" s="25"/>
    </row>
    <row r="55">
      <c r="A55" s="27" t="str">
        <f>Velas!A55</f>
        <v/>
      </c>
      <c r="C55" s="25"/>
    </row>
    <row r="56">
      <c r="A56" s="27" t="str">
        <f>Velas!A56</f>
        <v/>
      </c>
      <c r="C56" s="25"/>
    </row>
    <row r="57">
      <c r="A57" s="27" t="str">
        <f>Velas!A57</f>
        <v/>
      </c>
      <c r="C57" s="25"/>
    </row>
    <row r="58">
      <c r="A58" s="27" t="str">
        <f>Velas!A58</f>
        <v/>
      </c>
      <c r="C58" s="25"/>
    </row>
    <row r="59">
      <c r="A59" s="27" t="str">
        <f>Velas!A59</f>
        <v/>
      </c>
      <c r="C59" s="25"/>
    </row>
    <row r="60">
      <c r="A60" s="27" t="str">
        <f>Velas!A60</f>
        <v/>
      </c>
      <c r="C60" s="25"/>
    </row>
    <row r="61">
      <c r="A61" s="27" t="str">
        <f>Velas!A61</f>
        <v/>
      </c>
      <c r="C61" s="25"/>
    </row>
    <row r="62">
      <c r="A62" s="27" t="str">
        <f>Velas!A62</f>
        <v/>
      </c>
      <c r="C62" s="25"/>
    </row>
    <row r="63">
      <c r="A63" s="27" t="str">
        <f>Velas!A63</f>
        <v/>
      </c>
      <c r="C63" s="25"/>
    </row>
    <row r="64">
      <c r="A64" s="27" t="str">
        <f>Velas!A64</f>
        <v/>
      </c>
      <c r="C64" s="25"/>
    </row>
    <row r="65">
      <c r="A65" s="27" t="str">
        <f>Velas!A65</f>
        <v/>
      </c>
      <c r="C65" s="25"/>
    </row>
    <row r="66">
      <c r="A66" s="27" t="str">
        <f>Velas!A66</f>
        <v/>
      </c>
      <c r="C66" s="25"/>
    </row>
    <row r="67">
      <c r="A67" s="27" t="str">
        <f>Velas!A67</f>
        <v/>
      </c>
      <c r="C67" s="25"/>
    </row>
    <row r="68">
      <c r="A68" s="27" t="str">
        <f>Velas!A68</f>
        <v/>
      </c>
      <c r="C68" s="25"/>
    </row>
    <row r="69">
      <c r="A69" s="27" t="str">
        <f>Velas!A69</f>
        <v/>
      </c>
      <c r="C69" s="25"/>
    </row>
    <row r="70">
      <c r="A70" s="27" t="str">
        <f>Velas!A70</f>
        <v/>
      </c>
      <c r="C70" s="25"/>
    </row>
    <row r="71">
      <c r="A71" s="27" t="str">
        <f>Velas!A71</f>
        <v/>
      </c>
      <c r="C71" s="25"/>
    </row>
    <row r="72">
      <c r="A72" s="27" t="str">
        <f>Velas!A72</f>
        <v/>
      </c>
      <c r="C72" s="25"/>
    </row>
    <row r="73">
      <c r="A73" s="27" t="str">
        <f>Velas!A73</f>
        <v/>
      </c>
      <c r="C73" s="25"/>
    </row>
    <row r="74">
      <c r="A74" s="27" t="str">
        <f>Velas!A74</f>
        <v/>
      </c>
      <c r="C74" s="25"/>
    </row>
    <row r="75">
      <c r="A75" s="27" t="str">
        <f>Velas!A75</f>
        <v/>
      </c>
      <c r="C75" s="25"/>
    </row>
    <row r="76">
      <c r="A76" s="27" t="str">
        <f>Velas!A76</f>
        <v/>
      </c>
      <c r="C76" s="25"/>
    </row>
    <row r="77">
      <c r="A77" s="27" t="str">
        <f>Velas!A77</f>
        <v/>
      </c>
      <c r="C77" s="25"/>
    </row>
    <row r="78">
      <c r="A78" s="27" t="str">
        <f>Velas!A78</f>
        <v/>
      </c>
      <c r="C78" s="25"/>
    </row>
    <row r="79">
      <c r="A79" s="27" t="str">
        <f>Velas!A79</f>
        <v/>
      </c>
      <c r="C79" s="25"/>
    </row>
    <row r="80">
      <c r="A80" s="27" t="str">
        <f>Velas!A80</f>
        <v/>
      </c>
      <c r="C80" s="25"/>
    </row>
    <row r="81">
      <c r="A81" s="27" t="str">
        <f>Velas!A81</f>
        <v/>
      </c>
      <c r="C81" s="25"/>
    </row>
    <row r="82">
      <c r="A82" s="27" t="str">
        <f>Velas!A82</f>
        <v/>
      </c>
      <c r="C82" s="25"/>
    </row>
    <row r="83">
      <c r="A83" s="27" t="str">
        <f>Velas!A83</f>
        <v/>
      </c>
      <c r="C83" s="25"/>
    </row>
    <row r="84">
      <c r="A84" s="27" t="str">
        <f>Velas!A84</f>
        <v/>
      </c>
      <c r="C84" s="25"/>
    </row>
    <row r="85">
      <c r="A85" s="27" t="str">
        <f>Velas!A85</f>
        <v/>
      </c>
      <c r="C85" s="25"/>
    </row>
    <row r="86">
      <c r="A86" s="27" t="str">
        <f>Velas!A86</f>
        <v/>
      </c>
      <c r="C86" s="25"/>
    </row>
    <row r="87">
      <c r="A87" s="27" t="str">
        <f>Velas!A87</f>
        <v/>
      </c>
      <c r="C87" s="25"/>
    </row>
    <row r="88">
      <c r="A88" s="27" t="str">
        <f>Velas!A88</f>
        <v/>
      </c>
      <c r="C88" s="25"/>
    </row>
    <row r="89">
      <c r="A89" s="27" t="str">
        <f>Velas!A89</f>
        <v/>
      </c>
      <c r="C89" s="25"/>
    </row>
    <row r="90">
      <c r="A90" s="27" t="str">
        <f>Velas!A90</f>
        <v/>
      </c>
      <c r="C90" s="25"/>
    </row>
    <row r="91">
      <c r="A91" s="27" t="str">
        <f>Velas!A91</f>
        <v/>
      </c>
      <c r="C91" s="25"/>
    </row>
    <row r="92">
      <c r="A92" s="27" t="str">
        <f>Velas!A92</f>
        <v/>
      </c>
      <c r="C92" s="25"/>
    </row>
    <row r="93">
      <c r="C93" s="25"/>
    </row>
    <row r="94">
      <c r="C94" s="25"/>
    </row>
    <row r="95">
      <c r="C95" s="25"/>
    </row>
    <row r="96">
      <c r="C96" s="25"/>
    </row>
    <row r="97">
      <c r="C97" s="25"/>
    </row>
    <row r="98">
      <c r="C98" s="25"/>
    </row>
    <row r="99">
      <c r="C99" s="25"/>
    </row>
    <row r="100">
      <c r="C100" s="25"/>
    </row>
    <row r="101">
      <c r="C101" s="25"/>
    </row>
    <row r="102">
      <c r="C102" s="25"/>
    </row>
    <row r="103">
      <c r="C103" s="25"/>
    </row>
    <row r="104">
      <c r="C104" s="25"/>
    </row>
    <row r="105">
      <c r="C105" s="25"/>
    </row>
    <row r="106">
      <c r="C106" s="25"/>
    </row>
    <row r="107">
      <c r="C107" s="25"/>
    </row>
    <row r="108">
      <c r="C108" s="25"/>
    </row>
    <row r="109">
      <c r="C109" s="25"/>
    </row>
    <row r="110">
      <c r="C110" s="25"/>
    </row>
    <row r="111">
      <c r="C111" s="25"/>
    </row>
    <row r="112">
      <c r="C112" s="25"/>
    </row>
    <row r="113">
      <c r="C113" s="25"/>
    </row>
    <row r="114">
      <c r="C114" s="25"/>
    </row>
    <row r="115">
      <c r="C115" s="25"/>
    </row>
    <row r="116">
      <c r="C116" s="25"/>
    </row>
    <row r="117">
      <c r="C117" s="25"/>
    </row>
    <row r="118">
      <c r="C118" s="25"/>
    </row>
    <row r="119">
      <c r="C119" s="25"/>
    </row>
    <row r="120">
      <c r="C120" s="25"/>
    </row>
    <row r="121">
      <c r="C121" s="25"/>
    </row>
    <row r="122">
      <c r="C122" s="25"/>
    </row>
    <row r="123">
      <c r="C123" s="25"/>
    </row>
    <row r="124">
      <c r="C124" s="25"/>
    </row>
    <row r="125">
      <c r="C125" s="25"/>
    </row>
    <row r="126">
      <c r="C126" s="25"/>
    </row>
    <row r="127">
      <c r="C127" s="25"/>
    </row>
    <row r="128">
      <c r="C128" s="25"/>
    </row>
    <row r="129">
      <c r="C129" s="25"/>
    </row>
    <row r="130">
      <c r="C130" s="25"/>
    </row>
    <row r="131">
      <c r="C131" s="25"/>
    </row>
    <row r="132">
      <c r="C132" s="25"/>
    </row>
    <row r="133">
      <c r="C133" s="25"/>
    </row>
    <row r="134">
      <c r="C134" s="25"/>
    </row>
    <row r="135">
      <c r="C135" s="25"/>
    </row>
    <row r="136">
      <c r="C136" s="25"/>
    </row>
    <row r="137">
      <c r="C137" s="25"/>
    </row>
    <row r="138">
      <c r="C138" s="25"/>
    </row>
    <row r="139">
      <c r="C139" s="25"/>
    </row>
    <row r="140">
      <c r="C140" s="25"/>
    </row>
    <row r="141">
      <c r="C141" s="25"/>
    </row>
    <row r="142">
      <c r="C142" s="25"/>
    </row>
    <row r="143">
      <c r="C143" s="25"/>
    </row>
    <row r="144">
      <c r="C144" s="25"/>
    </row>
    <row r="145">
      <c r="C145" s="25"/>
    </row>
    <row r="146">
      <c r="C146" s="25"/>
    </row>
    <row r="147">
      <c r="C147" s="25"/>
    </row>
    <row r="148">
      <c r="C148" s="25"/>
    </row>
    <row r="149">
      <c r="C149" s="25"/>
    </row>
    <row r="150">
      <c r="C150" s="25"/>
    </row>
    <row r="151">
      <c r="C151" s="25"/>
    </row>
    <row r="152">
      <c r="C152" s="25"/>
    </row>
    <row r="153">
      <c r="C153" s="25"/>
    </row>
    <row r="154">
      <c r="C154" s="25"/>
    </row>
    <row r="155">
      <c r="C155" s="2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80.0"/>
    <col customWidth="1" min="3" max="3" width="40.0"/>
    <col customWidth="1" min="4" max="6" width="8.63"/>
  </cols>
  <sheetData>
    <row r="1" ht="30.0" customHeight="1">
      <c r="A1" s="13" t="s">
        <v>273</v>
      </c>
      <c r="B1" s="13" t="s">
        <v>274</v>
      </c>
      <c r="C1" s="13" t="s">
        <v>275</v>
      </c>
    </row>
    <row r="2">
      <c r="A2" s="3" t="s">
        <v>276</v>
      </c>
      <c r="B2" s="3" t="s">
        <v>277</v>
      </c>
      <c r="C2" s="3" t="s">
        <v>278</v>
      </c>
    </row>
    <row r="3">
      <c r="A3" s="3" t="s">
        <v>279</v>
      </c>
      <c r="B3" s="3" t="s">
        <v>280</v>
      </c>
      <c r="C3" s="3" t="s">
        <v>281</v>
      </c>
    </row>
    <row r="4">
      <c r="A4" s="3" t="s">
        <v>282</v>
      </c>
      <c r="B4" s="3" t="s">
        <v>283</v>
      </c>
      <c r="C4" s="3" t="s">
        <v>284</v>
      </c>
    </row>
    <row r="5">
      <c r="A5" s="3" t="s">
        <v>285</v>
      </c>
      <c r="B5" s="3" t="s">
        <v>286</v>
      </c>
      <c r="C5" s="3" t="s">
        <v>287</v>
      </c>
    </row>
    <row r="6">
      <c r="A6" s="3" t="s">
        <v>288</v>
      </c>
      <c r="B6" s="3" t="s">
        <v>289</v>
      </c>
      <c r="C6" s="3" t="s">
        <v>290</v>
      </c>
    </row>
    <row r="7">
      <c r="A7" s="3" t="s">
        <v>291</v>
      </c>
      <c r="B7" s="3" t="s">
        <v>292</v>
      </c>
      <c r="C7" s="3" t="s">
        <v>293</v>
      </c>
    </row>
    <row r="8">
      <c r="A8" s="3" t="s">
        <v>294</v>
      </c>
      <c r="B8" s="3" t="s">
        <v>295</v>
      </c>
      <c r="C8" s="3" t="s">
        <v>296</v>
      </c>
    </row>
    <row r="9">
      <c r="A9" s="3" t="s">
        <v>297</v>
      </c>
      <c r="B9" s="3" t="s">
        <v>298</v>
      </c>
      <c r="C9" s="3" t="s">
        <v>299</v>
      </c>
    </row>
    <row r="10">
      <c r="A10" s="3" t="s">
        <v>300</v>
      </c>
      <c r="B10" s="3" t="s">
        <v>301</v>
      </c>
      <c r="C10" s="3" t="s">
        <v>302</v>
      </c>
    </row>
    <row r="11">
      <c r="A11" s="3" t="s">
        <v>303</v>
      </c>
      <c r="B11" s="3" t="s">
        <v>304</v>
      </c>
      <c r="C11" s="3" t="s">
        <v>305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27.13"/>
    <col customWidth="1" min="3" max="3" width="22.13"/>
    <col customWidth="1" min="4" max="4" width="60.0"/>
    <col customWidth="1" min="5" max="6" width="8.63"/>
  </cols>
  <sheetData>
    <row r="1" ht="30.0" customHeight="1">
      <c r="A1" s="13" t="s">
        <v>306</v>
      </c>
      <c r="B1" s="13" t="s">
        <v>307</v>
      </c>
      <c r="C1" s="13" t="s">
        <v>308</v>
      </c>
      <c r="D1" s="13" t="s">
        <v>309</v>
      </c>
    </row>
    <row r="2">
      <c r="A2" s="3" t="s">
        <v>76</v>
      </c>
      <c r="B2" s="3" t="s">
        <v>89</v>
      </c>
      <c r="C2" s="3" t="s">
        <v>129</v>
      </c>
      <c r="D2" s="3" t="s">
        <v>310</v>
      </c>
    </row>
    <row r="3">
      <c r="A3" s="3" t="s">
        <v>129</v>
      </c>
      <c r="B3" s="3" t="s">
        <v>94</v>
      </c>
      <c r="C3" s="3" t="s">
        <v>30</v>
      </c>
      <c r="D3" s="3" t="s">
        <v>311</v>
      </c>
    </row>
    <row r="4">
      <c r="A4" s="3" t="s">
        <v>30</v>
      </c>
      <c r="B4" s="3" t="s">
        <v>98</v>
      </c>
      <c r="C4" s="3"/>
      <c r="D4" s="3" t="s">
        <v>312</v>
      </c>
    </row>
    <row r="5">
      <c r="A5" s="3" t="s">
        <v>91</v>
      </c>
      <c r="B5" s="3" t="s">
        <v>141</v>
      </c>
      <c r="C5" s="3"/>
      <c r="D5" s="3"/>
    </row>
    <row r="6">
      <c r="A6" s="3" t="s">
        <v>313</v>
      </c>
      <c r="B6" s="3" t="s">
        <v>105</v>
      </c>
      <c r="C6" s="3"/>
      <c r="D6" s="3"/>
    </row>
    <row r="7">
      <c r="A7" s="3"/>
      <c r="B7" s="3" t="s">
        <v>124</v>
      </c>
      <c r="C7" s="3"/>
      <c r="D7" s="3"/>
    </row>
    <row r="8">
      <c r="A8" s="3"/>
      <c r="B8" s="3" t="s">
        <v>187</v>
      </c>
      <c r="C8" s="3"/>
      <c r="D8" s="3" t="s">
        <v>314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